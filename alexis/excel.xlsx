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history" sheetId="1" state="visible" r:id="rId3"/>
    <sheet name="statusdetails" sheetId="2" state="visible" r:id="rId4"/>
    <sheet name="equipment" sheetId="3" state="visible" r:id="rId5"/>
  </sheets>
  <definedNames>
    <definedName function="false" hidden="true" localSheetId="0" name="_xlnm._FilterDatabase" vbProcedure="false">statushistory!$A$1:$O$2062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<sst xmlns="http://schemas.openxmlformats.org/spreadsheetml/2006/main" count="13835" uniqueCount="4323">
  <si>
    <t xml:space="preserve">Status Id</t>
  </si>
  <si>
    <t xml:space="preserve">Control Sense Id</t>
  </si>
  <si>
    <t xml:space="preserve">Id status main</t>
  </si>
  <si>
    <t xml:space="preserve">Id status type</t>
  </si>
  <si>
    <t xml:space="preserve">Id status detail</t>
  </si>
  <si>
    <t xml:space="preserve">Id equipment</t>
  </si>
  <si>
    <t xml:space="preserve">Id employee</t>
  </si>
  <si>
    <t xml:space="preserve">Inicio de estado</t>
  </si>
  <si>
    <t xml:space="preserve">Fin de estado</t>
  </si>
  <si>
    <t xml:space="preserve">Date cube</t>
  </si>
  <si>
    <t xml:space="preserve">Duración Hr.</t>
  </si>
  <si>
    <t xml:space="preserve">Hour</t>
  </si>
  <si>
    <t xml:space="preserve">numer</t>
  </si>
  <si>
    <t xml:space="preserve">Equipment</t>
  </si>
  <si>
    <t xml:space="preserve">Equipment - ID</t>
  </si>
  <si>
    <t xml:space="preserve">2025-09-01 07:00:37.759205</t>
  </si>
  <si>
    <t xml:space="preserve">2025-09-01 10:14:30.298</t>
  </si>
  <si>
    <t xml:space="preserve">3.23126077638889</t>
  </si>
  <si>
    <t xml:space="preserve">2025-09-01 07:02:40.895</t>
  </si>
  <si>
    <t xml:space="preserve">2025-09-01 07:52:58.07474</t>
  </si>
  <si>
    <t xml:space="preserve">0.838105483333333</t>
  </si>
  <si>
    <t xml:space="preserve">2025-09-01 07:03:33.865206</t>
  </si>
  <si>
    <t xml:space="preserve">2025-09-01 07:20:20.29575</t>
  </si>
  <si>
    <t xml:space="preserve">0.27956404</t>
  </si>
  <si>
    <t xml:space="preserve">2025-09-01 07:03:38.214362</t>
  </si>
  <si>
    <t xml:space="preserve">2025-09-01 11:00:32.97469</t>
  </si>
  <si>
    <t xml:space="preserve">3.94854453555556</t>
  </si>
  <si>
    <t xml:space="preserve">2025-09-01 07:03:44.313648</t>
  </si>
  <si>
    <t xml:space="preserve">2025-09-01 12:04:54.827478</t>
  </si>
  <si>
    <t xml:space="preserve">5.019587175</t>
  </si>
  <si>
    <t xml:space="preserve">2025-09-01 10:58:23.890894</t>
  </si>
  <si>
    <t xml:space="preserve">3.63433198444444</t>
  </si>
  <si>
    <t xml:space="preserve">2025-09-01 07:20:40.145</t>
  </si>
  <si>
    <t xml:space="preserve">2025-09-01 11:48:31.517448</t>
  </si>
  <si>
    <t xml:space="preserve">4.46427012444444</t>
  </si>
  <si>
    <t xml:space="preserve">2025-09-01 07:22:42.637</t>
  </si>
  <si>
    <t xml:space="preserve">2025-09-01 07:31:28.498</t>
  </si>
  <si>
    <t xml:space="preserve">0.1460725</t>
  </si>
  <si>
    <t xml:space="preserve">2025-09-01 08:30:05.999</t>
  </si>
  <si>
    <t xml:space="preserve">0.977083611111111</t>
  </si>
  <si>
    <t xml:space="preserve">2025-09-01 07:55:25.29294</t>
  </si>
  <si>
    <t xml:space="preserve">0.0408939444444444</t>
  </si>
  <si>
    <t xml:space="preserve">2025-09-01 07:58:18.016878</t>
  </si>
  <si>
    <t xml:space="preserve">0.0479788716666667</t>
  </si>
  <si>
    <t xml:space="preserve">2025-09-01 08:37:37.843106</t>
  </si>
  <si>
    <t xml:space="preserve">0.655507285555555</t>
  </si>
  <si>
    <t xml:space="preserve">2025-09-01 08:03:53.598497</t>
  </si>
  <si>
    <t xml:space="preserve">2025-09-01 18:24:57.616487</t>
  </si>
  <si>
    <t xml:space="preserve">10.3511161083333</t>
  </si>
  <si>
    <t xml:space="preserve">2025-09-01 17:55:05.29</t>
  </si>
  <si>
    <t xml:space="preserve">9.41646972222222</t>
  </si>
  <si>
    <t xml:space="preserve">2025-09-01 14:20:36.114532</t>
  </si>
  <si>
    <t xml:space="preserve">5.71618650722222</t>
  </si>
  <si>
    <t xml:space="preserve">2025-09-01 08:38:40.069329</t>
  </si>
  <si>
    <t xml:space="preserve">2025-09-01 09:26:52.470485</t>
  </si>
  <si>
    <t xml:space="preserve">0.803444765555556</t>
  </si>
  <si>
    <t xml:space="preserve">2025-09-01 08:47:07.992833</t>
  </si>
  <si>
    <t xml:space="preserve">2025-09-01 13:07:05.66072</t>
  </si>
  <si>
    <t xml:space="preserve">4.33268552416667</t>
  </si>
  <si>
    <t xml:space="preserve">2025-09-01 08:55:36.409119</t>
  </si>
  <si>
    <t xml:space="preserve">2025-09-01 09:05:43.779878</t>
  </si>
  <si>
    <t xml:space="preserve">0.168714099722222</t>
  </si>
  <si>
    <t xml:space="preserve">2025-09-01 08:57:21.244</t>
  </si>
  <si>
    <t xml:space="preserve">2025-09-01 09:05:20.557</t>
  </si>
  <si>
    <t xml:space="preserve">0.1331425</t>
  </si>
  <si>
    <t xml:space="preserve">2025-09-01 10:40:14.581532</t>
  </si>
  <si>
    <t xml:space="preserve">1.58167348111111</t>
  </si>
  <si>
    <t xml:space="preserve">2025-09-01 10:37:26.129016</t>
  </si>
  <si>
    <t xml:space="preserve">1.52843031611111</t>
  </si>
  <si>
    <t xml:space="preserve">2025-09-01 09:37:40.17</t>
  </si>
  <si>
    <t xml:space="preserve">0.179916531944444</t>
  </si>
  <si>
    <t xml:space="preserve">2025-09-01 11:06:45.405098</t>
  </si>
  <si>
    <t xml:space="preserve">1.48478752722222</t>
  </si>
  <si>
    <t xml:space="preserve">2025-09-01 10:07:35.386599</t>
  </si>
  <si>
    <t xml:space="preserve">2025-09-01 10:09:00.038</t>
  </si>
  <si>
    <t xml:space="preserve">0.0235142780555556</t>
  </si>
  <si>
    <t xml:space="preserve">2025-09-01 11:29:03.857527</t>
  </si>
  <si>
    <t xml:space="preserve">1.33439431305556</t>
  </si>
  <si>
    <t xml:space="preserve">2025-09-01 10:22:57.193</t>
  </si>
  <si>
    <t xml:space="preserve">0.140804166666667</t>
  </si>
  <si>
    <t xml:space="preserve">2025-09-01 10:18:03.522</t>
  </si>
  <si>
    <t xml:space="preserve">2025-09-01 10:20:13.131651</t>
  </si>
  <si>
    <t xml:space="preserve">0.0360026808333333</t>
  </si>
  <si>
    <t xml:space="preserve">2025-09-01 12:08:45.20194</t>
  </si>
  <si>
    <t xml:space="preserve">1.80890841361111</t>
  </si>
  <si>
    <t xml:space="preserve">2025-09-01 12:03:01.5671</t>
  </si>
  <si>
    <t xml:space="preserve">1.66788169444444</t>
  </si>
  <si>
    <t xml:space="preserve">2025-09-01 10:50:02.482</t>
  </si>
  <si>
    <t xml:space="preserve">0.210098051111111</t>
  </si>
  <si>
    <t xml:space="preserve">2025-09-01 10:49:08.71</t>
  </si>
  <si>
    <t xml:space="preserve">0.148369018888889</t>
  </si>
  <si>
    <t xml:space="preserve">2025-09-01 10:41:21.240104</t>
  </si>
  <si>
    <t xml:space="preserve">2025-09-01 10:43:12.9491</t>
  </si>
  <si>
    <t xml:space="preserve">0.0310302766666667</t>
  </si>
  <si>
    <t xml:space="preserve">2025-09-01 12:03:07.120347</t>
  </si>
  <si>
    <t xml:space="preserve">1.33171423527778</t>
  </si>
  <si>
    <t xml:space="preserve">2025-09-01 10:46:56.592392</t>
  </si>
  <si>
    <t xml:space="preserve">2025-09-01 10:50:49.189622</t>
  </si>
  <si>
    <t xml:space="preserve">0.0646103416666667</t>
  </si>
  <si>
    <t xml:space="preserve">2025-09-01 11:42:19.17746</t>
  </si>
  <si>
    <t xml:space="preserve">0.886240961111111</t>
  </si>
  <si>
    <t xml:space="preserve">2025-09-01 13:16:00.169063</t>
  </si>
  <si>
    <t xml:space="preserve">2.43269085083333</t>
  </si>
  <si>
    <t xml:space="preserve">2025-09-01 11:40:13.896</t>
  </si>
  <si>
    <t xml:space="preserve">0.823529549444444</t>
  </si>
  <si>
    <t xml:space="preserve">2025-09-01 10:53:40.870653</t>
  </si>
  <si>
    <t xml:space="preserve">2025-09-01 10:56:38.923</t>
  </si>
  <si>
    <t xml:space="preserve">0.0494589852777778</t>
  </si>
  <si>
    <t xml:space="preserve">2025-09-01 11:55:22.401</t>
  </si>
  <si>
    <t xml:space="preserve">0.978743888888889</t>
  </si>
  <si>
    <t xml:space="preserve">2025-09-01 11:48:35.428759</t>
  </si>
  <si>
    <t xml:space="preserve">0.836538295833333</t>
  </si>
  <si>
    <t xml:space="preserve">2025-09-01 11:37:52.237954</t>
  </si>
  <si>
    <t xml:space="preserve">0.622017573333333</t>
  </si>
  <si>
    <t xml:space="preserve">2025-09-02 10:27:12.998113</t>
  </si>
  <si>
    <t xml:space="preserve">23.3409980597222</t>
  </si>
  <si>
    <t xml:space="preserve">2025-09-01 11:28:21.017261</t>
  </si>
  <si>
    <t xml:space="preserve">2025-09-01 13:06:48.334108</t>
  </si>
  <si>
    <t xml:space="preserve">1.64092134638889</t>
  </si>
  <si>
    <t xml:space="preserve">2025-09-01 13:30:36.667307</t>
  </si>
  <si>
    <t xml:space="preserve">2.02578049444444</t>
  </si>
  <si>
    <t xml:space="preserve">2025-09-01 11:31:17.311</t>
  </si>
  <si>
    <t xml:space="preserve">2025-09-01 11:37:40.326015</t>
  </si>
  <si>
    <t xml:space="preserve">0.106393059722222</t>
  </si>
  <si>
    <t xml:space="preserve">2025-09-01 13:30:44.163315</t>
  </si>
  <si>
    <t xml:space="preserve">1.88439925</t>
  </si>
  <si>
    <t xml:space="preserve">2025-09-01 18:48:53.245871</t>
  </si>
  <si>
    <t xml:space="preserve">7.18361331027778</t>
  </si>
  <si>
    <t xml:space="preserve">2025-09-01 11:38:09.319793</t>
  </si>
  <si>
    <t xml:space="preserve">2025-09-01 13:30:49.304704</t>
  </si>
  <si>
    <t xml:space="preserve">1.87777358638889</t>
  </si>
  <si>
    <t xml:space="preserve">2025-09-01 11:43:06.149313</t>
  </si>
  <si>
    <t xml:space="preserve">0.0478481425</t>
  </si>
  <si>
    <t xml:space="preserve">2025-09-01 11:44:07.767565</t>
  </si>
  <si>
    <t xml:space="preserve">0.0301639180555556</t>
  </si>
  <si>
    <t xml:space="preserve">2025-09-01 11:55:51.756035</t>
  </si>
  <si>
    <t xml:space="preserve">0.212668533888889</t>
  </si>
  <si>
    <t xml:space="preserve">2025-09-01 12:28:52.406</t>
  </si>
  <si>
    <t xml:space="preserve">0.745732898611111</t>
  </si>
  <si>
    <t xml:space="preserve">2025-09-01 14:46:06.026</t>
  </si>
  <si>
    <t xml:space="preserve">2.95958570888889</t>
  </si>
  <si>
    <t xml:space="preserve">2025-09-01 18:49:02.136717</t>
  </si>
  <si>
    <t xml:space="preserve">7.00741887722222</t>
  </si>
  <si>
    <t xml:space="preserve">2025-09-01 11:55:57.671272</t>
  </si>
  <si>
    <t xml:space="preserve">0.00979729777777778</t>
  </si>
  <si>
    <t xml:space="preserve">2025-09-01 11:55:31.589812</t>
  </si>
  <si>
    <t xml:space="preserve">2025-09-01 12:18:26.007723</t>
  </si>
  <si>
    <t xml:space="preserve">0.381782753055556</t>
  </si>
  <si>
    <t xml:space="preserve">2025-09-01 13:13:41.59109</t>
  </si>
  <si>
    <t xml:space="preserve">1.29717640416667</t>
  </si>
  <si>
    <t xml:space="preserve">2025-09-01 12:13:35.093</t>
  </si>
  <si>
    <t xml:space="preserve">0.293728257777778</t>
  </si>
  <si>
    <t xml:space="preserve">2025-09-01 11:58:16.775877</t>
  </si>
  <si>
    <t xml:space="preserve">2025-09-01 12:04:02.489343</t>
  </si>
  <si>
    <t xml:space="preserve">0.0960315183333333</t>
  </si>
  <si>
    <t xml:space="preserve">2025-09-01 13:24:13.408</t>
  </si>
  <si>
    <t xml:space="preserve">1.35328913888889</t>
  </si>
  <si>
    <t xml:space="preserve">2025-09-01 12:08:54.379897</t>
  </si>
  <si>
    <t xml:space="preserve">0.0964609861111111</t>
  </si>
  <si>
    <t xml:space="preserve">2025-09-01 13:22:30.469</t>
  </si>
  <si>
    <t xml:space="preserve">1.30777212694444</t>
  </si>
  <si>
    <t xml:space="preserve">2025-09-01 12:58:16.585437</t>
  </si>
  <si>
    <t xml:space="preserve">0.889377210833333</t>
  </si>
  <si>
    <t xml:space="preserve">2025-09-01 13:24:06.85569</t>
  </si>
  <si>
    <t xml:space="preserve">1.25601493055556</t>
  </si>
  <si>
    <t xml:space="preserve">2025-09-01 13:05:01.061855</t>
  </si>
  <si>
    <t xml:space="preserve">0.935189432777778</t>
  </si>
  <si>
    <t xml:space="preserve">2025-09-01 12:18:08.124167</t>
  </si>
  <si>
    <t xml:space="preserve">0.0758419908333333</t>
  </si>
  <si>
    <t xml:space="preserve">2025-09-01 15:21:36.806808</t>
  </si>
  <si>
    <t xml:space="preserve">3.05796740027778</t>
  </si>
  <si>
    <t xml:space="preserve">2025-09-01 12:30:31.679875</t>
  </si>
  <si>
    <t xml:space="preserve">0.201575597777778</t>
  </si>
  <si>
    <t xml:space="preserve">2025-09-01 12:32:38.819391</t>
  </si>
  <si>
    <t xml:space="preserve">0.0628926086111111</t>
  </si>
  <si>
    <t xml:space="preserve">2025-09-01 12:52:53.870951</t>
  </si>
  <si>
    <t xml:space="preserve">0.372830854444444</t>
  </si>
  <si>
    <t xml:space="preserve">2025-09-01 13:15:46.632</t>
  </si>
  <si>
    <t xml:space="preserve">0.718836835833333</t>
  </si>
  <si>
    <t xml:space="preserve">2025-09-01 12:55:19.073767</t>
  </si>
  <si>
    <t xml:space="preserve">0.0403341155555556</t>
  </si>
  <si>
    <t xml:space="preserve">2025-09-01 15:21:45.315654</t>
  </si>
  <si>
    <t xml:space="preserve">2.44062274638889</t>
  </si>
  <si>
    <t xml:space="preserve">2025-09-01 19:46:53.258835</t>
  </si>
  <si>
    <t xml:space="preserve">6.810187055</t>
  </si>
  <si>
    <t xml:space="preserve">2025-09-01 13:24:01.151011</t>
  </si>
  <si>
    <t xml:space="preserve">0.316691432222222</t>
  </si>
  <si>
    <t xml:space="preserve">2025-09-01 13:30:36.722714</t>
  </si>
  <si>
    <t xml:space="preserve">0.396774612777778</t>
  </si>
  <si>
    <t xml:space="preserve">2025-09-01 13:47:26.916001</t>
  </si>
  <si>
    <t xml:space="preserve">0.672570911388889</t>
  </si>
  <si>
    <t xml:space="preserve">2025-09-01 20:00:02.744859</t>
  </si>
  <si>
    <t xml:space="preserve">6.77254271361111</t>
  </si>
  <si>
    <t xml:space="preserve">2025-09-01 13:19:05.924503</t>
  </si>
  <si>
    <t xml:space="preserve">0.0553590286111111</t>
  </si>
  <si>
    <t xml:space="preserve">2025-09-01 13:22:59.315365</t>
  </si>
  <si>
    <t xml:space="preserve">0.116429528333333</t>
  </si>
  <si>
    <t xml:space="preserve">2025-09-01 13:22:18.05643</t>
  </si>
  <si>
    <t xml:space="preserve">0.0533699797222222</t>
  </si>
  <si>
    <t xml:space="preserve">2025-09-01 15:11:27.966562</t>
  </si>
  <si>
    <t xml:space="preserve">1.81941948111111</t>
  </si>
  <si>
    <t xml:space="preserve">2025-09-01 13:57:54.645</t>
  </si>
  <si>
    <t xml:space="preserve">0.590048888888889</t>
  </si>
  <si>
    <t xml:space="preserve">2025-09-01 15:26:32.695409</t>
  </si>
  <si>
    <t xml:space="preserve">2.05927223444444</t>
  </si>
  <si>
    <t xml:space="preserve">2025-09-01 14:00:21.046929</t>
  </si>
  <si>
    <t xml:space="preserve">0.605526643888889</t>
  </si>
  <si>
    <t xml:space="preserve">2025-09-01 13:53:08.258613</t>
  </si>
  <si>
    <t xml:space="preserve">0.483723034166667</t>
  </si>
  <si>
    <t xml:space="preserve">2025-09-01 14:00:45.294166</t>
  </si>
  <si>
    <t xml:space="preserve">0.608857268333333</t>
  </si>
  <si>
    <t xml:space="preserve">2025-09-01 14:00:29.341955</t>
  </si>
  <si>
    <t xml:space="preserve">0.49796518</t>
  </si>
  <si>
    <t xml:space="preserve">0.0972992461111111</t>
  </si>
  <si>
    <t xml:space="preserve">2025-09-01 14:03:12.747365</t>
  </si>
  <si>
    <t xml:space="preserve">0.541273347222222</t>
  </si>
  <si>
    <t xml:space="preserve">2025-09-01 17:24:38.978529</t>
  </si>
  <si>
    <t xml:space="preserve">3.89713161805556</t>
  </si>
  <si>
    <t xml:space="preserve">2025-09-01 13:53:15.318039</t>
  </si>
  <si>
    <t xml:space="preserve">0.280088344166667</t>
  </si>
  <si>
    <t xml:space="preserve">2025-09-01 18:49:07.086435</t>
  </si>
  <si>
    <t xml:space="preserve">5.02782512055556</t>
  </si>
  <si>
    <t xml:space="preserve">2025-09-01 16:52:29.315482</t>
  </si>
  <si>
    <t xml:space="preserve">2.98918246361111</t>
  </si>
  <si>
    <t xml:space="preserve">2025-09-01 14:20:51.956627</t>
  </si>
  <si>
    <t xml:space="preserve">0.460177385555556</t>
  </si>
  <si>
    <t xml:space="preserve">2025-09-01 14:48:32.480887</t>
  </si>
  <si>
    <t xml:space="preserve">0.843843301944444</t>
  </si>
  <si>
    <t xml:space="preserve">2025-09-01 14:09:23.678564</t>
  </si>
  <si>
    <t xml:space="preserve">0.150731009722222</t>
  </si>
  <si>
    <t xml:space="preserve">2025-09-01 14:09:26.501498</t>
  </si>
  <si>
    <t xml:space="preserve">0.149210984166667</t>
  </si>
  <si>
    <t xml:space="preserve">2025-09-01 14:10:41.322</t>
  </si>
  <si>
    <t xml:space="preserve">0.165563287222222</t>
  </si>
  <si>
    <t xml:space="preserve">2025-09-01 14:14:27.865507</t>
  </si>
  <si>
    <t xml:space="preserve">0.187532817222222</t>
  </si>
  <si>
    <t xml:space="preserve">2025-09-01 17:29:30.698771</t>
  </si>
  <si>
    <t xml:space="preserve">3.33528339083333</t>
  </si>
  <si>
    <t xml:space="preserve">2025-09-01 16:54:53.170539</t>
  </si>
  <si>
    <t xml:space="preserve">2.75740806694444</t>
  </si>
  <si>
    <t xml:space="preserve">2025-09-01 17:29:05.512</t>
  </si>
  <si>
    <t xml:space="preserve">3.30671944444444</t>
  </si>
  <si>
    <t xml:space="preserve">2025-09-01 16:03:01.259</t>
  </si>
  <si>
    <t xml:space="preserve">1.80927597027778</t>
  </si>
  <si>
    <t xml:space="preserve">2025-09-01 19:23:16.850531</t>
  </si>
  <si>
    <t xml:space="preserve">5.04464888861111</t>
  </si>
  <si>
    <t xml:space="preserve">2025-09-01 18:50:07.29418</t>
  </si>
  <si>
    <t xml:space="preserve">4.48759376472222</t>
  </si>
  <si>
    <t xml:space="preserve">2025-09-01 18:48:57.655255</t>
  </si>
  <si>
    <t xml:space="preserve">4.04767479305556</t>
  </si>
  <si>
    <t xml:space="preserve">2025-09-01 16:52:54.809017</t>
  </si>
  <si>
    <t xml:space="preserve">2.072868925</t>
  </si>
  <si>
    <t xml:space="preserve">2025-09-01 15:12:33.913235</t>
  </si>
  <si>
    <t xml:space="preserve">0.0183185202777778</t>
  </si>
  <si>
    <t xml:space="preserve">2025-09-01 15:26:10.529</t>
  </si>
  <si>
    <t xml:space="preserve">0.2268377125</t>
  </si>
  <si>
    <t xml:space="preserve">2025-09-01 15:34:51.94</t>
  </si>
  <si>
    <t xml:space="preserve">0.220870331111111</t>
  </si>
  <si>
    <t xml:space="preserve">2025-09-01 15:37:35.162192</t>
  </si>
  <si>
    <t xml:space="preserve">0.263846260555556</t>
  </si>
  <si>
    <t xml:space="preserve">2025-09-01 15:36:13.143962</t>
  </si>
  <si>
    <t xml:space="preserve">0.167393045</t>
  </si>
  <si>
    <t xml:space="preserve">2025-09-01 15:37:53.614</t>
  </si>
  <si>
    <t xml:space="preserve">0.189144053055556</t>
  </si>
  <si>
    <t xml:space="preserve">2025-09-01 17:50:31.506556</t>
  </si>
  <si>
    <t xml:space="preserve">2.26099071</t>
  </si>
  <si>
    <t xml:space="preserve">2025-09-01 17:50:19.872258</t>
  </si>
  <si>
    <t xml:space="preserve">2.23520230444444</t>
  </si>
  <si>
    <t xml:space="preserve">2025-09-01 19:36:07.202207</t>
  </si>
  <si>
    <t xml:space="preserve">3.97556667083333</t>
  </si>
  <si>
    <t xml:space="preserve">2025-09-01 17:50:38.118625</t>
  </si>
  <si>
    <t xml:space="preserve">2.21236239583333</t>
  </si>
  <si>
    <t xml:space="preserve">2025-09-01 16:04:19.789</t>
  </si>
  <si>
    <t xml:space="preserve">0.0218138888888889</t>
  </si>
  <si>
    <t xml:space="preserve">2025-09-01 16:53:31.412416</t>
  </si>
  <si>
    <t xml:space="preserve">0.819895393333333</t>
  </si>
  <si>
    <t xml:space="preserve">2025-09-01 18:49:59.030679</t>
  </si>
  <si>
    <t xml:space="preserve">1.95825422138889</t>
  </si>
  <si>
    <t xml:space="preserve">2025-09-01 17:30:20.993697</t>
  </si>
  <si>
    <t xml:space="preserve">0.623940188888889</t>
  </si>
  <si>
    <t xml:space="preserve">2025-09-01 19:13:10.845194</t>
  </si>
  <si>
    <t xml:space="preserve">2.32762021611111</t>
  </si>
  <si>
    <t xml:space="preserve">2025-09-01 19:12:32.337</t>
  </si>
  <si>
    <t xml:space="preserve">2.29421290583333</t>
  </si>
  <si>
    <t xml:space="preserve">2025-09-01 17:44:46.946223</t>
  </si>
  <si>
    <t xml:space="preserve">0.335546581666667</t>
  </si>
  <si>
    <t xml:space="preserve">2025-09-01 17:32:07.22</t>
  </si>
  <si>
    <t xml:space="preserve">0.0504744444444444</t>
  </si>
  <si>
    <t xml:space="preserve">2025-09-01 17:32:09.864419</t>
  </si>
  <si>
    <t xml:space="preserve">0.04421268</t>
  </si>
  <si>
    <t xml:space="preserve">2025-09-01 17:34:13.1392</t>
  </si>
  <si>
    <t xml:space="preserve">0.0644848619444444</t>
  </si>
  <si>
    <t xml:space="preserve">2025-09-01 18:49:44.477948</t>
  </si>
  <si>
    <t xml:space="preserve">1.2929482025</t>
  </si>
  <si>
    <t xml:space="preserve">2025-09-01 18:50:03.271972</t>
  </si>
  <si>
    <t xml:space="preserve">1.29890332555556</t>
  </si>
  <si>
    <t xml:space="preserve">2025-09-01 18:49:54.90349</t>
  </si>
  <si>
    <t xml:space="preserve">1.26160119166667</t>
  </si>
  <si>
    <t xml:space="preserve">2025-09-01 20:00:35.641476</t>
  </si>
  <si>
    <t xml:space="preserve">2.26352645916667</t>
  </si>
  <si>
    <t xml:space="preserve">2025-09-01 17:56:40.649</t>
  </si>
  <si>
    <t xml:space="preserve">0.105771317222222</t>
  </si>
  <si>
    <t xml:space="preserve">2025-09-01 17:56:50.847</t>
  </si>
  <si>
    <t xml:space="preserve">0.105372345555556</t>
  </si>
  <si>
    <t xml:space="preserve">2025-09-01 17:58:28.027547</t>
  </si>
  <si>
    <t xml:space="preserve">0.130530256111111</t>
  </si>
  <si>
    <t xml:space="preserve">2025-09-01 17:58:41.884</t>
  </si>
  <si>
    <t xml:space="preserve">0.060165</t>
  </si>
  <si>
    <t xml:space="preserve">2025-09-01 18:17:00.92037</t>
  </si>
  <si>
    <t xml:space="preserve">0.338964269444444</t>
  </si>
  <si>
    <t xml:space="preserve">2025-09-01 19:12:50.022899</t>
  </si>
  <si>
    <t xml:space="preserve">1.26643774972222</t>
  </si>
  <si>
    <t xml:space="preserve">2025-09-01 21:38:13.695316</t>
  </si>
  <si>
    <t xml:space="preserve">3.66268549138889</t>
  </si>
  <si>
    <t xml:space="preserve">2025-09-01 18:00:13.183</t>
  </si>
  <si>
    <t xml:space="preserve">0.0253608333333333</t>
  </si>
  <si>
    <t xml:space="preserve">2025-09-01 18:50:33.015</t>
  </si>
  <si>
    <t xml:space="preserve">0.838842222222222</t>
  </si>
  <si>
    <t xml:space="preserve">2025-09-01 18:23:52.934366</t>
  </si>
  <si>
    <t xml:space="preserve">0.114448332222222</t>
  </si>
  <si>
    <t xml:space="preserve">2025-09-01 19:11:05.849848</t>
  </si>
  <si>
    <t xml:space="preserve">0.786920967222222</t>
  </si>
  <si>
    <t xml:space="preserve">2025-09-01 19:37:04.947227</t>
  </si>
  <si>
    <t xml:space="preserve">1.20203631666667</t>
  </si>
  <si>
    <t xml:space="preserve">2025-09-01 19:46:56.831321</t>
  </si>
  <si>
    <t xml:space="preserve">0.967662625</t>
  </si>
  <si>
    <t xml:space="preserve">2025-09-02 02:30:57.725</t>
  </si>
  <si>
    <t xml:space="preserve">7.70001937361111</t>
  </si>
  <si>
    <t xml:space="preserve">2025-09-01 18:59:33.693041</t>
  </si>
  <si>
    <t xml:space="preserve">0.175432312222222</t>
  </si>
  <si>
    <t xml:space="preserve">2025-09-02 07:34:22.248316</t>
  </si>
  <si>
    <t xml:space="preserve">12.7542116336111</t>
  </si>
  <si>
    <t xml:space="preserve">2025-09-01 19:03:34.339589</t>
  </si>
  <si>
    <t xml:space="preserve">0.2305171225</t>
  </si>
  <si>
    <t xml:space="preserve">2025-09-01 19:03:38.012468</t>
  </si>
  <si>
    <t xml:space="preserve">0.228641382777778</t>
  </si>
  <si>
    <t xml:space="preserve">2025-09-01 19:03:41.200329</t>
  </si>
  <si>
    <t xml:space="preserve">0.228380458333333</t>
  </si>
  <si>
    <t xml:space="preserve">2025-09-01 19:03:44.543803</t>
  </si>
  <si>
    <t xml:space="preserve">0.228131064166667</t>
  </si>
  <si>
    <t xml:space="preserve">2025-09-01 19:01:48.73991</t>
  </si>
  <si>
    <t xml:space="preserve">0.194846036111111</t>
  </si>
  <si>
    <t xml:space="preserve">2025-09-01 19:04:15.411</t>
  </si>
  <si>
    <t xml:space="preserve">0.228443333333333</t>
  </si>
  <si>
    <t xml:space="preserve">2025-09-02 00:55:39.402369</t>
  </si>
  <si>
    <t xml:space="preserve">5.93491925777778</t>
  </si>
  <si>
    <t xml:space="preserve">2025-09-01 19:35:49.557312</t>
  </si>
  <si>
    <t xml:space="preserve">0.566893722777778</t>
  </si>
  <si>
    <t xml:space="preserve">2025-09-01 20:57:09.941372</t>
  </si>
  <si>
    <t xml:space="preserve">1.8932227175</t>
  </si>
  <si>
    <t xml:space="preserve">2025-09-01 19:45:56.336048</t>
  </si>
  <si>
    <t xml:space="preserve">0.705089883333333</t>
  </si>
  <si>
    <t xml:space="preserve">2025-09-01 20:23:53.853098</t>
  </si>
  <si>
    <t xml:space="preserve">1.33684799138889</t>
  </si>
  <si>
    <t xml:space="preserve">2025-09-01 20:56:48.632</t>
  </si>
  <si>
    <t xml:space="preserve">1.88446894361111</t>
  </si>
  <si>
    <t xml:space="preserve">2025-09-01 19:52:52.167</t>
  </si>
  <si>
    <t xml:space="preserve">0.81021</t>
  </si>
  <si>
    <t xml:space="preserve">2025-09-02 04:25:32.253477</t>
  </si>
  <si>
    <t xml:space="preserve">9.24066767472222</t>
  </si>
  <si>
    <t xml:space="preserve">2025-09-01 20:57:22.958399</t>
  </si>
  <si>
    <t xml:space="preserve">1.74739483305556</t>
  </si>
  <si>
    <t xml:space="preserve">2025-09-01 19:15:27.381</t>
  </si>
  <si>
    <t xml:space="preserve">0.0437105836111111</t>
  </si>
  <si>
    <t xml:space="preserve">2025-09-01 23:27:10.368067</t>
  </si>
  <si>
    <t xml:space="preserve">4.23320079805556</t>
  </si>
  <si>
    <t xml:space="preserve">2025-09-01 19:30:40.427</t>
  </si>
  <si>
    <t xml:space="preserve">0.253623888888889</t>
  </si>
  <si>
    <t xml:space="preserve">2025-09-01 19:36:51.261</t>
  </si>
  <si>
    <t xml:space="preserve">0.226225130277778</t>
  </si>
  <si>
    <t xml:space="preserve">2025-09-01 19:36:18.88928</t>
  </si>
  <si>
    <t xml:space="preserve">0.0940173</t>
  </si>
  <si>
    <t xml:space="preserve">2025-09-01 21:38:22.323153</t>
  </si>
  <si>
    <t xml:space="preserve">2.04243495583333</t>
  </si>
  <si>
    <t xml:space="preserve">2025-09-02 12:14:49.554931</t>
  </si>
  <si>
    <t xml:space="preserve">16.6450979788889</t>
  </si>
  <si>
    <t xml:space="preserve">2025-09-01 20:10:13.219</t>
  </si>
  <si>
    <t xml:space="preserve">0.565091588888889</t>
  </si>
  <si>
    <t xml:space="preserve">2025-09-01 19:45:59.335574</t>
  </si>
  <si>
    <t xml:space="preserve">0.1484412075</t>
  </si>
  <si>
    <t xml:space="preserve">2025-09-01 19:40:53.289334</t>
  </si>
  <si>
    <t xml:space="preserve">0.0672300927777778</t>
  </si>
  <si>
    <t xml:space="preserve">2025-09-02 04:26:31.622</t>
  </si>
  <si>
    <t xml:space="preserve">8.76064796277778</t>
  </si>
  <si>
    <t xml:space="preserve">2025-09-01 22:47:03.611462</t>
  </si>
  <si>
    <t xml:space="preserve">3.018687615</t>
  </si>
  <si>
    <t xml:space="preserve">2025-09-01 23:43:48.904</t>
  </si>
  <si>
    <t xml:space="preserve">3.96376900722222</t>
  </si>
  <si>
    <t xml:space="preserve">2025-09-02 00:55:45.566084</t>
  </si>
  <si>
    <t xml:space="preserve">5.14786312472222</t>
  </si>
  <si>
    <t xml:space="preserve">1.1372690775</t>
  </si>
  <si>
    <t xml:space="preserve">2025-09-01 19:57:49.244</t>
  </si>
  <si>
    <t xml:space="preserve">0.0825213888888889</t>
  </si>
  <si>
    <t xml:space="preserve">2025-09-02 00:57:16.793</t>
  </si>
  <si>
    <t xml:space="preserve">4.99098583333333</t>
  </si>
  <si>
    <t xml:space="preserve">2025-09-01 20:08:03.750568</t>
  </si>
  <si>
    <t xml:space="preserve">0.133612696944444</t>
  </si>
  <si>
    <t xml:space="preserve">2025-09-01 22:55:59.57685</t>
  </si>
  <si>
    <t xml:space="preserve">2.92331538166667</t>
  </si>
  <si>
    <t xml:space="preserve">2025-09-01 23:42:20.633229</t>
  </si>
  <si>
    <t xml:space="preserve">3.57135629472222</t>
  </si>
  <si>
    <t xml:space="preserve">2025-09-01 20:28:28.815965</t>
  </si>
  <si>
    <t xml:space="preserve">0.304332490277778</t>
  </si>
  <si>
    <t xml:space="preserve">2025-09-01 20:29:16.636</t>
  </si>
  <si>
    <t xml:space="preserve">0.0896619172222222</t>
  </si>
  <si>
    <t xml:space="preserve">2025-09-01 20:29:04.872892</t>
  </si>
  <si>
    <t xml:space="preserve">0.0100158130555556</t>
  </si>
  <si>
    <t xml:space="preserve">2025-09-01 20:31:30.674</t>
  </si>
  <si>
    <t xml:space="preserve">0.0405003077777778</t>
  </si>
  <si>
    <t xml:space="preserve">2025-09-01 21:37:06.457</t>
  </si>
  <si>
    <t xml:space="preserve">1.13050583333333</t>
  </si>
  <si>
    <t xml:space="preserve">2025-09-01 21:22:19.467</t>
  </si>
  <si>
    <t xml:space="preserve">0.846886944444444</t>
  </si>
  <si>
    <t xml:space="preserve">2025-09-01 21:07:11.947</t>
  </si>
  <si>
    <t xml:space="preserve">0.173143055555556</t>
  </si>
  <si>
    <t xml:space="preserve">0.226127396666667</t>
  </si>
  <si>
    <t xml:space="preserve">2025-09-01 21:10:11.818</t>
  </si>
  <si>
    <t xml:space="preserve">0.213572111388889</t>
  </si>
  <si>
    <t xml:space="preserve">2025-09-01 22:56:26.585224</t>
  </si>
  <si>
    <t xml:space="preserve">1.82073284</t>
  </si>
  <si>
    <t xml:space="preserve">2025-09-01 22:44:14.366708</t>
  </si>
  <si>
    <t xml:space="preserve">1.56737464111111</t>
  </si>
  <si>
    <t xml:space="preserve">2025-09-01 21:24:22.961</t>
  </si>
  <si>
    <t xml:space="preserve">0.0343038888888889</t>
  </si>
  <si>
    <t xml:space="preserve">2025-09-01 21:35:46.682</t>
  </si>
  <si>
    <t xml:space="preserve">0.1899225</t>
  </si>
  <si>
    <t xml:space="preserve">2025-09-01 21:49:04.411</t>
  </si>
  <si>
    <t xml:space="preserve">0.221591388888889</t>
  </si>
  <si>
    <t xml:space="preserve">2025-09-01 21:38:07.167601</t>
  </si>
  <si>
    <t xml:space="preserve">0.0168640558333333</t>
  </si>
  <si>
    <t xml:space="preserve">2025-09-01 21:52:38.154</t>
  </si>
  <si>
    <t xml:space="preserve">0.241940666388889</t>
  </si>
  <si>
    <t xml:space="preserve">2025-09-01 21:54:54.767</t>
  </si>
  <si>
    <t xml:space="preserve">0.278075467777778</t>
  </si>
  <si>
    <t xml:space="preserve">0.226576901944444</t>
  </si>
  <si>
    <t xml:space="preserve">2025-09-01 21:38:43.296472</t>
  </si>
  <si>
    <t xml:space="preserve">2025-09-01 22:21:15.116665</t>
  </si>
  <si>
    <t xml:space="preserve">0.7088389425</t>
  </si>
  <si>
    <t xml:space="preserve">2025-09-01 22:10:15.482</t>
  </si>
  <si>
    <t xml:space="preserve">0.353075277777778</t>
  </si>
  <si>
    <t xml:space="preserve">2025-09-01 22:10:30.697093</t>
  </si>
  <si>
    <t xml:space="preserve">0.297928636944444</t>
  </si>
  <si>
    <t xml:space="preserve">2025-09-01 23:04:06.62805</t>
  </si>
  <si>
    <t xml:space="preserve">1.15329473611111</t>
  </si>
  <si>
    <t xml:space="preserve">2025-09-01 22:14:20.591</t>
  </si>
  <si>
    <t xml:space="preserve">0.0680858333333333</t>
  </si>
  <si>
    <t xml:space="preserve">2025-09-01 22:15:02.102135</t>
  </si>
  <si>
    <t xml:space="preserve">0.0753902894444444</t>
  </si>
  <si>
    <t xml:space="preserve">2025-09-01 23:53:02.561016</t>
  </si>
  <si>
    <t xml:space="preserve">1.64499167111111</t>
  </si>
  <si>
    <t xml:space="preserve">2025-09-01 23:06:56.299751</t>
  </si>
  <si>
    <t xml:space="preserve">0.865054893333333</t>
  </si>
  <si>
    <t xml:space="preserve">2025-09-01 23:05:06.404302</t>
  </si>
  <si>
    <t xml:space="preserve">0.7309132325</t>
  </si>
  <si>
    <t xml:space="preserve">2025-09-01 23:04:28.799969</t>
  </si>
  <si>
    <t xml:space="preserve">1.20855554694444</t>
  </si>
  <si>
    <t xml:space="preserve">2025-09-01 23:46:44.999847</t>
  </si>
  <si>
    <t xml:space="preserve">2.60027773527778</t>
  </si>
  <si>
    <t xml:space="preserve">2025-09-02 03:56:12.013225</t>
  </si>
  <si>
    <t xml:space="preserve">5.19934625472222</t>
  </si>
  <si>
    <t xml:space="preserve">2025-09-02 04:48:37.701357</t>
  </si>
  <si>
    <t xml:space="preserve">6.02613608194444</t>
  </si>
  <si>
    <t xml:space="preserve">2025-09-01 23:45:00.814123</t>
  </si>
  <si>
    <t xml:space="preserve">0.817010353611111</t>
  </si>
  <si>
    <t xml:space="preserve">2025-09-01 23:31:15.218783</t>
  </si>
  <si>
    <t xml:space="preserve">0.580175988611111</t>
  </si>
  <si>
    <t xml:space="preserve">2025-09-01 23:52:54.588676</t>
  </si>
  <si>
    <t xml:space="preserve">0.813322396111111</t>
  </si>
  <si>
    <t xml:space="preserve">2025-09-02 00:01:27.919</t>
  </si>
  <si>
    <t xml:space="preserve">0.949755286388889</t>
  </si>
  <si>
    <t xml:space="preserve">2025-09-01 23:54:47.44633</t>
  </si>
  <si>
    <t xml:space="preserve">0.82806723</t>
  </si>
  <si>
    <t xml:space="preserve">2025-09-01 23:52:50.052195</t>
  </si>
  <si>
    <t xml:space="preserve">0.764931234444445</t>
  </si>
  <si>
    <t xml:space="preserve">2025-09-01 23:51:09.110446</t>
  </si>
  <si>
    <t xml:space="preserve">0.399650660833333</t>
  </si>
  <si>
    <t xml:space="preserve">2025-09-02 00:37:11.028247</t>
  </si>
  <si>
    <t xml:space="preserve">1.09883596222222</t>
  </si>
  <si>
    <t xml:space="preserve">2025-09-01 23:57:00.334333</t>
  </si>
  <si>
    <t xml:space="preserve">0.244361417777778</t>
  </si>
  <si>
    <t xml:space="preserve">2025-09-01 23:56:56.084708</t>
  </si>
  <si>
    <t xml:space="preserve">0.218661307777778</t>
  </si>
  <si>
    <t xml:space="preserve">2025-09-01 23:57:04.497462</t>
  </si>
  <si>
    <t xml:space="preserve">0.201023149722222</t>
  </si>
  <si>
    <t xml:space="preserve">2025-09-01 23:55:48.615904</t>
  </si>
  <si>
    <t xml:space="preserve">0.151004460277778</t>
  </si>
  <si>
    <t xml:space="preserve">2025-09-01 23:57:08.520201</t>
  </si>
  <si>
    <t xml:space="preserve">0.0998360430555556</t>
  </si>
  <si>
    <t xml:space="preserve">2025-09-02 02:43:09.092493</t>
  </si>
  <si>
    <t xml:space="preserve">2.838622305</t>
  </si>
  <si>
    <t xml:space="preserve">2025-09-02 00:23:29.42163</t>
  </si>
  <si>
    <t xml:space="preserve">0.509675820555556</t>
  </si>
  <si>
    <t xml:space="preserve">2025-09-01 23:56:46.979</t>
  </si>
  <si>
    <t xml:space="preserve">0.0623383288888889</t>
  </si>
  <si>
    <t xml:space="preserve">2025-09-02 04:10:17.405138</t>
  </si>
  <si>
    <t xml:space="preserve">4.25832189111111</t>
  </si>
  <si>
    <t xml:space="preserve">2025-09-01 23:55:39.415817</t>
  </si>
  <si>
    <t xml:space="preserve">3.0078932825</t>
  </si>
  <si>
    <t xml:space="preserve">2025-09-02 02:25:59.976499</t>
  </si>
  <si>
    <t xml:space="preserve">2.50571130055556</t>
  </si>
  <si>
    <t xml:space="preserve">2025-09-02 02:09:43.273155</t>
  </si>
  <si>
    <t xml:space="preserve">2.23184923638889</t>
  </si>
  <si>
    <t xml:space="preserve">2025-09-02 00:05:06.922</t>
  </si>
  <si>
    <t xml:space="preserve">0.138873055555556</t>
  </si>
  <si>
    <t xml:space="preserve">2025-09-02 02:14:23.672625</t>
  </si>
  <si>
    <t xml:space="preserve">2.29099664361111</t>
  </si>
  <si>
    <t xml:space="preserve">2025-09-02 05:30:06.596084</t>
  </si>
  <si>
    <t xml:space="preserve">5.55173937527778</t>
  </si>
  <si>
    <t xml:space="preserve">2025-09-02 02:14:11.677867</t>
  </si>
  <si>
    <t xml:space="preserve">2.28532789027778</t>
  </si>
  <si>
    <t xml:space="preserve">2025-09-02 02:09:50.129956</t>
  </si>
  <si>
    <t xml:space="preserve">2.21155826527778</t>
  </si>
  <si>
    <t xml:space="preserve">2025-09-02 00:02:31.834</t>
  </si>
  <si>
    <t xml:space="preserve">0.0177541666666667</t>
  </si>
  <si>
    <t xml:space="preserve">2025-09-02 00:03:02.527436</t>
  </si>
  <si>
    <t xml:space="preserve">0.00852595444444444</t>
  </si>
  <si>
    <t xml:space="preserve">2025-09-02 00:06:49.008911</t>
  </si>
  <si>
    <t xml:space="preserve">0.0629115208333333</t>
  </si>
  <si>
    <t xml:space="preserve">2025-09-02 00:08:11.363399</t>
  </si>
  <si>
    <t xml:space="preserve">0.0512337219444444</t>
  </si>
  <si>
    <t xml:space="preserve">2025-09-02 00:08:07.257468</t>
  </si>
  <si>
    <t xml:space="preserve">0.0217357102777778</t>
  </si>
  <si>
    <t xml:space="preserve">2025-09-02 02:42:55.385054</t>
  </si>
  <si>
    <t xml:space="preserve">2.58003544055556</t>
  </si>
  <si>
    <t xml:space="preserve">2025-09-02 01:38:40.043</t>
  </si>
  <si>
    <t xml:space="preserve">1.50796655583333</t>
  </si>
  <si>
    <t xml:space="preserve">2025-09-02 00:28:54.283434</t>
  </si>
  <si>
    <t xml:space="preserve">0.09023939</t>
  </si>
  <si>
    <t xml:space="preserve">2025-09-02 04:26:47.241397</t>
  </si>
  <si>
    <t xml:space="preserve">3.96471054527778</t>
  </si>
  <si>
    <t xml:space="preserve">2025-09-02 00:40:49.539921</t>
  </si>
  <si>
    <t xml:space="preserve">0.0606976872222222</t>
  </si>
  <si>
    <t xml:space="preserve">2025-09-02 02:13:25.976</t>
  </si>
  <si>
    <t xml:space="preserve">1.54345446638889</t>
  </si>
  <si>
    <t xml:space="preserve">2025-09-02 03:11:27.255006</t>
  </si>
  <si>
    <t xml:space="preserve">2.26329239916667</t>
  </si>
  <si>
    <t xml:space="preserve">2025-09-02 07:34:03.093683</t>
  </si>
  <si>
    <t xml:space="preserve">6.63820211083333</t>
  </si>
  <si>
    <t xml:space="preserve">2025-09-02 02:38:20.573</t>
  </si>
  <si>
    <t xml:space="preserve">1.68438333333333</t>
  </si>
  <si>
    <t xml:space="preserve">2025-09-02 01:40:35.084887</t>
  </si>
  <si>
    <t xml:space="preserve">0.0319560797222222</t>
  </si>
  <si>
    <t xml:space="preserve">2025-09-02 02:46:58.680675</t>
  </si>
  <si>
    <t xml:space="preserve">1.10655438555556</t>
  </si>
  <si>
    <t xml:space="preserve">2025-09-02 02:16:30.752377</t>
  </si>
  <si>
    <t xml:space="preserve">0.113188672777778</t>
  </si>
  <si>
    <t xml:space="preserve">2025-09-02 02:16:34.498</t>
  </si>
  <si>
    <t xml:space="preserve">0.112324456666667</t>
  </si>
  <si>
    <t xml:space="preserve">2025-09-02 03:09:01.566</t>
  </si>
  <si>
    <t xml:space="preserve">0.926552777777778</t>
  </si>
  <si>
    <t xml:space="preserve">2025-09-02 02:16:50.740234</t>
  </si>
  <si>
    <t xml:space="preserve">0.0441839908333333</t>
  </si>
  <si>
    <t xml:space="preserve">2025-09-02 02:16:56.493958</t>
  </si>
  <si>
    <t xml:space="preserve">0.0424503702777778</t>
  </si>
  <si>
    <t xml:space="preserve">2025-09-02 06:48:27.863485</t>
  </si>
  <si>
    <t xml:space="preserve">4.53253086333333</t>
  </si>
  <si>
    <t xml:space="preserve">2025-09-02 04:33:30.773</t>
  </si>
  <si>
    <t xml:space="preserve">2.28229861111111</t>
  </si>
  <si>
    <t xml:space="preserve">2025-09-02 06:48:47.152928</t>
  </si>
  <si>
    <t xml:space="preserve">4.53233685944444</t>
  </si>
  <si>
    <t xml:space="preserve">2025-09-02 06:47:44.902</t>
  </si>
  <si>
    <t xml:space="preserve">4.51344667833333</t>
  </si>
  <si>
    <t xml:space="preserve">2025-09-02 06:56:52.727589</t>
  </si>
  <si>
    <t xml:space="preserve">4.51465308055556</t>
  </si>
  <si>
    <t xml:space="preserve">2025-09-02 06:40:23.264398</t>
  </si>
  <si>
    <t xml:space="preserve">4.15709427722222</t>
  </si>
  <si>
    <t xml:space="preserve">2025-09-02 04:31:16.895</t>
  </si>
  <si>
    <t xml:space="preserve">1.88231166666667</t>
  </si>
  <si>
    <t xml:space="preserve">2025-09-02 03:04:04.696</t>
  </si>
  <si>
    <t xml:space="preserve">0.352586373888889</t>
  </si>
  <si>
    <t xml:space="preserve">2025-09-02 03:03:55.757797</t>
  </si>
  <si>
    <t xml:space="preserve">0.346295917777778</t>
  </si>
  <si>
    <t xml:space="preserve">2025-09-02 03:06:36.691</t>
  </si>
  <si>
    <t xml:space="preserve">0.327225090277778</t>
  </si>
  <si>
    <t xml:space="preserve">2025-09-02 03:32:52.188</t>
  </si>
  <si>
    <t xml:space="preserve">0.482341723055556</t>
  </si>
  <si>
    <t xml:space="preserve">2025-09-02 03:34:38.145422</t>
  </si>
  <si>
    <t xml:space="preserve">0.509291506111111</t>
  </si>
  <si>
    <t xml:space="preserve">2025-09-02 03:29:22.239</t>
  </si>
  <si>
    <t xml:space="preserve">0.379318888888889</t>
  </si>
  <si>
    <t xml:space="preserve">2025-09-02 05:14:14.779892</t>
  </si>
  <si>
    <t xml:space="preserve">2.08700385888889</t>
  </si>
  <si>
    <t xml:space="preserve">2025-09-02 06:39:27.679442</t>
  </si>
  <si>
    <t xml:space="preserve">3.46678456555556</t>
  </si>
  <si>
    <t xml:space="preserve">2025-09-02 03:40:56.852671</t>
  </si>
  <si>
    <t xml:space="preserve">0.192948241944444</t>
  </si>
  <si>
    <t xml:space="preserve">2025-09-02 03:41:01.206575</t>
  </si>
  <si>
    <t xml:space="preserve">0.135838493055556</t>
  </si>
  <si>
    <t xml:space="preserve">2025-09-02 03:40:23.237631</t>
  </si>
  <si>
    <t xml:space="preserve">0.0958589469444445</t>
  </si>
  <si>
    <t xml:space="preserve">2025-09-02 04:14:36.011217</t>
  </si>
  <si>
    <t xml:space="preserve">0.570214885</t>
  </si>
  <si>
    <t xml:space="preserve">2025-09-02 04:10:09.518814</t>
  </si>
  <si>
    <t xml:space="preserve">0.486851706388889</t>
  </si>
  <si>
    <t xml:space="preserve">2025-09-02 04:14:29.136353</t>
  </si>
  <si>
    <t xml:space="preserve">0.557758271666667</t>
  </si>
  <si>
    <t xml:space="preserve">2025-09-02 05:32:42.821</t>
  </si>
  <si>
    <t xml:space="preserve">1.60855771527778</t>
  </si>
  <si>
    <t xml:space="preserve">2025-09-02 04:25:41.221</t>
  </si>
  <si>
    <t xml:space="preserve">0.258806162777778</t>
  </si>
  <si>
    <t xml:space="preserve">2025-09-02 04:27:02.903893</t>
  </si>
  <si>
    <t xml:space="preserve">0.279305209722222</t>
  </si>
  <si>
    <t xml:space="preserve">2025-09-02 04:26:48.906538</t>
  </si>
  <si>
    <t xml:space="preserve">0.205491718055556</t>
  </si>
  <si>
    <t xml:space="preserve">2025-09-02 04:26:57.960101</t>
  </si>
  <si>
    <t xml:space="preserve">0.206096912222222</t>
  </si>
  <si>
    <t xml:space="preserve">2025-09-02 13:36:20.215219</t>
  </si>
  <si>
    <t xml:space="preserve">9.17998937277778</t>
  </si>
  <si>
    <t xml:space="preserve">2025-09-02 04:37:25.58</t>
  </si>
  <si>
    <t xml:space="preserve">0.195655277777778</t>
  </si>
  <si>
    <t xml:space="preserve">2025-09-02 06:01:39.068</t>
  </si>
  <si>
    <t xml:space="preserve">1.58540166666667</t>
  </si>
  <si>
    <t xml:space="preserve">2025-09-02 06:50:22.840142</t>
  </si>
  <si>
    <t xml:space="preserve">2.39322187361111</t>
  </si>
  <si>
    <t xml:space="preserve">2025-09-02 04:47:01.994343</t>
  </si>
  <si>
    <t xml:space="preserve">0.336968834722222</t>
  </si>
  <si>
    <t xml:space="preserve">2025-09-02 05:01:21.82409</t>
  </si>
  <si>
    <t xml:space="preserve">0.5732955525</t>
  </si>
  <si>
    <t xml:space="preserve">2025-09-02 06:22:47.128658</t>
  </si>
  <si>
    <t xml:space="preserve">1.92895132361111</t>
  </si>
  <si>
    <t xml:space="preserve">2025-09-02 04:42:17.344</t>
  </si>
  <si>
    <t xml:space="preserve">0.183458055555556</t>
  </si>
  <si>
    <t xml:space="preserve">2025-09-02 04:36:41.699846</t>
  </si>
  <si>
    <t xml:space="preserve">0.053035235</t>
  </si>
  <si>
    <t xml:space="preserve">2025-09-02 04:51:38.773968</t>
  </si>
  <si>
    <t xml:space="preserve">0.249187256111111</t>
  </si>
  <si>
    <t xml:space="preserve">2025-09-02 04:39:59.875</t>
  </si>
  <si>
    <t xml:space="preserve">0.0428597222222222</t>
  </si>
  <si>
    <t xml:space="preserve">2025-09-02 04:50:20.301</t>
  </si>
  <si>
    <t xml:space="preserve">0.172340555555556</t>
  </si>
  <si>
    <t xml:space="preserve">2025-09-02 06:54:46.143</t>
  </si>
  <si>
    <t xml:space="preserve">2.20799972222222</t>
  </si>
  <si>
    <t xml:space="preserve">2025-09-02 04:47:10.925</t>
  </si>
  <si>
    <t xml:space="preserve">0.00248073805555556</t>
  </si>
  <si>
    <t xml:space="preserve">2025-09-02 04:48:20.945</t>
  </si>
  <si>
    <t xml:space="preserve">0.01945</t>
  </si>
  <si>
    <t xml:space="preserve">2025-09-02 05:00:38.96178</t>
  </si>
  <si>
    <t xml:space="preserve">0.205004661111111</t>
  </si>
  <si>
    <t xml:space="preserve">2025-09-02 06:50:29.411685</t>
  </si>
  <si>
    <t xml:space="preserve">2.03103064666667</t>
  </si>
  <si>
    <t xml:space="preserve">2025-09-02 04:54:26.707</t>
  </si>
  <si>
    <t xml:space="preserve">0.0684461111111111</t>
  </si>
  <si>
    <t xml:space="preserve">2025-09-02 05:51:52.19177</t>
  </si>
  <si>
    <t xml:space="preserve">1.00372716722222</t>
  </si>
  <si>
    <t xml:space="preserve">2025-09-02 04:55:06.383</t>
  </si>
  <si>
    <t xml:space="preserve">0.0110211111111111</t>
  </si>
  <si>
    <t xml:space="preserve">2025-09-02 05:03:21.628</t>
  </si>
  <si>
    <t xml:space="preserve">0.137568055555556</t>
  </si>
  <si>
    <t xml:space="preserve">2025-09-02 05:00:43.212</t>
  </si>
  <si>
    <t xml:space="preserve">0.00118061666666667</t>
  </si>
  <si>
    <t xml:space="preserve">2025-09-02 05:01:39.904382</t>
  </si>
  <si>
    <t xml:space="preserve">0.0157478838888889</t>
  </si>
  <si>
    <t xml:space="preserve">2025-09-02 05:02:37.911842</t>
  </si>
  <si>
    <t xml:space="preserve">0.0211354866666667</t>
  </si>
  <si>
    <t xml:space="preserve">2025-09-02 05:01:41.228</t>
  </si>
  <si>
    <t xml:space="preserve">0.000367671666666667</t>
  </si>
  <si>
    <t xml:space="preserve">2025-09-02 06:24:43.019434</t>
  </si>
  <si>
    <t xml:space="preserve">1.38383095388889</t>
  </si>
  <si>
    <t xml:space="preserve">2025-09-02 06:25:01.340037</t>
  </si>
  <si>
    <t xml:space="preserve">1.37317449861111</t>
  </si>
  <si>
    <t xml:space="preserve">2025-09-02 05:27:33.89703</t>
  </si>
  <si>
    <t xml:space="preserve">0.403408063888889</t>
  </si>
  <si>
    <t xml:space="preserve">2025-09-02 05:22:54.945</t>
  </si>
  <si>
    <t xml:space="preserve">0.144490307777778</t>
  </si>
  <si>
    <t xml:space="preserve">2025-09-02 06:48:40.812732</t>
  </si>
  <si>
    <t xml:space="preserve">1.42940770333333</t>
  </si>
  <si>
    <t xml:space="preserve">2025-09-02 05:28:56.169432</t>
  </si>
  <si>
    <t xml:space="preserve">0.022853445</t>
  </si>
  <si>
    <t xml:space="preserve">2025-09-02 06:24:24.033848</t>
  </si>
  <si>
    <t xml:space="preserve">0.924406782222222</t>
  </si>
  <si>
    <t xml:space="preserve">2025-09-02 05:33:36.513</t>
  </si>
  <si>
    <t xml:space="preserve">0.0583102544444444</t>
  </si>
  <si>
    <t xml:space="preserve">2025-09-02 06:50:13.102616</t>
  </si>
  <si>
    <t xml:space="preserve">1.29174489333333</t>
  </si>
  <si>
    <t xml:space="preserve">2025-09-02 06:48:22.485021</t>
  </si>
  <si>
    <t xml:space="preserve">1.24610333916667</t>
  </si>
  <si>
    <t xml:space="preserve">2025-09-02 07:19:38.231034</t>
  </si>
  <si>
    <t xml:space="preserve">1.46278868444444</t>
  </si>
  <si>
    <t xml:space="preserve">2025-09-02 09:04:40.94917</t>
  </si>
  <si>
    <t xml:space="preserve">3.05052254722222</t>
  </si>
  <si>
    <t xml:space="preserve">2025-09-02 11:36:59.054018</t>
  </si>
  <si>
    <t xml:space="preserve">5.23664593333333</t>
  </si>
  <si>
    <t xml:space="preserve">2025-09-02 07:00:26.757664</t>
  </si>
  <si>
    <t xml:space="preserve">0.600756615555556</t>
  </si>
  <si>
    <t xml:space="preserve">2025-09-02 07:00:27.619002</t>
  </si>
  <si>
    <t xml:space="preserve">0.595722102222222</t>
  </si>
  <si>
    <t xml:space="preserve">2025-09-02 06:50:47.194547</t>
  </si>
  <si>
    <t xml:space="preserve">0.429404030555556</t>
  </si>
  <si>
    <t xml:space="preserve">2025-09-02 07:01:44.469943</t>
  </si>
  <si>
    <t xml:space="preserve">0.371330694722222</t>
  </si>
  <si>
    <t xml:space="preserve">2025-09-02 07:11:49.003</t>
  </si>
  <si>
    <t xml:space="preserve">0.523816278333333</t>
  </si>
  <si>
    <t xml:space="preserve">2025-09-02 06:58:41.044374</t>
  </si>
  <si>
    <t xml:space="preserve">0.182261770555556</t>
  </si>
  <si>
    <t xml:space="preserve">2025-09-02 06:58:45.655256</t>
  </si>
  <si>
    <t xml:space="preserve">0.173102843055556</t>
  </si>
  <si>
    <t xml:space="preserve">2025-09-02 06:58:31.828073</t>
  </si>
  <si>
    <t xml:space="preserve">0.167767941111111</t>
  </si>
  <si>
    <t xml:space="preserve">2025-09-02 06:58:58.042166</t>
  </si>
  <si>
    <t xml:space="preserve">0.171452620555556</t>
  </si>
  <si>
    <t xml:space="preserve">2025-09-02 06:58:50.604533</t>
  </si>
  <si>
    <t xml:space="preserve">0.167625445833333</t>
  </si>
  <si>
    <t xml:space="preserve">2025-09-02 06:58:36.548903</t>
  </si>
  <si>
    <t xml:space="preserve">0.139846190833333</t>
  </si>
  <si>
    <t xml:space="preserve">2025-09-02 07:01:07.732953</t>
  </si>
  <si>
    <t xml:space="preserve">0.179136891944444</t>
  </si>
  <si>
    <t xml:space="preserve">2025-09-02 06:59:43.634731</t>
  </si>
  <si>
    <t xml:space="preserve">0.153950846111111</t>
  </si>
  <si>
    <t xml:space="preserve">2025-09-02 06:56:15.21069</t>
  </si>
  <si>
    <t xml:space="preserve">0.0911155952777778</t>
  </si>
  <si>
    <t xml:space="preserve">2025-09-02 07:00:26.687</t>
  </si>
  <si>
    <t xml:space="preserve">0.0945955555555555</t>
  </si>
  <si>
    <t xml:space="preserve">2025-09-02 07:00:37.679875</t>
  </si>
  <si>
    <t xml:space="preserve">0.0729081069444444</t>
  </si>
  <si>
    <t xml:space="preserve">2025-09-02 07:01:48.756969</t>
  </si>
  <si>
    <t xml:space="preserve">0.0822303833333333</t>
  </si>
  <si>
    <t xml:space="preserve">2025-09-02 10:23:27.9381</t>
  </si>
  <si>
    <t xml:space="preserve">3.41558611861111</t>
  </si>
  <si>
    <t xml:space="preserve">2025-09-02 11:10:40.2382</t>
  </si>
  <si>
    <t xml:space="preserve">4.20102480472222</t>
  </si>
  <si>
    <t xml:space="preserve">2025-09-02 09:28:50.141135</t>
  </si>
  <si>
    <t xml:space="preserve">2.50252687805556</t>
  </si>
  <si>
    <t xml:space="preserve">2025-09-02 10:21:20.276</t>
  </si>
  <si>
    <t xml:space="preserve">3.37628354</t>
  </si>
  <si>
    <t xml:space="preserve">2025-09-02 10:23:34.162265</t>
  </si>
  <si>
    <t xml:space="preserve">3.41209937</t>
  </si>
  <si>
    <t xml:space="preserve">2025-09-02 10:23:07.147</t>
  </si>
  <si>
    <t xml:space="preserve">3.40252912055556</t>
  </si>
  <si>
    <t xml:space="preserve">2025-09-02 10:00:00.972311</t>
  </si>
  <si>
    <t xml:space="preserve">3.00481599444444</t>
  </si>
  <si>
    <t xml:space="preserve">2025-09-02 08:44:57.383068</t>
  </si>
  <si>
    <t xml:space="preserve">1.74184039</t>
  </si>
  <si>
    <t xml:space="preserve">2025-09-02 07:17:56.653944</t>
  </si>
  <si>
    <t xml:space="preserve">0.291398595</t>
  </si>
  <si>
    <t xml:space="preserve">2025-09-02 07:30:29.603</t>
  </si>
  <si>
    <t xml:space="preserve">0.50081</t>
  </si>
  <si>
    <t xml:space="preserve">2025-09-02 07:00:44.274</t>
  </si>
  <si>
    <t xml:space="preserve">0.00183170138888889</t>
  </si>
  <si>
    <t xml:space="preserve">2025-09-02 07:02:31.024138</t>
  </si>
  <si>
    <t xml:space="preserve">0.0296528161111111</t>
  </si>
  <si>
    <t xml:space="preserve">2025-09-02 07:24:31.273955</t>
  </si>
  <si>
    <t xml:space="preserve">0.389872500555556</t>
  </si>
  <si>
    <t xml:space="preserve">2025-09-02 18:50:27.525266</t>
  </si>
  <si>
    <t xml:space="preserve">11.8119598119444</t>
  </si>
  <si>
    <t xml:space="preserve">2025-09-02 13:51:46.568212</t>
  </si>
  <si>
    <t xml:space="preserve">6.83272534527778</t>
  </si>
  <si>
    <t xml:space="preserve">2025-09-02 07:18:05.35613</t>
  </si>
  <si>
    <t xml:space="preserve">0.259536664444444</t>
  </si>
  <si>
    <t xml:space="preserve">2025-09-02 18:30:03.935</t>
  </si>
  <si>
    <t xml:space="preserve">11.3041477777778</t>
  </si>
  <si>
    <t xml:space="preserve">2025-09-02 09:47:20.878591</t>
  </si>
  <si>
    <t xml:space="preserve">2.49006240194444</t>
  </si>
  <si>
    <t xml:space="preserve">2025-09-02 08:58:03.6117</t>
  </si>
  <si>
    <t xml:space="preserve">1.66618210277778</t>
  </si>
  <si>
    <t xml:space="preserve">2025-09-02 10:50:02.866818</t>
  </si>
  <si>
    <t xml:space="preserve">3.50684327333333</t>
  </si>
  <si>
    <t xml:space="preserve">2025-09-02 07:38:55.60739</t>
  </si>
  <si>
    <t xml:space="preserve">0.240092620833333</t>
  </si>
  <si>
    <t xml:space="preserve">2025-09-02 07:33:05.265</t>
  </si>
  <si>
    <t xml:space="preserve">0.0432394444444444</t>
  </si>
  <si>
    <t xml:space="preserve">2025-09-02 07:34:34.414</t>
  </si>
  <si>
    <t xml:space="preserve">0.0247636111111111</t>
  </si>
  <si>
    <t xml:space="preserve">2025-09-02 18:50:18.526151</t>
  </si>
  <si>
    <t xml:space="preserve">11.2709534633333</t>
  </si>
  <si>
    <t xml:space="preserve">2025-09-02 11:22:52.034989</t>
  </si>
  <si>
    <t xml:space="preserve">3.80827407583333</t>
  </si>
  <si>
    <t xml:space="preserve">2025-09-02 07:46:52.31</t>
  </si>
  <si>
    <t xml:space="preserve">0.204971111111111</t>
  </si>
  <si>
    <t xml:space="preserve">2025-09-02 10:18:14.962801</t>
  </si>
  <si>
    <t xml:space="preserve">2.65537650305556</t>
  </si>
  <si>
    <t xml:space="preserve">2025-09-02 08:01:08.682</t>
  </si>
  <si>
    <t xml:space="preserve">0.237881111111111</t>
  </si>
  <si>
    <t xml:space="preserve">2025-09-02 08:55:55.39316</t>
  </si>
  <si>
    <t xml:space="preserve">0.912975322222222</t>
  </si>
  <si>
    <t xml:space="preserve">2025-09-02 08:47:48.757262</t>
  </si>
  <si>
    <t xml:space="preserve">0.0476039427777778</t>
  </si>
  <si>
    <t xml:space="preserve">2025-09-02 09:41:41.679883</t>
  </si>
  <si>
    <t xml:space="preserve">0.898034061388889</t>
  </si>
  <si>
    <t xml:space="preserve">2025-09-02 15:24:05.654</t>
  </si>
  <si>
    <t xml:space="preserve">6.4695169</t>
  </si>
  <si>
    <t xml:space="preserve">2025-09-02 10:01:54.208425</t>
  </si>
  <si>
    <t xml:space="preserve">1.06405464583333</t>
  </si>
  <si>
    <t xml:space="preserve">2025-09-02 09:25:36.248</t>
  </si>
  <si>
    <t xml:space="preserve">0.348694119444444</t>
  </si>
  <si>
    <t xml:space="preserve">2025-09-02 09:29:00.228</t>
  </si>
  <si>
    <t xml:space="preserve">0.0566611111111111</t>
  </si>
  <si>
    <t xml:space="preserve">2025-09-02 09:35:58.477056</t>
  </si>
  <si>
    <t xml:space="preserve">0.118982200277778</t>
  </si>
  <si>
    <t xml:space="preserve">2025-09-02 09:55:01.516394</t>
  </si>
  <si>
    <t xml:space="preserve">0.433691220555556</t>
  </si>
  <si>
    <t xml:space="preserve">2025-09-02 10:41:47.480322</t>
  </si>
  <si>
    <t xml:space="preserve">1.09694535166667</t>
  </si>
  <si>
    <t xml:space="preserve">2025-09-02 09:45:35.544088</t>
  </si>
  <si>
    <t xml:space="preserve">0.0649622791666667</t>
  </si>
  <si>
    <t xml:space="preserve">2025-09-02 10:34:49.806</t>
  </si>
  <si>
    <t xml:space="preserve">0.820628308888889</t>
  </si>
  <si>
    <t xml:space="preserve">2025-09-02 09:50:28.212</t>
  </si>
  <si>
    <t xml:space="preserve">0.0520370580555556</t>
  </si>
  <si>
    <t xml:space="preserve">2025-09-02 10:28:45.682239</t>
  </si>
  <si>
    <t xml:space="preserve">0.6381861775</t>
  </si>
  <si>
    <t xml:space="preserve">2025-09-02 10:02:41.327</t>
  </si>
  <si>
    <t xml:space="preserve">0.127725168333333</t>
  </si>
  <si>
    <t xml:space="preserve">2025-09-02 10:04:04.556881</t>
  </si>
  <si>
    <t xml:space="preserve">0.0676623805555556</t>
  </si>
  <si>
    <t xml:space="preserve">2025-09-02 10:02:28.48583</t>
  </si>
  <si>
    <t xml:space="preserve">0.00952150138888889</t>
  </si>
  <si>
    <t xml:space="preserve">2025-09-02 10:33:18.970014</t>
  </si>
  <si>
    <t xml:space="preserve">0.514023384444444</t>
  </si>
  <si>
    <t xml:space="preserve">2025-09-02 10:45:49.891</t>
  </si>
  <si>
    <t xml:space="preserve">0.719045555555555</t>
  </si>
  <si>
    <t xml:space="preserve">2025-09-02 10:31:15.23394</t>
  </si>
  <si>
    <t xml:space="preserve">0.452965849722222</t>
  </si>
  <si>
    <t xml:space="preserve">0.142788110833333</t>
  </si>
  <si>
    <t xml:space="preserve">2025-09-02 10:26:02.627</t>
  </si>
  <si>
    <t xml:space="preserve">0.0784308333333333</t>
  </si>
  <si>
    <t xml:space="preserve">2025-09-02 10:29:07.182</t>
  </si>
  <si>
    <t xml:space="preserve">0.100009722222222</t>
  </si>
  <si>
    <t xml:space="preserve">0.0611283055555556</t>
  </si>
  <si>
    <t xml:space="preserve">2025-09-02 10:26:47.798993</t>
  </si>
  <si>
    <t xml:space="preserve">0.05378798</t>
  </si>
  <si>
    <t xml:space="preserve">2025-09-02 11:01:09.007429</t>
  </si>
  <si>
    <t xml:space="preserve">0.585105674722222</t>
  </si>
  <si>
    <t xml:space="preserve">2025-09-02 10:46:10.979118</t>
  </si>
  <si>
    <t xml:space="preserve">0.323105590277778</t>
  </si>
  <si>
    <t xml:space="preserve">2025-09-02 12:27:08.910302</t>
  </si>
  <si>
    <t xml:space="preserve">1.99886449694444</t>
  </si>
  <si>
    <t xml:space="preserve">2025-09-02 12:01:35.044456</t>
  </si>
  <si>
    <t xml:space="preserve">1.54704506027778</t>
  </si>
  <si>
    <t xml:space="preserve">2025-09-02 10:52:24.748</t>
  </si>
  <si>
    <t xml:space="preserve">0.388212777777778</t>
  </si>
  <si>
    <t xml:space="preserve">2025-09-02 10:48:35.725718</t>
  </si>
  <si>
    <t xml:space="preserve">0.289025493888889</t>
  </si>
  <si>
    <t xml:space="preserve">2025-09-02 10:56:51.906715</t>
  </si>
  <si>
    <t xml:space="preserve">0.392482416944444</t>
  </si>
  <si>
    <t xml:space="preserve">2025-09-02 10:56:26.009648</t>
  </si>
  <si>
    <t xml:space="preserve">0.360056568888889</t>
  </si>
  <si>
    <t xml:space="preserve">2025-09-02 11:08:28.392856</t>
  </si>
  <si>
    <t xml:space="preserve">0.694275793333333</t>
  </si>
  <si>
    <t xml:space="preserve">2025-09-02 10:45:45.627</t>
  </si>
  <si>
    <t xml:space="preserve">0.066151855</t>
  </si>
  <si>
    <t xml:space="preserve">2025-09-02 10:58:52.836219</t>
  </si>
  <si>
    <t xml:space="preserve">0.2186692275</t>
  </si>
  <si>
    <t xml:space="preserve">2025-09-02 10:49:33.989</t>
  </si>
  <si>
    <t xml:space="preserve">0.0622494444444444</t>
  </si>
  <si>
    <t xml:space="preserve">2025-09-02 10:52:10.24624</t>
  </si>
  <si>
    <t xml:space="preserve">0.0997964227777778</t>
  </si>
  <si>
    <t xml:space="preserve">2025-09-02 11:08:52.869279</t>
  </si>
  <si>
    <t xml:space="preserve">0.338095433611111</t>
  </si>
  <si>
    <t xml:space="preserve">2025-09-02 10:56:05.201</t>
  </si>
  <si>
    <t xml:space="preserve">0.10867</t>
  </si>
  <si>
    <t xml:space="preserve">2025-09-02 12:07:33.275868</t>
  </si>
  <si>
    <t xml:space="preserve">1.29178029166667</t>
  </si>
  <si>
    <t xml:space="preserve">1.63159826666667</t>
  </si>
  <si>
    <t xml:space="preserve">2025-09-02 10:55:23.284</t>
  </si>
  <si>
    <t xml:space="preserve">0.0495933333333333</t>
  </si>
  <si>
    <t xml:space="preserve">2025-09-02 11:36:12.249</t>
  </si>
  <si>
    <t xml:space="preserve">0.680268055555556</t>
  </si>
  <si>
    <t xml:space="preserve">2025-09-02 12:41:48.482066</t>
  </si>
  <si>
    <t xml:space="preserve">1.76202251833333</t>
  </si>
  <si>
    <t xml:space="preserve">2025-09-02 11:23:09.47321</t>
  </si>
  <si>
    <t xml:space="preserve">0.445406545</t>
  </si>
  <si>
    <t xml:space="preserve">2025-09-02 12:24:46.352619</t>
  </si>
  <si>
    <t xml:space="preserve">1.46512386222222</t>
  </si>
  <si>
    <t xml:space="preserve">2025-09-02 18:33:45.987746</t>
  </si>
  <si>
    <t xml:space="preserve">7.58143097972222</t>
  </si>
  <si>
    <t xml:space="preserve">2025-09-02 11:03:15.304</t>
  </si>
  <si>
    <t xml:space="preserve">0.0350823808333333</t>
  </si>
  <si>
    <t xml:space="preserve">1.40491555555556</t>
  </si>
  <si>
    <t xml:space="preserve">2025-09-02 11:08:11.743872</t>
  </si>
  <si>
    <t xml:space="preserve">2025-09-02 12:07:18.212868</t>
  </si>
  <si>
    <t xml:space="preserve">0.985130276666667</t>
  </si>
  <si>
    <t xml:space="preserve">2025-09-02 12:11:56.416105</t>
  </si>
  <si>
    <t xml:space="preserve">1.05778423583333</t>
  </si>
  <si>
    <t xml:space="preserve">2025-09-02 20:09:41.794384</t>
  </si>
  <si>
    <t xml:space="preserve">9.01359030694444</t>
  </si>
  <si>
    <t xml:space="preserve">2025-09-02 11:16:09.07967</t>
  </si>
  <si>
    <t xml:space="preserve">0.0913448527777778</t>
  </si>
  <si>
    <t xml:space="preserve">2025-09-02 11:18:57.578</t>
  </si>
  <si>
    <t xml:space="preserve">0.0468050916666667</t>
  </si>
  <si>
    <t xml:space="preserve">2025-09-02 12:07:07.775</t>
  </si>
  <si>
    <t xml:space="preserve">0.8028325</t>
  </si>
  <si>
    <t xml:space="preserve">2025-09-02 15:16:33.766526</t>
  </si>
  <si>
    <t xml:space="preserve">3.89492542694444</t>
  </si>
  <si>
    <t xml:space="preserve">2025-09-02 11:23:53.587076</t>
  </si>
  <si>
    <t xml:space="preserve">0.0122538516666667</t>
  </si>
  <si>
    <t xml:space="preserve">2025-09-02 11:41:02.96302</t>
  </si>
  <si>
    <t xml:space="preserve">0.285937762222222</t>
  </si>
  <si>
    <t xml:space="preserve">2025-09-02 11:41:48.687</t>
  </si>
  <si>
    <t xml:space="preserve">0.093455</t>
  </si>
  <si>
    <t xml:space="preserve">2025-09-03 09:03:01.237402</t>
  </si>
  <si>
    <t xml:space="preserve">21.4339398288889</t>
  </si>
  <si>
    <t xml:space="preserve">2025-09-02 11:43:11.949288</t>
  </si>
  <si>
    <t xml:space="preserve">0.0358295188888889</t>
  </si>
  <si>
    <t xml:space="preserve">0.8406425</t>
  </si>
  <si>
    <t xml:space="preserve">2025-09-02 11:44:03.842919</t>
  </si>
  <si>
    <t xml:space="preserve">0.0144148975</t>
  </si>
  <si>
    <t xml:space="preserve">2025-09-02 11:45:38.163</t>
  </si>
  <si>
    <t xml:space="preserve">0.0262000225</t>
  </si>
  <si>
    <t xml:space="preserve">2025-09-02 11:54:06.944578</t>
  </si>
  <si>
    <t xml:space="preserve">0.141328216111111</t>
  </si>
  <si>
    <t xml:space="preserve">2025-09-02 11:56:04.715493</t>
  </si>
  <si>
    <t xml:space="preserve">0.0327141430555556</t>
  </si>
  <si>
    <t xml:space="preserve">2025-09-02 12:05:54.956241</t>
  </si>
  <si>
    <t xml:space="preserve">0.163955763333333</t>
  </si>
  <si>
    <t xml:space="preserve">2025-09-02 16:36:58.860311</t>
  </si>
  <si>
    <t xml:space="preserve">4.58994884861111</t>
  </si>
  <si>
    <t xml:space="preserve">2025-09-02 12:07:22.190696</t>
  </si>
  <si>
    <t xml:space="preserve">0.0242317930555556</t>
  </si>
  <si>
    <t xml:space="preserve">0.322840277777778</t>
  </si>
  <si>
    <t xml:space="preserve">2025-09-02 12:24:30.405323</t>
  </si>
  <si>
    <t xml:space="preserve">0.286720126388889</t>
  </si>
  <si>
    <t xml:space="preserve">2025-09-02 12:17:23.461563</t>
  </si>
  <si>
    <t xml:space="preserve">0.167019685277778</t>
  </si>
  <si>
    <t xml:space="preserve">0.360478925555556</t>
  </si>
  <si>
    <t xml:space="preserve">2025-09-02 12:29:32.717564</t>
  </si>
  <si>
    <t xml:space="preserve">0.293417071944444</t>
  </si>
  <si>
    <t xml:space="preserve">2025-09-02 12:20:21.955848</t>
  </si>
  <si>
    <t xml:space="preserve">0.0923335880555556</t>
  </si>
  <si>
    <t xml:space="preserve">2025-09-02 12:19:24.867</t>
  </si>
  <si>
    <t xml:space="preserve">0.0337237325</t>
  </si>
  <si>
    <t xml:space="preserve">2025-09-02 12:30:13.363409</t>
  </si>
  <si>
    <t xml:space="preserve">0.180137891388889</t>
  </si>
  <si>
    <t xml:space="preserve">2025-09-02 13:06:16.67834</t>
  </si>
  <si>
    <t xml:space="preserve">0.765200692222222</t>
  </si>
  <si>
    <t xml:space="preserve">0.575442965833333</t>
  </si>
  <si>
    <t xml:space="preserve">0.663790939166667</t>
  </si>
  <si>
    <t xml:space="preserve">2025-09-02 14:38:25.369</t>
  </si>
  <si>
    <t xml:space="preserve">2.18790519388889</t>
  </si>
  <si>
    <t xml:space="preserve">2025-09-02 15:29:59.003912</t>
  </si>
  <si>
    <t xml:space="preserve">3.00730176333333</t>
  </si>
  <si>
    <t xml:space="preserve">2025-09-02 12:32:36.625</t>
  </si>
  <si>
    <t xml:space="preserve">0.0397948863888889</t>
  </si>
  <si>
    <t xml:space="preserve">2025-09-02 12:47:57.308251</t>
  </si>
  <si>
    <t xml:space="preserve">0.2557453475</t>
  </si>
  <si>
    <t xml:space="preserve">2025-09-02 12:55:31.959</t>
  </si>
  <si>
    <t xml:space="preserve">0.228743592777778</t>
  </si>
  <si>
    <t xml:space="preserve">2025-09-02 12:50:24.787096</t>
  </si>
  <si>
    <t xml:space="preserve">0.0409663458333333</t>
  </si>
  <si>
    <t xml:space="preserve">2025-09-02 14:49:21.081265</t>
  </si>
  <si>
    <t xml:space="preserve">1.98230393583333</t>
  </si>
  <si>
    <t xml:space="preserve">2025-09-02 12:50:55.904</t>
  </si>
  <si>
    <t xml:space="preserve">2025-09-02 12:56:06.363</t>
  </si>
  <si>
    <t xml:space="preserve">0.0862386111111111</t>
  </si>
  <si>
    <t xml:space="preserve">2025-09-02 12:52:48.23946</t>
  </si>
  <si>
    <t xml:space="preserve">2025-09-02 13:31:48.316684</t>
  </si>
  <si>
    <t xml:space="preserve">0.650021451111111</t>
  </si>
  <si>
    <t xml:space="preserve">2025-09-02 12:54:07.698549</t>
  </si>
  <si>
    <t xml:space="preserve">2025-09-02 16:27:44.897</t>
  </si>
  <si>
    <t xml:space="preserve">3.56033290305556</t>
  </si>
  <si>
    <t xml:space="preserve">2025-09-02 18:54:16.997412</t>
  </si>
  <si>
    <t xml:space="preserve">5.97917733666667</t>
  </si>
  <si>
    <t xml:space="preserve">2025-09-02 12:57:57.737849</t>
  </si>
  <si>
    <t xml:space="preserve">0.0309374580555556</t>
  </si>
  <si>
    <t xml:space="preserve">2025-09-02 17:13:01.574</t>
  </si>
  <si>
    <t xml:space="preserve">4.2510655975</t>
  </si>
  <si>
    <t xml:space="preserve">2025-09-02 16:10:42.830395</t>
  </si>
  <si>
    <t xml:space="preserve">3.07393112638889</t>
  </si>
  <si>
    <t xml:space="preserve">2025-09-02 16:21:49.365</t>
  </si>
  <si>
    <t xml:space="preserve">3.28704583333333</t>
  </si>
  <si>
    <t xml:space="preserve">2025-09-02 16:26:34.354284</t>
  </si>
  <si>
    <t xml:space="preserve">3.45898730111111</t>
  </si>
  <si>
    <t xml:space="preserve">2025-09-02 13:08:37.909333</t>
  </si>
  <si>
    <t xml:space="preserve">2025-09-02 17:11:18.811407</t>
  </si>
  <si>
    <t xml:space="preserve">4.04469502055556</t>
  </si>
  <si>
    <t xml:space="preserve">2025-09-02 15:41:24.133304</t>
  </si>
  <si>
    <t xml:space="preserve">2.15994906111111</t>
  </si>
  <si>
    <t xml:space="preserve">2025-09-02 13:46:50.814204</t>
  </si>
  <si>
    <t xml:space="preserve">0.175166384722222</t>
  </si>
  <si>
    <t xml:space="preserve">2025-09-02 17:05:24.148095</t>
  </si>
  <si>
    <t xml:space="preserve">3.30925941416667</t>
  </si>
  <si>
    <t xml:space="preserve">2025-09-02 19:01:55.002861</t>
  </si>
  <si>
    <t xml:space="preserve">5.16900962472222</t>
  </si>
  <si>
    <t xml:space="preserve">2025-09-02 13:56:30.396359</t>
  </si>
  <si>
    <t xml:space="preserve">2025-09-02 14:57:55.961</t>
  </si>
  <si>
    <t xml:space="preserve">1.02376795583333</t>
  </si>
  <si>
    <t xml:space="preserve">2025-09-02 14:48:03.468</t>
  </si>
  <si>
    <t xml:space="preserve">0.160583055555556</t>
  </si>
  <si>
    <t xml:space="preserve">2025-09-02 14:51:59.454124</t>
  </si>
  <si>
    <t xml:space="preserve">0.0655517011111111</t>
  </si>
  <si>
    <t xml:space="preserve">2025-09-02 14:51:51.914</t>
  </si>
  <si>
    <t xml:space="preserve">0.0418979819444444</t>
  </si>
  <si>
    <t xml:space="preserve">2025-09-02 15:01:08.620244</t>
  </si>
  <si>
    <t xml:space="preserve">0.154640623333333</t>
  </si>
  <si>
    <t xml:space="preserve">2025-09-02 15:02:46.081936</t>
  </si>
  <si>
    <t xml:space="preserve">0.179618836666667</t>
  </si>
  <si>
    <t xml:space="preserve">2025-09-02 15:06:02.949</t>
  </si>
  <si>
    <t xml:space="preserve">0.135274444444444</t>
  </si>
  <si>
    <t xml:space="preserve">2025-09-02 15:02:27.728237</t>
  </si>
  <si>
    <t xml:space="preserve">0.0219744425</t>
  </si>
  <si>
    <t xml:space="preserve">2025-09-02 15:14:48.627823</t>
  </si>
  <si>
    <t xml:space="preserve">0.205805440555556</t>
  </si>
  <si>
    <t xml:space="preserve">2025-09-02 15:16:59.673993</t>
  </si>
  <si>
    <t xml:space="preserve">0.237108904722222</t>
  </si>
  <si>
    <t xml:space="preserve">2025-09-02 16:42:09.061852</t>
  </si>
  <si>
    <t xml:space="preserve">1.60169801444444</t>
  </si>
  <si>
    <t xml:space="preserve">2025-09-02 15:16:31.658363</t>
  </si>
  <si>
    <t xml:space="preserve">0.0286195944444444</t>
  </si>
  <si>
    <t xml:space="preserve">2025-09-02 15:26:06.989234</t>
  </si>
  <si>
    <t xml:space="preserve">0.159814130833333</t>
  </si>
  <si>
    <t xml:space="preserve">2025-09-02 18:50:23.192101</t>
  </si>
  <si>
    <t xml:space="preserve">3.56372932638889</t>
  </si>
  <si>
    <t xml:space="preserve">2025-09-02 15:34:30.868</t>
  </si>
  <si>
    <t xml:space="preserve">0.291998335277778</t>
  </si>
  <si>
    <t xml:space="preserve">2025-09-02 15:40:32.399</t>
  </si>
  <si>
    <t xml:space="preserve">0.274095833333333</t>
  </si>
  <si>
    <t xml:space="preserve">2025-09-02 15:28:19.93</t>
  </si>
  <si>
    <t xml:space="preserve">0.0369279905555556</t>
  </si>
  <si>
    <t xml:space="preserve">2025-09-02 15:50:00.968222</t>
  </si>
  <si>
    <t xml:space="preserve">0.361399506111111</t>
  </si>
  <si>
    <t xml:space="preserve">0.927776691111111</t>
  </si>
  <si>
    <t xml:space="preserve">2025-09-02 17:51:50.759629</t>
  </si>
  <si>
    <t xml:space="preserve">2.28885878583333</t>
  </si>
  <si>
    <t xml:space="preserve">2025-09-02 15:37:02.818386</t>
  </si>
  <si>
    <t xml:space="preserve">2025-09-02 16:31:43.614059</t>
  </si>
  <si>
    <t xml:space="preserve">0.911332131388889</t>
  </si>
  <si>
    <t xml:space="preserve">2025-09-02 16:21:07.7</t>
  </si>
  <si>
    <t xml:space="preserve">0.6764725</t>
  </si>
  <si>
    <t xml:space="preserve">2025-09-02 18:49:54.631508</t>
  </si>
  <si>
    <t xml:space="preserve">3.14180505666667</t>
  </si>
  <si>
    <t xml:space="preserve">2025-09-02 15:58:37.154929</t>
  </si>
  <si>
    <t xml:space="preserve">0.143385196388889</t>
  </si>
  <si>
    <t xml:space="preserve">2025-09-02 16:08:24.157244</t>
  </si>
  <si>
    <t xml:space="preserve">0.163056198611111</t>
  </si>
  <si>
    <t xml:space="preserve">2025-09-02 16:09:21.426744</t>
  </si>
  <si>
    <t xml:space="preserve">0.0159081944444444</t>
  </si>
  <si>
    <t xml:space="preserve">2025-09-02 16:22:42.607952</t>
  </si>
  <si>
    <t xml:space="preserve">0.222550335555556</t>
  </si>
  <si>
    <t xml:space="preserve">2025-09-03 19:41:54.575494</t>
  </si>
  <si>
    <t xml:space="preserve">27.5199291941667</t>
  </si>
  <si>
    <t xml:space="preserve">2025-09-02 16:23:46.434</t>
  </si>
  <si>
    <t xml:space="preserve">0.0440927777777778</t>
  </si>
  <si>
    <t xml:space="preserve">0.0726763888888889</t>
  </si>
  <si>
    <t xml:space="preserve">2025-09-02 16:25:31.28936</t>
  </si>
  <si>
    <t xml:space="preserve">0.0468559466666667</t>
  </si>
  <si>
    <t xml:space="preserve">2025-09-02 17:30:00.131</t>
  </si>
  <si>
    <t xml:space="preserve">1.10380472222222</t>
  </si>
  <si>
    <t xml:space="preserve">2025-09-02 18:19:18.9209</t>
  </si>
  <si>
    <t xml:space="preserve">1.89656431666667</t>
  </si>
  <si>
    <t xml:space="preserve">0.0360126988888889</t>
  </si>
  <si>
    <t xml:space="preserve">2025-09-02 17:03:23.19274</t>
  </si>
  <si>
    <t xml:space="preserve">0.527660744722222</t>
  </si>
  <si>
    <t xml:space="preserve">2025-09-02 16:35:45.712</t>
  </si>
  <si>
    <t xml:space="preserve">0.133559722222222</t>
  </si>
  <si>
    <t xml:space="preserve">2025-09-02 16:47:06.246706</t>
  </si>
  <si>
    <t xml:space="preserve">0.189037418333333</t>
  </si>
  <si>
    <t xml:space="preserve">2025-09-02 18:50:53.397997</t>
  </si>
  <si>
    <t xml:space="preserve">2.23181602388889</t>
  </si>
  <si>
    <t xml:space="preserve">2025-09-02 16:38:15.935182</t>
  </si>
  <si>
    <t xml:space="preserve">2025-09-02 17:04:15.270107</t>
  </si>
  <si>
    <t xml:space="preserve">0.433148590277778</t>
  </si>
  <si>
    <t xml:space="preserve">2025-09-02 17:34:37.17759</t>
  </si>
  <si>
    <t xml:space="preserve">0.874476593888889</t>
  </si>
  <si>
    <t xml:space="preserve">2025-09-02 17:23:11.369751</t>
  </si>
  <si>
    <t xml:space="preserve">0.601423068055555</t>
  </si>
  <si>
    <t xml:space="preserve">2025-09-02 17:28:50.924536</t>
  </si>
  <si>
    <t xml:space="preserve">0.424369943333333</t>
  </si>
  <si>
    <t xml:space="preserve">2025-09-02 18:53:48.294281</t>
  </si>
  <si>
    <t xml:space="preserve">1.82584004833333</t>
  </si>
  <si>
    <t xml:space="preserve">2025-09-02 18:48:33.530765</t>
  </si>
  <si>
    <t xml:space="preserve">1.71927296388889</t>
  </si>
  <si>
    <t xml:space="preserve">2025-09-02 17:28:55.612277</t>
  </si>
  <si>
    <t xml:space="preserve">0.293555797222222</t>
  </si>
  <si>
    <t xml:space="preserve">2025-09-02 19:17:59.820637</t>
  </si>
  <si>
    <t xml:space="preserve">2.08284628805556</t>
  </si>
  <si>
    <t xml:space="preserve">2025-09-02 18:53:33.464763</t>
  </si>
  <si>
    <t xml:space="preserve">1.50613750333333</t>
  </si>
  <si>
    <t xml:space="preserve">2025-09-02 18:48:41.328525</t>
  </si>
  <si>
    <t xml:space="preserve">1.33066777472222</t>
  </si>
  <si>
    <t xml:space="preserve">2025-09-02 18:49:53.841211</t>
  </si>
  <si>
    <t xml:space="preserve">1.34950803722222</t>
  </si>
  <si>
    <t xml:space="preserve">2025-09-02 17:41:50.362</t>
  </si>
  <si>
    <t xml:space="preserve">0.197286388888889</t>
  </si>
  <si>
    <t xml:space="preserve">2025-09-02 18:49:01.48011</t>
  </si>
  <si>
    <t xml:space="preserve">1.24008403333333</t>
  </si>
  <si>
    <t xml:space="preserve">2025-09-02 17:52:38.502</t>
  </si>
  <si>
    <t xml:space="preserve">0.180038888888889</t>
  </si>
  <si>
    <t xml:space="preserve">2025-09-02 18:06:37.055</t>
  </si>
  <si>
    <t xml:space="preserve">0.246193158611111</t>
  </si>
  <si>
    <t xml:space="preserve">13.1373605555556</t>
  </si>
  <si>
    <t xml:space="preserve">0.378955405555556</t>
  </si>
  <si>
    <t xml:space="preserve">0.311362222222222</t>
  </si>
  <si>
    <t xml:space="preserve">0.657474814722222</t>
  </si>
  <si>
    <t xml:space="preserve">0.442971819166667</t>
  </si>
  <si>
    <t xml:space="preserve">1.50011009972222</t>
  </si>
  <si>
    <t xml:space="preserve">2025-09-02 18:49:59.533746</t>
  </si>
  <si>
    <t xml:space="preserve">2.35431492944444</t>
  </si>
  <si>
    <t xml:space="preserve">0.201370883888889</t>
  </si>
  <si>
    <t xml:space="preserve">0.684373297777778</t>
  </si>
  <si>
    <t xml:space="preserve">2025-09-02 18:31:22.345245</t>
  </si>
  <si>
    <t xml:space="preserve">0.412580623611111</t>
  </si>
  <si>
    <t xml:space="preserve">2025-09-02 18:48:03.315141</t>
  </si>
  <si>
    <t xml:space="preserve">0.478998400277778</t>
  </si>
  <si>
    <t xml:space="preserve">2025-09-02 19:13:59.751</t>
  </si>
  <si>
    <t xml:space="preserve">0.732171111111111</t>
  </si>
  <si>
    <t xml:space="preserve">2025-09-02 19:03:26.232691</t>
  </si>
  <si>
    <t xml:space="preserve">0.534413179444444</t>
  </si>
  <si>
    <t xml:space="preserve">2025-09-02 19:10:39.543572</t>
  </si>
  <si>
    <t xml:space="preserve">0.614876618333333</t>
  </si>
  <si>
    <t xml:space="preserve">2025-09-02 18:48:51.68084</t>
  </si>
  <si>
    <t xml:space="preserve">2.38685578888889</t>
  </si>
  <si>
    <t xml:space="preserve">2025-09-02 18:55:32.029545</t>
  </si>
  <si>
    <t xml:space="preserve">0.12464289</t>
  </si>
  <si>
    <t xml:space="preserve">2025-09-02 18:54:57.895604</t>
  </si>
  <si>
    <t xml:space="preserve">0.106768010833333</t>
  </si>
  <si>
    <t xml:space="preserve">2025-09-02 18:55:27.797692</t>
  </si>
  <si>
    <t xml:space="preserve">0.112908101944444</t>
  </si>
  <si>
    <t xml:space="preserve">2025-09-03 07:32:09.975714</t>
  </si>
  <si>
    <t xml:space="preserve">12.7217485761111</t>
  </si>
  <si>
    <t xml:space="preserve">2025-09-02 18:58:07.101862</t>
  </si>
  <si>
    <t xml:space="preserve">0.151561597777778</t>
  </si>
  <si>
    <t xml:space="preserve">2025-09-02 18:55:33.431</t>
  </si>
  <si>
    <t xml:space="preserve">0.0943304969444444</t>
  </si>
  <si>
    <t xml:space="preserve">2025-09-02 18:58:13.487799</t>
  </si>
  <si>
    <t xml:space="preserve">0.138571191944444</t>
  </si>
  <si>
    <t xml:space="preserve">2025-09-02 18:58:02.343472</t>
  </si>
  <si>
    <t xml:space="preserve">0.134113812777778</t>
  </si>
  <si>
    <t xml:space="preserve">2025-09-03 11:09:40.705943</t>
  </si>
  <si>
    <t xml:space="preserve">16.32282772</t>
  </si>
  <si>
    <t xml:space="preserve">2025-09-03 17:38:58.29846</t>
  </si>
  <si>
    <t xml:space="preserve">22.8097517663889</t>
  </si>
  <si>
    <t xml:space="preserve">2025-09-02 19:01:50.970928</t>
  </si>
  <si>
    <t xml:space="preserve">0.189846017222222</t>
  </si>
  <si>
    <t xml:space="preserve">2025-09-02 18:58:11.909784</t>
  </si>
  <si>
    <t xml:space="preserve">0.121808829722222</t>
  </si>
  <si>
    <t xml:space="preserve">2025-09-02 18:58:22.900811</t>
  </si>
  <si>
    <t xml:space="preserve">0.0803989022222222</t>
  </si>
  <si>
    <t xml:space="preserve">2025-09-02 18:55:35.035602</t>
  </si>
  <si>
    <t xml:space="preserve">0.0296503669444444</t>
  </si>
  <si>
    <t xml:space="preserve">2025-09-02 18:58:42.265071</t>
  </si>
  <si>
    <t xml:space="preserve">0.0736854608333333</t>
  </si>
  <si>
    <t xml:space="preserve">2025-09-02 19:01:31.611426</t>
  </si>
  <si>
    <t xml:space="preserve">0.109365506111111</t>
  </si>
  <si>
    <t xml:space="preserve">2025-09-03 00:13:19.070066</t>
  </si>
  <si>
    <t xml:space="preserve">5.29757565944444</t>
  </si>
  <si>
    <t xml:space="preserve">2025-09-02 20:11:39.092214</t>
  </si>
  <si>
    <t xml:space="preserve">1.26862851916667</t>
  </si>
  <si>
    <t xml:space="preserve">2025-09-02 20:03:48.92</t>
  </si>
  <si>
    <t xml:space="preserve">1.13719011055556</t>
  </si>
  <si>
    <t xml:space="preserve">2025-09-02 19:05:03.206434</t>
  </si>
  <si>
    <t xml:space="preserve">0.158270953888889</t>
  </si>
  <si>
    <t xml:space="preserve">2025-09-02 23:47:01.844554</t>
  </si>
  <si>
    <t xml:space="preserve">4.81652807833333</t>
  </si>
  <si>
    <t xml:space="preserve">2025-09-02 23:48:14.78872</t>
  </si>
  <si>
    <t xml:space="preserve">4.83546857166667</t>
  </si>
  <si>
    <t xml:space="preserve">2025-09-03 00:12:28.911332</t>
  </si>
  <si>
    <t xml:space="preserve">5.23805598555556</t>
  </si>
  <si>
    <t xml:space="preserve">2025-09-02 23:49:35.071308</t>
  </si>
  <si>
    <t xml:space="preserve">4.85599541916667</t>
  </si>
  <si>
    <t xml:space="preserve">2025-09-02 23:46:55.927311</t>
  </si>
  <si>
    <t xml:space="preserve">4.80917402777778</t>
  </si>
  <si>
    <t xml:space="preserve">2025-09-02 19:51:49.688082</t>
  </si>
  <si>
    <t xml:space="preserve">0.885395280833333</t>
  </si>
  <si>
    <t xml:space="preserve">2025-09-02 19:04:41.307073</t>
  </si>
  <si>
    <t xml:space="preserve">0.0526932352777778</t>
  </si>
  <si>
    <t xml:space="preserve">0.177785853333333</t>
  </si>
  <si>
    <t xml:space="preserve">2025-09-03 06:38:02.486252</t>
  </si>
  <si>
    <t xml:space="preserve">11.6020787197222</t>
  </si>
  <si>
    <t xml:space="preserve">2025-09-02 19:55:13.099291</t>
  </si>
  <si>
    <t xml:space="preserve">0.8630185</t>
  </si>
  <si>
    <t xml:space="preserve">2025-09-02 20:07:30.274246</t>
  </si>
  <si>
    <t xml:space="preserve">1.04693532583333</t>
  </si>
  <si>
    <t xml:space="preserve">2025-09-02 19:16:18.61</t>
  </si>
  <si>
    <t xml:space="preserve">0.187612101666667</t>
  </si>
  <si>
    <t xml:space="preserve">2025-09-03 07:52:53.419</t>
  </si>
  <si>
    <t xml:space="preserve">12.7038542855556</t>
  </si>
  <si>
    <t xml:space="preserve">2025-09-02 22:48:25.439819</t>
  </si>
  <si>
    <t xml:space="preserve">3.57380244972222</t>
  </si>
  <si>
    <t xml:space="preserve">2025-09-02 23:52:04.319498</t>
  </si>
  <si>
    <t xml:space="preserve">4.59603041611111</t>
  </si>
  <si>
    <t xml:space="preserve">2025-09-02 23:50:20.849</t>
  </si>
  <si>
    <t xml:space="preserve">4.53917454527778</t>
  </si>
  <si>
    <t xml:space="preserve">2025-09-02 19:54:08.582428</t>
  </si>
  <si>
    <t xml:space="preserve">0.0385817627777778</t>
  </si>
  <si>
    <t xml:space="preserve">2025-09-02 19:57:45.882402</t>
  </si>
  <si>
    <t xml:space="preserve">0.0603611038888889</t>
  </si>
  <si>
    <t xml:space="preserve">2025-09-02 20:17:30.702948</t>
  </si>
  <si>
    <t xml:space="preserve">0.371556571388889</t>
  </si>
  <si>
    <t xml:space="preserve">2025-09-02 21:12:15.421917</t>
  </si>
  <si>
    <t xml:space="preserve">1.24153875416667</t>
  </si>
  <si>
    <t xml:space="preserve">2025-09-02 20:12:49.512</t>
  </si>
  <si>
    <t xml:space="preserve">0.150164444444444</t>
  </si>
  <si>
    <t xml:space="preserve">2025-09-02 20:17:06.697192</t>
  </si>
  <si>
    <t xml:space="preserve">0.160117485</t>
  </si>
  <si>
    <t xml:space="preserve">2025-09-03 00:21:23.3897</t>
  </si>
  <si>
    <t xml:space="preserve">4.19488758777778</t>
  </si>
  <si>
    <t xml:space="preserve">2025-09-02 20:17:11.88004</t>
  </si>
  <si>
    <t xml:space="preserve">0.0924410627777778</t>
  </si>
  <si>
    <t xml:space="preserve">2025-09-02 20:16:59.71603</t>
  </si>
  <si>
    <t xml:space="preserve">0.0695011194444444</t>
  </si>
  <si>
    <t xml:space="preserve">2025-09-02 23:37:39.691148</t>
  </si>
  <si>
    <t xml:space="preserve">3.34443753277778</t>
  </si>
  <si>
    <t xml:space="preserve">2025-09-02 22:34:50.827473</t>
  </si>
  <si>
    <t xml:space="preserve">2.29559174472222</t>
  </si>
  <si>
    <t xml:space="preserve">2025-09-02 21:49:30.346931</t>
  </si>
  <si>
    <t xml:space="preserve">1.53846302527778</t>
  </si>
  <si>
    <t xml:space="preserve">2025-09-02 20:50:03.867</t>
  </si>
  <si>
    <t xml:space="preserve">0.54254557</t>
  </si>
  <si>
    <t xml:space="preserve">2025-09-02 21:07:27.757347</t>
  </si>
  <si>
    <t xml:space="preserve">0.289969540833333</t>
  </si>
  <si>
    <t xml:space="preserve">2025-09-02 21:38:46.548073</t>
  </si>
  <si>
    <t xml:space="preserve">0.521886312777778</t>
  </si>
  <si>
    <t xml:space="preserve">11.4734939119444</t>
  </si>
  <si>
    <t xml:space="preserve">2025-09-02 21:48:40.24314</t>
  </si>
  <si>
    <t xml:space="preserve">0.164915296388889</t>
  </si>
  <si>
    <t xml:space="preserve">2025-09-03 00:32:37.234585</t>
  </si>
  <si>
    <t xml:space="preserve">2.73249762361111</t>
  </si>
  <si>
    <t xml:space="preserve">2025-09-02 21:50:28.791679</t>
  </si>
  <si>
    <t xml:space="preserve">0.0162346522222222</t>
  </si>
  <si>
    <t xml:space="preserve">2025-09-02 22:34:57.037542</t>
  </si>
  <si>
    <t xml:space="preserve">0.741179406388889</t>
  </si>
  <si>
    <t xml:space="preserve">2025-09-02 22:40:27.367821</t>
  </si>
  <si>
    <t xml:space="preserve">0.09348343</t>
  </si>
  <si>
    <t xml:space="preserve">2025-09-02 22:37:19.353071</t>
  </si>
  <si>
    <t xml:space="preserve">0.0395320913888889</t>
  </si>
  <si>
    <t xml:space="preserve">2025-09-02 23:25:02.498202</t>
  </si>
  <si>
    <t xml:space="preserve">0.795318091944444</t>
  </si>
  <si>
    <t xml:space="preserve">2025-09-02 23:34:40.105</t>
  </si>
  <si>
    <t xml:space="preserve">0.903538105277778</t>
  </si>
  <si>
    <t xml:space="preserve">2025-09-03 02:59:56.829</t>
  </si>
  <si>
    <t xml:space="preserve">4.19205255027778</t>
  </si>
  <si>
    <t xml:space="preserve">2025-09-02 23:27:48.745</t>
  </si>
  <si>
    <t xml:space="preserve">0.0461796661111111</t>
  </si>
  <si>
    <t xml:space="preserve">2025-09-02 23:36:34.004359</t>
  </si>
  <si>
    <t xml:space="preserve">0.1459053775</t>
  </si>
  <si>
    <t xml:space="preserve">2025-09-02 23:44:52.636621</t>
  </si>
  <si>
    <t xml:space="preserve">0.1701476725</t>
  </si>
  <si>
    <t xml:space="preserve">2025-09-02 23:45:04.437259</t>
  </si>
  <si>
    <t xml:space="preserve">0.141786916666667</t>
  </si>
  <si>
    <t xml:space="preserve">2025-09-02 23:47:12.088169</t>
  </si>
  <si>
    <t xml:space="preserve">0.1589991725</t>
  </si>
  <si>
    <t xml:space="preserve">2025-09-03 01:10:20.376154</t>
  </si>
  <si>
    <t xml:space="preserve">1.4243720925</t>
  </si>
  <si>
    <t xml:space="preserve">2025-09-03 01:04:57.000537</t>
  </si>
  <si>
    <t xml:space="preserve">1.33126757722222</t>
  </si>
  <si>
    <t xml:space="preserve">2025-09-03 01:50:22.97801</t>
  </si>
  <si>
    <t xml:space="preserve">2.05751408305556</t>
  </si>
  <si>
    <t xml:space="preserve">2025-09-03 00:20:32.56225</t>
  </si>
  <si>
    <t xml:space="preserve">0.558532693333333</t>
  </si>
  <si>
    <t xml:space="preserve">2025-09-03 00:20:28.718707</t>
  </si>
  <si>
    <t xml:space="preserve">0.554619593888889</t>
  </si>
  <si>
    <t xml:space="preserve">2025-09-03 01:50:07.896001</t>
  </si>
  <si>
    <t xml:space="preserve">2.03141868916667</t>
  </si>
  <si>
    <t xml:space="preserve">2025-09-03 01:50:12.80752</t>
  </si>
  <si>
    <t xml:space="preserve">2.01048228111111</t>
  </si>
  <si>
    <t xml:space="preserve">2025-09-02 23:51:10.885778</t>
  </si>
  <si>
    <t xml:space="preserve">0.013899105</t>
  </si>
  <si>
    <t xml:space="preserve">2025-09-03 01:50:01.124115</t>
  </si>
  <si>
    <t xml:space="preserve">1.98062176027778</t>
  </si>
  <si>
    <t xml:space="preserve">2025-09-03 01:50:17.578097</t>
  </si>
  <si>
    <t xml:space="preserve">1.97034961083333</t>
  </si>
  <si>
    <t xml:space="preserve">2025-09-03 00:26:38.028184</t>
  </si>
  <si>
    <t xml:space="preserve">0.235865792222222</t>
  </si>
  <si>
    <t xml:space="preserve">2025-09-03 00:26:36.360443</t>
  </si>
  <si>
    <t xml:space="preserve">0.221469549166667</t>
  </si>
  <si>
    <t xml:space="preserve">2025-09-03 01:59:28.968311</t>
  </si>
  <si>
    <t xml:space="preserve">1.65006933444444</t>
  </si>
  <si>
    <t xml:space="preserve">2025-09-03 01:18:39.488114</t>
  </si>
  <si>
    <t xml:space="preserve">0.968590517777778</t>
  </si>
  <si>
    <t xml:space="preserve">2025-09-03 00:26:46.531233</t>
  </si>
  <si>
    <t xml:space="preserve">0.0897615369444444</t>
  </si>
  <si>
    <t xml:space="preserve">2025-09-03 02:12:12.375213</t>
  </si>
  <si>
    <t xml:space="preserve">1.76000410277778</t>
  </si>
  <si>
    <t xml:space="preserve">2025-09-03 02:10:33.778437</t>
  </si>
  <si>
    <t xml:space="preserve">1.73215284805556</t>
  </si>
  <si>
    <t xml:space="preserve">2025-09-03 02:18:44.10525</t>
  </si>
  <si>
    <t xml:space="preserve">1.8659927825</t>
  </si>
  <si>
    <t xml:space="preserve">2025-09-03 02:28:40.622166</t>
  </si>
  <si>
    <t xml:space="preserve">1.93427432805556</t>
  </si>
  <si>
    <t xml:space="preserve">2025-09-03 01:11:49.827</t>
  </si>
  <si>
    <t xml:space="preserve">0.1146740175</t>
  </si>
  <si>
    <t xml:space="preserve">2025-09-03 01:24:23.745409</t>
  </si>
  <si>
    <t xml:space="preserve">0.2342692375</t>
  </si>
  <si>
    <t xml:space="preserve">2025-09-03 01:24:18.323758</t>
  </si>
  <si>
    <t xml:space="preserve">0.207915766111111</t>
  </si>
  <si>
    <t xml:space="preserve">2025-09-03 01:24:27.8404</t>
  </si>
  <si>
    <t xml:space="preserve">0.0967645238888889</t>
  </si>
  <si>
    <t xml:space="preserve">2025-09-03 02:18:29.711213</t>
  </si>
  <si>
    <t xml:space="preserve">0.903163181944444</t>
  </si>
  <si>
    <t xml:space="preserve">2025-09-03 02:21:57.804861</t>
  </si>
  <si>
    <t xml:space="preserve">0.959460958888889</t>
  </si>
  <si>
    <t xml:space="preserve">2025-09-03 02:00:48.274151</t>
  </si>
  <si>
    <t xml:space="preserve">0.605676041944444</t>
  </si>
  <si>
    <t xml:space="preserve">2025-09-03 02:12:45.630537</t>
  </si>
  <si>
    <t xml:space="preserve">0.379029561666667</t>
  </si>
  <si>
    <t xml:space="preserve">2025-09-03 02:12:32.875957</t>
  </si>
  <si>
    <t xml:space="preserve">0.373605543333333</t>
  </si>
  <si>
    <t xml:space="preserve">2025-09-03 02:12:41.046573</t>
  </si>
  <si>
    <t xml:space="preserve">0.374510848055556</t>
  </si>
  <si>
    <t xml:space="preserve">2025-09-03 02:12:49.752203</t>
  </si>
  <si>
    <t xml:space="preserve">0.375603918333333</t>
  </si>
  <si>
    <t xml:space="preserve">2025-09-03 02:08:27.773</t>
  </si>
  <si>
    <t xml:space="preserve">0.301331941666667</t>
  </si>
  <si>
    <t xml:space="preserve">2025-09-03 02:24:52.534857</t>
  </si>
  <si>
    <t xml:space="preserve">0.423212929444444</t>
  </si>
  <si>
    <t xml:space="preserve">2025-09-03 02:22:02.961807</t>
  </si>
  <si>
    <t xml:space="preserve">0.354079904444444</t>
  </si>
  <si>
    <t xml:space="preserve">2025-09-03 03:31:44.272561</t>
  </si>
  <si>
    <t xml:space="preserve">1.38791654472222</t>
  </si>
  <si>
    <t xml:space="preserve">2025-09-03 02:11:46.170784</t>
  </si>
  <si>
    <t xml:space="preserve">0.0201089852777778</t>
  </si>
  <si>
    <t xml:space="preserve">2025-09-03 02:43:03.354267</t>
  </si>
  <si>
    <t xml:space="preserve">0.521439856388889</t>
  </si>
  <si>
    <t xml:space="preserve">2025-09-03 04:11:26.192298</t>
  </si>
  <si>
    <t xml:space="preserve">1.9871714125</t>
  </si>
  <si>
    <t xml:space="preserve">2025-09-03 03:31:18.630128</t>
  </si>
  <si>
    <t xml:space="preserve">1.31270949194444</t>
  </si>
  <si>
    <t xml:space="preserve">2025-09-03 13:21:10.809795</t>
  </si>
  <si>
    <t xml:space="preserve">11.141600895</t>
  </si>
  <si>
    <t xml:space="preserve">2025-09-03 02:19:09.327</t>
  </si>
  <si>
    <t xml:space="preserve">0.106582350833333</t>
  </si>
  <si>
    <t xml:space="preserve">2025-09-03 03:27:05.885</t>
  </si>
  <si>
    <t xml:space="preserve">1.23781466583333</t>
  </si>
  <si>
    <t xml:space="preserve">2025-09-03 02:28:22.286916</t>
  </si>
  <si>
    <t xml:space="preserve">0.164604361944444</t>
  </si>
  <si>
    <t xml:space="preserve">2025-09-03 04:11:10.917737</t>
  </si>
  <si>
    <t xml:space="preserve">1.87411457972222</t>
  </si>
  <si>
    <t xml:space="preserve">2025-09-03 02:31:26.701</t>
  </si>
  <si>
    <t xml:space="preserve">0.204826111111111</t>
  </si>
  <si>
    <t xml:space="preserve">2025-09-03 02:29:37.912</t>
  </si>
  <si>
    <t xml:space="preserve">0.127807538611111</t>
  </si>
  <si>
    <t xml:space="preserve">2025-09-03 03:31:37.6724</t>
  </si>
  <si>
    <t xml:space="preserve">1.15964183138889</t>
  </si>
  <si>
    <t xml:space="preserve">2025-09-03 02:31:15.181584</t>
  </si>
  <si>
    <t xml:space="preserve">0.1062907575</t>
  </si>
  <si>
    <t xml:space="preserve">2025-09-03 03:51:44.507796</t>
  </si>
  <si>
    <t xml:space="preserve">1.3895058</t>
  </si>
  <si>
    <t xml:space="preserve">2025-09-03 03:19:03.231</t>
  </si>
  <si>
    <t xml:space="preserve">0.839613565</t>
  </si>
  <si>
    <t xml:space="preserve">2025-09-03 06:50:30.391</t>
  </si>
  <si>
    <t xml:space="preserve">4.34791083333333</t>
  </si>
  <si>
    <t xml:space="preserve">2025-09-03 04:13:52.749259</t>
  </si>
  <si>
    <t xml:space="preserve">1.71043546527778</t>
  </si>
  <si>
    <t xml:space="preserve">2025-09-03 03:31:24.125709</t>
  </si>
  <si>
    <t xml:space="preserve">0.999284641388889</t>
  </si>
  <si>
    <t xml:space="preserve">2025-09-03 04:11:19.674029</t>
  </si>
  <si>
    <t xml:space="preserve">1.47119993388889</t>
  </si>
  <si>
    <t xml:space="preserve">2025-09-03 06:37:54.748988</t>
  </si>
  <si>
    <t xml:space="preserve">3.63275555222222</t>
  </si>
  <si>
    <t xml:space="preserve">2025-09-03 03:24:41.261731</t>
  </si>
  <si>
    <t xml:space="preserve">0.0938974252777778</t>
  </si>
  <si>
    <t xml:space="preserve">2025-09-03 04:25:24.573421</t>
  </si>
  <si>
    <t xml:space="preserve">1.012031025</t>
  </si>
  <si>
    <t xml:space="preserve">2025-09-03 03:34:52.570387</t>
  </si>
  <si>
    <t xml:space="preserve">0.129634829722222</t>
  </si>
  <si>
    <t xml:space="preserve">2025-09-03 03:34:58.591334</t>
  </si>
  <si>
    <t xml:space="preserve">0.061100335</t>
  </si>
  <si>
    <t xml:space="preserve">2025-09-03 03:34:37.496</t>
  </si>
  <si>
    <t xml:space="preserve">0.0537139697222222</t>
  </si>
  <si>
    <t xml:space="preserve">0.0573132222222222</t>
  </si>
  <si>
    <t xml:space="preserve">2025-09-03 03:35:02.827924</t>
  </si>
  <si>
    <t xml:space="preserve">0.0551542675</t>
  </si>
  <si>
    <t xml:space="preserve">2025-09-03 04:55:40.387375</t>
  </si>
  <si>
    <t xml:space="preserve">1.35080315972222</t>
  </si>
  <si>
    <t xml:space="preserve">2025-09-03 03:46:31.36179</t>
  </si>
  <si>
    <t xml:space="preserve">0.194108723055556</t>
  </si>
  <si>
    <t xml:space="preserve">2025-09-03 06:46:09.496082</t>
  </si>
  <si>
    <t xml:space="preserve">3.18636243</t>
  </si>
  <si>
    <t xml:space="preserve">2025-09-03 06:49:51.26322</t>
  </si>
  <si>
    <t xml:space="preserve">3.24678758222222</t>
  </si>
  <si>
    <t xml:space="preserve">2025-09-03 03:49:47.157376</t>
  </si>
  <si>
    <t xml:space="preserve">0.0543876627777778</t>
  </si>
  <si>
    <t xml:space="preserve">2025-09-03 04:55:21.518</t>
  </si>
  <si>
    <t xml:space="preserve">1.09287795111111</t>
  </si>
  <si>
    <t xml:space="preserve">2025-09-03 03:59:58.251</t>
  </si>
  <si>
    <t xml:space="preserve">0.13715089</t>
  </si>
  <si>
    <t xml:space="preserve">2025-09-03 06:37:25.728288</t>
  </si>
  <si>
    <t xml:space="preserve">2.62429924666667</t>
  </si>
  <si>
    <t xml:space="preserve">2025-09-03 04:55:46.137822</t>
  </si>
  <si>
    <t xml:space="preserve">1.34503828388889</t>
  </si>
  <si>
    <t xml:space="preserve">2025-09-03 04:26:16.638873</t>
  </si>
  <si>
    <t xml:space="preserve">0.251589204444444</t>
  </si>
  <si>
    <t xml:space="preserve">2025-09-03 04:26:20.839864</t>
  </si>
  <si>
    <t xml:space="preserve">0.250323843055556</t>
  </si>
  <si>
    <t xml:space="preserve">2025-09-03 04:26:27.074551</t>
  </si>
  <si>
    <t xml:space="preserve">0.250245070277778</t>
  </si>
  <si>
    <t xml:space="preserve">0.0664585391666667</t>
  </si>
  <si>
    <t xml:space="preserve">2025-09-03 04:32:27.453148</t>
  </si>
  <si>
    <t xml:space="preserve">0.117466590833333</t>
  </si>
  <si>
    <t xml:space="preserve">2025-09-03 06:48:12.340867</t>
  </si>
  <si>
    <t xml:space="preserve">2.36547277611111</t>
  </si>
  <si>
    <t xml:space="preserve">2025-09-03 04:44:34.81528</t>
  </si>
  <si>
    <t xml:space="preserve">0.30388206</t>
  </si>
  <si>
    <t xml:space="preserve">2025-09-03 04:44:28.988214</t>
  </si>
  <si>
    <t xml:space="preserve">0.300531573055556</t>
  </si>
  <si>
    <t xml:space="preserve">2025-09-03 06:32:07.544719</t>
  </si>
  <si>
    <t xml:space="preserve">1.99446988083333</t>
  </si>
  <si>
    <t xml:space="preserve">2025-09-03 04:45:23.108129</t>
  </si>
  <si>
    <t xml:space="preserve">0.0150333097222222</t>
  </si>
  <si>
    <t xml:space="preserve">2025-09-03 04:45:18.02914</t>
  </si>
  <si>
    <t xml:space="preserve">0.01200385</t>
  </si>
  <si>
    <t xml:space="preserve">2025-09-03 10:41:21.243886</t>
  </si>
  <si>
    <t xml:space="preserve">5.93422631833333</t>
  </si>
  <si>
    <t xml:space="preserve">2025-09-03 09:21:02.437355</t>
  </si>
  <si>
    <t xml:space="preserve">4.59425811833333</t>
  </si>
  <si>
    <t xml:space="preserve">2025-09-03 04:58:48.270319</t>
  </si>
  <si>
    <t xml:space="preserve">0.0574311997222222</t>
  </si>
  <si>
    <t xml:space="preserve">2025-09-03 04:58:29.18</t>
  </si>
  <si>
    <t xml:space="preserve">0.0468868402777778</t>
  </si>
  <si>
    <t xml:space="preserve">2025-09-03 04:58:36.056253</t>
  </si>
  <si>
    <t xml:space="preserve">0.0471995641666667</t>
  </si>
  <si>
    <t xml:space="preserve">2025-09-03 12:51:46.466617</t>
  </si>
  <si>
    <t xml:space="preserve">7.88622510111111</t>
  </si>
  <si>
    <t xml:space="preserve">2025-09-03 06:51:05.015</t>
  </si>
  <si>
    <t xml:space="preserve">1.87662083333333</t>
  </si>
  <si>
    <t xml:space="preserve">2025-09-03 12:42:57.599734</t>
  </si>
  <si>
    <t xml:space="preserve">7.7359248375</t>
  </si>
  <si>
    <t xml:space="preserve">2025-09-03 08:33:29.893972</t>
  </si>
  <si>
    <t xml:space="preserve">4.26052610333333</t>
  </si>
  <si>
    <t xml:space="preserve">2025-09-03 07:06:35.436</t>
  </si>
  <si>
    <t xml:space="preserve">0.574414244722222</t>
  </si>
  <si>
    <t xml:space="preserve">2025-09-03 08:34:07.31376</t>
  </si>
  <si>
    <t xml:space="preserve">1.94488485333333</t>
  </si>
  <si>
    <t xml:space="preserve">2025-09-03 07:15:44.719</t>
  </si>
  <si>
    <t xml:space="preserve">0.630547225555556</t>
  </si>
  <si>
    <t xml:space="preserve">2025-09-03 07:14:54.75478</t>
  </si>
  <si>
    <t xml:space="preserve">0.614519035555556</t>
  </si>
  <si>
    <t xml:space="preserve">2025-09-03 07:08:04.319571</t>
  </si>
  <si>
    <t xml:space="preserve">0.365228746944444</t>
  </si>
  <si>
    <t xml:space="preserve">2025-09-03 07:01:02.175231</t>
  </si>
  <si>
    <t xml:space="preserve">0.213842878888889</t>
  </si>
  <si>
    <t xml:space="preserve">0.259649105555556</t>
  </si>
  <si>
    <t xml:space="preserve">2025-09-03 07:00:32.607</t>
  </si>
  <si>
    <t xml:space="preserve">0.167282222222222</t>
  </si>
  <si>
    <t xml:space="preserve">0.246106944444444</t>
  </si>
  <si>
    <t xml:space="preserve">2025-09-03 08:36:28.997008</t>
  </si>
  <si>
    <t xml:space="preserve">1.59899722444444</t>
  </si>
  <si>
    <t xml:space="preserve">2025-09-03 15:53:20.966</t>
  </si>
  <si>
    <t xml:space="preserve">8.87188632472222</t>
  </si>
  <si>
    <t xml:space="preserve">2025-09-03 07:26:51.204234</t>
  </si>
  <si>
    <t xml:space="preserve">0.337713398333333</t>
  </si>
  <si>
    <t xml:space="preserve">2025-09-03 07:16:43.679</t>
  </si>
  <si>
    <t xml:space="preserve">0.144266508055556</t>
  </si>
  <si>
    <t xml:space="preserve">2025-09-03 07:11:02.017</t>
  </si>
  <si>
    <t xml:space="preserve">2025-09-03 08:26:25.178</t>
  </si>
  <si>
    <t xml:space="preserve">1.25643361111111</t>
  </si>
  <si>
    <t xml:space="preserve">2025-09-03 12:31:41.441316</t>
  </si>
  <si>
    <t xml:space="preserve">5.27963514888889</t>
  </si>
  <si>
    <t xml:space="preserve">2025-09-03 10:17:34.766978</t>
  </si>
  <si>
    <t xml:space="preserve">3.03056888277778</t>
  </si>
  <si>
    <t xml:space="preserve">0.535089166666667</t>
  </si>
  <si>
    <t xml:space="preserve">2025-09-03 07:43:17.661424</t>
  </si>
  <si>
    <t xml:space="preserve">0.274015886111111</t>
  </si>
  <si>
    <t xml:space="preserve">6.27972896833333</t>
  </si>
  <si>
    <t xml:space="preserve">2025-09-03 08:31:36.435335</t>
  </si>
  <si>
    <t xml:space="preserve">0.805214975277778</t>
  </si>
  <si>
    <t xml:space="preserve">0.0863936111111111</t>
  </si>
  <si>
    <t xml:space="preserve">2025-09-03 12:53:30.919</t>
  </si>
  <si>
    <t xml:space="preserve">5.80136638888889</t>
  </si>
  <si>
    <t xml:space="preserve">2025-09-03 12:50:57.989466</t>
  </si>
  <si>
    <t xml:space="preserve">4.96793624055556</t>
  </si>
  <si>
    <t xml:space="preserve">2025-09-03 09:22:22.798</t>
  </si>
  <si>
    <t xml:space="preserve">2.35827722222222</t>
  </si>
  <si>
    <t xml:space="preserve">2025-09-03 08:29:54.311</t>
  </si>
  <si>
    <t xml:space="preserve">0.0580925</t>
  </si>
  <si>
    <t xml:space="preserve">2025-09-03 10:00:59.095056</t>
  </si>
  <si>
    <t xml:space="preserve">1.51799557111111</t>
  </si>
  <si>
    <t xml:space="preserve">2025-09-03 08:39:05.02</t>
  </si>
  <si>
    <t xml:space="preserve">0.124606851388889</t>
  </si>
  <si>
    <t xml:space="preserve">2025-09-03 08:45:11.799235</t>
  </si>
  <si>
    <t xml:space="preserve">0.194973684166667</t>
  </si>
  <si>
    <t xml:space="preserve">2025-09-03 08:45:47.260473</t>
  </si>
  <si>
    <t xml:space="preserve">0.1944296425</t>
  </si>
  <si>
    <t xml:space="preserve">2025-09-04 12:07:28.299567</t>
  </si>
  <si>
    <t xml:space="preserve">27.5164729330556</t>
  </si>
  <si>
    <t xml:space="preserve">2025-09-03 13:32:54.059679</t>
  </si>
  <si>
    <t xml:space="preserve">4.89695546638889</t>
  </si>
  <si>
    <t xml:space="preserve">2025-09-03 10:10:44.373195</t>
  </si>
  <si>
    <t xml:space="preserve">1.42571498888889</t>
  </si>
  <si>
    <t xml:space="preserve">2025-09-03 16:01:59.637415</t>
  </si>
  <si>
    <t xml:space="preserve">7.27010470611111</t>
  </si>
  <si>
    <t xml:space="preserve">2025-09-03 10:23:16.518069</t>
  </si>
  <si>
    <t xml:space="preserve">1.33757796305556</t>
  </si>
  <si>
    <t xml:space="preserve">2025-09-03 15:07:41.828738</t>
  </si>
  <si>
    <t xml:space="preserve">6.45050798277778</t>
  </si>
  <si>
    <t xml:space="preserve">2025-09-03 10:11:46.350337</t>
  </si>
  <si>
    <t xml:space="preserve">0.845531383888889</t>
  </si>
  <si>
    <t xml:space="preserve">2025-09-03 10:32:28.417</t>
  </si>
  <si>
    <t xml:space="preserve">1.1682275</t>
  </si>
  <si>
    <t xml:space="preserve">2025-09-03 10:18:28.099</t>
  </si>
  <si>
    <t xml:space="preserve">0.291389984444444</t>
  </si>
  <si>
    <t xml:space="preserve">2025-09-03 10:17:30.328</t>
  </si>
  <si>
    <t xml:space="preserve">0.112765223611111</t>
  </si>
  <si>
    <t xml:space="preserve">2025-09-03 10:35:24.718039</t>
  </si>
  <si>
    <t xml:space="preserve">0.393991028333333</t>
  </si>
  <si>
    <t xml:space="preserve">2025-09-03 12:25:54.138484</t>
  </si>
  <si>
    <t xml:space="preserve">2.13994735666667</t>
  </si>
  <si>
    <t xml:space="preserve">2025-09-03 12:40:02.760736</t>
  </si>
  <si>
    <t xml:space="preserve">2.37444271055556</t>
  </si>
  <si>
    <t xml:space="preserve">2025-09-03 12:46:52.74</t>
  </si>
  <si>
    <t xml:space="preserve">2.47351138888889</t>
  </si>
  <si>
    <t xml:space="preserve">2025-09-03 20:07:59.09754</t>
  </si>
  <si>
    <t xml:space="preserve">9.74516096416667</t>
  </si>
  <si>
    <t xml:space="preserve">2025-09-03 10:37:53.33</t>
  </si>
  <si>
    <t xml:space="preserve">0.0902536111111111</t>
  </si>
  <si>
    <t xml:space="preserve">2025-09-03 10:44:10.558312</t>
  </si>
  <si>
    <t xml:space="preserve">0.1460667425</t>
  </si>
  <si>
    <t xml:space="preserve">2025-09-03 10:48:06.476</t>
  </si>
  <si>
    <t xml:space="preserve">0.170318333333333</t>
  </si>
  <si>
    <t xml:space="preserve">2025-09-03 10:46:21.285629</t>
  </si>
  <si>
    <t xml:space="preserve">0.0833449286111111</t>
  </si>
  <si>
    <t xml:space="preserve">2025-09-03 11:53:46.035275</t>
  </si>
  <si>
    <t xml:space="preserve">1.15985471194444</t>
  </si>
  <si>
    <t xml:space="preserve">2025-09-03 16:09:49.369087</t>
  </si>
  <si>
    <t xml:space="preserve">5.39113429388889</t>
  </si>
  <si>
    <t xml:space="preserve">2025-09-03 10:57:21.687</t>
  </si>
  <si>
    <t xml:space="preserve">0.154225277777778</t>
  </si>
  <si>
    <t xml:space="preserve">2025-09-03 11:21:39.464</t>
  </si>
  <si>
    <t xml:space="preserve">0.404938055555556</t>
  </si>
  <si>
    <t xml:space="preserve">2025-09-03 21:30:39.566302</t>
  </si>
  <si>
    <t xml:space="preserve">10.3496834330556</t>
  </si>
  <si>
    <t xml:space="preserve">2025-09-03 11:50:15.252</t>
  </si>
  <si>
    <t xml:space="preserve">0.476607777777778</t>
  </si>
  <si>
    <t xml:space="preserve">2025-09-03 12:04:24.314</t>
  </si>
  <si>
    <t xml:space="preserve">0.235850555555556</t>
  </si>
  <si>
    <t xml:space="preserve">0.427767979166667</t>
  </si>
  <si>
    <t xml:space="preserve">2025-09-03 21:31:05.886529</t>
  </si>
  <si>
    <t xml:space="preserve">13.7044129247222</t>
  </si>
  <si>
    <t xml:space="preserve">2025-09-03 15:23:49.576</t>
  </si>
  <si>
    <t xml:space="preserve">3.32368388888889</t>
  </si>
  <si>
    <t xml:space="preserve">2025-09-03 13:05:16.827973</t>
  </si>
  <si>
    <t xml:space="preserve">0.656302635833333</t>
  </si>
  <si>
    <t xml:space="preserve">2025-09-03 12:27:16.579535</t>
  </si>
  <si>
    <t xml:space="preserve">0.1307165375</t>
  </si>
  <si>
    <t xml:space="preserve">2025-09-03 13:16:20.365683</t>
  </si>
  <si>
    <t xml:space="preserve">0.817718374444445</t>
  </si>
  <si>
    <t xml:space="preserve">2025-09-03 14:37:34.581875</t>
  </si>
  <si>
    <t xml:space="preserve">2.09809459972222</t>
  </si>
  <si>
    <t xml:space="preserve">2025-09-03 14:40:17.242</t>
  </si>
  <si>
    <t xml:space="preserve">2.00402257333333</t>
  </si>
  <si>
    <t xml:space="preserve">2025-09-03 12:53:48.764903</t>
  </si>
  <si>
    <t xml:space="preserve">0.180879213611111</t>
  </si>
  <si>
    <t xml:space="preserve">2025-09-03 12:52:55.138</t>
  </si>
  <si>
    <t xml:space="preserve">0.100666111111111</t>
  </si>
  <si>
    <t xml:space="preserve">2025-09-03 12:55:49.182</t>
  </si>
  <si>
    <t xml:space="preserve">0.080886815</t>
  </si>
  <si>
    <t xml:space="preserve">0.0665370508333333</t>
  </si>
  <si>
    <t xml:space="preserve">2025-09-03 16:54:27.871</t>
  </si>
  <si>
    <t xml:space="preserve">4.01086280472222</t>
  </si>
  <si>
    <t xml:space="preserve">2025-09-03 12:53:58.597</t>
  </si>
  <si>
    <t xml:space="preserve">2025-09-03 16:44:31.091</t>
  </si>
  <si>
    <t xml:space="preserve">3.84235944444444</t>
  </si>
  <si>
    <t xml:space="preserve">2025-09-03 16:34:15.102</t>
  </si>
  <si>
    <t xml:space="preserve">3.64053333333333</t>
  </si>
  <si>
    <t xml:space="preserve">0.0176275</t>
  </si>
  <si>
    <t xml:space="preserve">2025-09-03 13:15:04.763638</t>
  </si>
  <si>
    <t xml:space="preserve">0.1633154625</t>
  </si>
  <si>
    <t xml:space="preserve">2025-09-03 13:05:35.286</t>
  </si>
  <si>
    <t xml:space="preserve">0.201213055555556</t>
  </si>
  <si>
    <t xml:space="preserve">2025-09-03 17:03:11.101</t>
  </si>
  <si>
    <t xml:space="preserve">3.95994861111111</t>
  </si>
  <si>
    <t xml:space="preserve">2025-09-03 17:18:14.280431</t>
  </si>
  <si>
    <t xml:space="preserve">4.05264355361111</t>
  </si>
  <si>
    <t xml:space="preserve">2025-09-03 13:17:13.183438</t>
  </si>
  <si>
    <t xml:space="preserve">0.0146715986111111</t>
  </si>
  <si>
    <t xml:space="preserve">2025-09-03 13:24:25.983318</t>
  </si>
  <si>
    <t xml:space="preserve">0.120222188888889</t>
  </si>
  <si>
    <t xml:space="preserve">2025-09-03 14:36:28.023581</t>
  </si>
  <si>
    <t xml:space="preserve">1.25478160722222</t>
  </si>
  <si>
    <t xml:space="preserve">2025-09-03 16:23:25.116596</t>
  </si>
  <si>
    <t xml:space="preserve">2.98309257722222</t>
  </si>
  <si>
    <t xml:space="preserve">2025-09-03 13:52:45.731187</t>
  </si>
  <si>
    <t xml:space="preserve">0.331019863333333</t>
  </si>
  <si>
    <t xml:space="preserve">2025-09-03 15:05:39.673653</t>
  </si>
  <si>
    <t xml:space="preserve">1.21498401833333</t>
  </si>
  <si>
    <t xml:space="preserve">2025-09-03 16:03:21.061243</t>
  </si>
  <si>
    <t xml:space="preserve">1.44806601722222</t>
  </si>
  <si>
    <t xml:space="preserve">2025-09-03 16:52:28.52942</t>
  </si>
  <si>
    <t xml:space="preserve">2.2483187625</t>
  </si>
  <si>
    <t xml:space="preserve">2025-09-03 18:55:09.592386</t>
  </si>
  <si>
    <t xml:space="preserve">4.24787510722222</t>
  </si>
  <si>
    <t xml:space="preserve">2025-09-03 15:20:37.744363</t>
  </si>
  <si>
    <t xml:space="preserve">0.249464086111111</t>
  </si>
  <si>
    <t xml:space="preserve">2025-09-03 16:18:20.027</t>
  </si>
  <si>
    <t xml:space="preserve">1.177277295</t>
  </si>
  <si>
    <t xml:space="preserve">2025-09-03 16:11:11.198857</t>
  </si>
  <si>
    <t xml:space="preserve">0.842626248333333</t>
  </si>
  <si>
    <t xml:space="preserve">2025-09-03 18:58:10.53</t>
  </si>
  <si>
    <t xml:space="preserve">3.57248722222222</t>
  </si>
  <si>
    <t xml:space="preserve">2025-09-03 15:57:16.03</t>
  </si>
  <si>
    <t xml:space="preserve">0.0652955555555556</t>
  </si>
  <si>
    <t xml:space="preserve">2025-09-03 16:41:23.755</t>
  </si>
  <si>
    <t xml:space="preserve">0.735479166666667</t>
  </si>
  <si>
    <t xml:space="preserve">2025-09-03 16:07:40.992974</t>
  </si>
  <si>
    <t xml:space="preserve">0.0948209886111111</t>
  </si>
  <si>
    <t xml:space="preserve">2025-09-03 16:14:37.966353</t>
  </si>
  <si>
    <t xml:space="preserve">0.188029197222222</t>
  </si>
  <si>
    <t xml:space="preserve">2025-09-03 18:56:12.750047</t>
  </si>
  <si>
    <t xml:space="preserve">2.80882140916667</t>
  </si>
  <si>
    <t xml:space="preserve">2025-09-03 16:15:46.654937</t>
  </si>
  <si>
    <t xml:space="preserve">0.0992460694444444</t>
  </si>
  <si>
    <t xml:space="preserve">2025-09-03 16:56:32.793129</t>
  </si>
  <si>
    <t xml:space="preserve">0.755998408888889</t>
  </si>
  <si>
    <t xml:space="preserve">2025-09-03 18:04:53.530372</t>
  </si>
  <si>
    <t xml:space="preserve">1.83765667194444</t>
  </si>
  <si>
    <t xml:space="preserve">2025-09-03 18:56:26.466654</t>
  </si>
  <si>
    <t xml:space="preserve">2.67772547694444</t>
  </si>
  <si>
    <t xml:space="preserve">2025-09-03 16:25:14.737</t>
  </si>
  <si>
    <t xml:space="preserve">0.115197222222222</t>
  </si>
  <si>
    <t xml:space="preserve">2025-09-03 17:58:59.877863</t>
  </si>
  <si>
    <t xml:space="preserve">1.59298924083333</t>
  </si>
  <si>
    <t xml:space="preserve">2025-09-03 16:23:33.262199</t>
  </si>
  <si>
    <t xml:space="preserve">2025-09-03 16:56:51.688355</t>
  </si>
  <si>
    <t xml:space="preserve">0.555118376666667</t>
  </si>
  <si>
    <t xml:space="preserve">2025-09-03 16:28:04.465</t>
  </si>
  <si>
    <t xml:space="preserve">0.0471466666666667</t>
  </si>
  <si>
    <t xml:space="preserve">2025-09-03 17:55:35.600443</t>
  </si>
  <si>
    <t xml:space="preserve">1.45864873416667</t>
  </si>
  <si>
    <t xml:space="preserve">2025-09-03 16:42:50.048</t>
  </si>
  <si>
    <t xml:space="preserve">0.143040555555556</t>
  </si>
  <si>
    <t xml:space="preserve">2025-09-03 16:53:28.685</t>
  </si>
  <si>
    <t xml:space="preserve">0.201369444444444</t>
  </si>
  <si>
    <t xml:space="preserve">2025-09-03 18:56:07.112819</t>
  </si>
  <si>
    <t xml:space="preserve">2.22140689416667</t>
  </si>
  <si>
    <t xml:space="preserve">2025-09-03 16:47:37.592</t>
  </si>
  <si>
    <t xml:space="preserve">0.0518058333333333</t>
  </si>
  <si>
    <t xml:space="preserve">2025-09-03 18:57:41.783</t>
  </si>
  <si>
    <t xml:space="preserve">2.16783083333333</t>
  </si>
  <si>
    <t xml:space="preserve">2.03568627222222</t>
  </si>
  <si>
    <t xml:space="preserve">2025-09-03 18:53:58.99449</t>
  </si>
  <si>
    <t xml:space="preserve">2.00841930277778</t>
  </si>
  <si>
    <t xml:space="preserve">2025-09-03 16:56:30.732</t>
  </si>
  <si>
    <t xml:space="preserve">0.0341280555555556</t>
  </si>
  <si>
    <t xml:space="preserve">2025-09-03 16:58:51.755185</t>
  </si>
  <si>
    <t xml:space="preserve">0.0391731069444444</t>
  </si>
  <si>
    <t xml:space="preserve">2025-09-03 18:38:41.066863</t>
  </si>
  <si>
    <t xml:space="preserve">1.70229825944444</t>
  </si>
  <si>
    <t xml:space="preserve">2025-09-03 18:55:51.281739</t>
  </si>
  <si>
    <t xml:space="preserve">1.98322038444444</t>
  </si>
  <si>
    <t xml:space="preserve">2025-09-03 17:04:11.619</t>
  </si>
  <si>
    <t xml:space="preserve">0.0888510597222222</t>
  </si>
  <si>
    <t xml:space="preserve">2025-09-03 17:07:45.001001</t>
  </si>
  <si>
    <t xml:space="preserve">0.0760833336111111</t>
  </si>
  <si>
    <t xml:space="preserve">2025-09-03 18:56:01.735791</t>
  </si>
  <si>
    <t xml:space="preserve">1.86392133083333</t>
  </si>
  <si>
    <t xml:space="preserve">3.46312838861111</t>
  </si>
  <si>
    <t xml:space="preserve">2025-09-03 17:08:49.007403</t>
  </si>
  <si>
    <t xml:space="preserve">0.0177795561111111</t>
  </si>
  <si>
    <t xml:space="preserve">2025-09-03 17:13:04.438539</t>
  </si>
  <si>
    <t xml:space="preserve">0.0709530933333333</t>
  </si>
  <si>
    <t xml:space="preserve">2025-09-03 18:51:49.447431</t>
  </si>
  <si>
    <t xml:space="preserve">1.64583580333333</t>
  </si>
  <si>
    <t xml:space="preserve">2025-09-03 17:22:09.812788</t>
  </si>
  <si>
    <t xml:space="preserve">0.0654256547222222</t>
  </si>
  <si>
    <t xml:space="preserve">2025-09-03 18:52:34.071</t>
  </si>
  <si>
    <t xml:space="preserve">1.50673839222222</t>
  </si>
  <si>
    <t xml:space="preserve">2025-09-03 18:54:32.951451</t>
  </si>
  <si>
    <t xml:space="preserve">1.25962583083333</t>
  </si>
  <si>
    <t xml:space="preserve">2025-09-03 19:33:22.364</t>
  </si>
  <si>
    <t xml:space="preserve">1.62965654361111</t>
  </si>
  <si>
    <t xml:space="preserve">2025-09-03 18:54:54.187823</t>
  </si>
  <si>
    <t xml:space="preserve">0.931752766666667</t>
  </si>
  <si>
    <t xml:space="preserve">2025-09-03 18:49:43.299204</t>
  </si>
  <si>
    <t xml:space="preserve">0.747158008888889</t>
  </si>
  <si>
    <t xml:space="preserve">2025-09-04 15:52:27.644005</t>
  </si>
  <si>
    <t xml:space="preserve">21.2296047616667</t>
  </si>
  <si>
    <t xml:space="preserve">17.2275</t>
  </si>
  <si>
    <t xml:space="preserve">2025-09-03 18:56:12.228643</t>
  </si>
  <si>
    <t xml:space="preserve">0.108035955277778</t>
  </si>
  <si>
    <t xml:space="preserve">2025-09-03 18:58:40.018</t>
  </si>
  <si>
    <t xml:space="preserve">0.114047380277778</t>
  </si>
  <si>
    <t xml:space="preserve">0.134146944444444</t>
  </si>
  <si>
    <t xml:space="preserve">2025-09-03 19:02:59.741149</t>
  </si>
  <si>
    <t xml:space="preserve">0.150207405277778</t>
  </si>
  <si>
    <t xml:space="preserve">2025-09-03 20:36:09.520029</t>
  </si>
  <si>
    <t xml:space="preserve">1.69349127166667</t>
  </si>
  <si>
    <t xml:space="preserve">2025-09-03 19:10:04.270744</t>
  </si>
  <si>
    <t xml:space="preserve">0.252800811388889</t>
  </si>
  <si>
    <t xml:space="preserve">2025-09-03 19:26:29.914</t>
  </si>
  <si>
    <t xml:space="preserve">0.522311559444444</t>
  </si>
  <si>
    <t xml:space="preserve">2025-09-03 19:03:31.737743</t>
  </si>
  <si>
    <t xml:space="preserve">0.127904445555556</t>
  </si>
  <si>
    <t xml:space="preserve">2025-09-03 19:04:13.182001</t>
  </si>
  <si>
    <t xml:space="preserve">0.136512836111111</t>
  </si>
  <si>
    <t xml:space="preserve">2025-09-03 19:02:09.914962</t>
  </si>
  <si>
    <t xml:space="preserve">0.100778373055556</t>
  </si>
  <si>
    <t xml:space="preserve">2025-09-03 19:05:16.612754</t>
  </si>
  <si>
    <t xml:space="preserve">0.151217808611111</t>
  </si>
  <si>
    <t xml:space="preserve">2025-09-03 19:03:05.415711</t>
  </si>
  <si>
    <t xml:space="preserve">0.114629351111111</t>
  </si>
  <si>
    <t xml:space="preserve">2025-09-03 19:00:17.469921</t>
  </si>
  <si>
    <t xml:space="preserve">0.0641675741666667</t>
  </si>
  <si>
    <t xml:space="preserve">2025-09-03 19:06:59.607833</t>
  </si>
  <si>
    <t xml:space="preserve">0.1549513425</t>
  </si>
  <si>
    <t xml:space="preserve">2025-09-03 19:13:13.482</t>
  </si>
  <si>
    <t xml:space="preserve">0.25082</t>
  </si>
  <si>
    <t xml:space="preserve">2025-09-03 19:07:03.90111</t>
  </si>
  <si>
    <t xml:space="preserve">0.139967530555556</t>
  </si>
  <si>
    <t xml:space="preserve">2025-09-03 20:34:04.434641</t>
  </si>
  <si>
    <t xml:space="preserve">1.56304575555556</t>
  </si>
  <si>
    <t xml:space="preserve">2025-09-03 20:09:18.98</t>
  </si>
  <si>
    <t xml:space="preserve">1.11918473277778</t>
  </si>
  <si>
    <t xml:space="preserve">2025-09-03 20:04:29.344228</t>
  </si>
  <si>
    <t xml:space="preserve">1.02488974416667</t>
  </si>
  <si>
    <t xml:space="preserve">2025-09-03 20:02:44.651016</t>
  </si>
  <si>
    <t xml:space="preserve">0.994232029166667</t>
  </si>
  <si>
    <t xml:space="preserve">2025-09-04 02:56:38.476021</t>
  </si>
  <si>
    <t xml:space="preserve">7.88520507722222</t>
  </si>
  <si>
    <t xml:space="preserve">2025-09-04 02:55:03.745</t>
  </si>
  <si>
    <t xml:space="preserve">7.84737861083333</t>
  </si>
  <si>
    <t xml:space="preserve">2025-09-03 19:21:37.996908</t>
  </si>
  <si>
    <t xml:space="preserve">0.272606709444444</t>
  </si>
  <si>
    <t xml:space="preserve">2025-09-04 03:03:38.907537</t>
  </si>
  <si>
    <t xml:space="preserve">7.94424991777778</t>
  </si>
  <si>
    <t xml:space="preserve">2025-09-04 03:04:09.119</t>
  </si>
  <si>
    <t xml:space="preserve">7.95144941388889</t>
  </si>
  <si>
    <t xml:space="preserve">2025-09-03 20:02:50.662416</t>
  </si>
  <si>
    <t xml:space="preserve">1.03712844888889</t>
  </si>
  <si>
    <t xml:space="preserve">2025-09-03 19:57:24.462117</t>
  </si>
  <si>
    <t xml:space="preserve">0.788942048055556</t>
  </si>
  <si>
    <t xml:space="preserve">2025-09-03 21:20:21.096</t>
  </si>
  <si>
    <t xml:space="preserve">2.11878166666667</t>
  </si>
  <si>
    <t xml:space="preserve">2025-09-03 20:15:52.969947</t>
  </si>
  <si>
    <t xml:space="preserve">0.9041591775</t>
  </si>
  <si>
    <t xml:space="preserve">2025-09-03 20:42:39.136547</t>
  </si>
  <si>
    <t xml:space="preserve">1.26922848527778</t>
  </si>
  <si>
    <t xml:space="preserve">0.155454444444444</t>
  </si>
  <si>
    <t xml:space="preserve">2025-09-03 20:12:58.598293</t>
  </si>
  <si>
    <t xml:space="preserve">0.517784110833333</t>
  </si>
  <si>
    <t xml:space="preserve">27.5933333333333</t>
  </si>
  <si>
    <t xml:space="preserve">2025-09-03 20:29:17.930867</t>
  </si>
  <si>
    <t xml:space="preserve">0.531519097222222</t>
  </si>
  <si>
    <t xml:space="preserve">2025-09-03 20:06:27.472176</t>
  </si>
  <si>
    <t xml:space="preserve">0.0618947666666667</t>
  </si>
  <si>
    <t xml:space="preserve">0.0695382177777778</t>
  </si>
  <si>
    <t xml:space="preserve">2025-09-03 20:12:30.524</t>
  </si>
  <si>
    <t xml:space="preserve">0.133661047777778</t>
  </si>
  <si>
    <t xml:space="preserve">2025-09-04 01:45:36.095572</t>
  </si>
  <si>
    <t xml:space="preserve">5.65239538777778</t>
  </si>
  <si>
    <t xml:space="preserve">2025-09-03 20:39:47.928524</t>
  </si>
  <si>
    <t xml:space="preserve">0.546369034444444</t>
  </si>
  <si>
    <t xml:space="preserve">2025-09-03 21:09:35.755379</t>
  </si>
  <si>
    <t xml:space="preserve">1.02684939972222</t>
  </si>
  <si>
    <t xml:space="preserve">2025-09-03 20:10:52.096337</t>
  </si>
  <si>
    <t xml:space="preserve">0.0258656491666667</t>
  </si>
  <si>
    <t xml:space="preserve">2025-09-03 20:45:20.755</t>
  </si>
  <si>
    <t xml:space="preserve">0.574627406388889</t>
  </si>
  <si>
    <t xml:space="preserve">2025-09-03 23:35:37.332687</t>
  </si>
  <si>
    <t xml:space="preserve">3.38522463527778</t>
  </si>
  <si>
    <t xml:space="preserve">2025-09-03 21:02:05.111506</t>
  </si>
  <si>
    <t xml:space="preserve">0.8184758925</t>
  </si>
  <si>
    <t xml:space="preserve">2025-09-04 00:24:19.419137</t>
  </si>
  <si>
    <t xml:space="preserve">4.14068033055556</t>
  </si>
  <si>
    <t xml:space="preserve">2025-09-03 20:33:17.260999</t>
  </si>
  <si>
    <t xml:space="preserve">0.0664805922222222</t>
  </si>
  <si>
    <t xml:space="preserve">2025-09-03 20:34:41.732371</t>
  </si>
  <si>
    <t xml:space="preserve">0.02346427</t>
  </si>
  <si>
    <t xml:space="preserve">2025-09-03 20:37:20.250011</t>
  </si>
  <si>
    <t xml:space="preserve">0.0543931583333333</t>
  </si>
  <si>
    <t xml:space="preserve">2025-09-03 20:37:32.391441</t>
  </si>
  <si>
    <t xml:space="preserve">0.0474052972222222</t>
  </si>
  <si>
    <t xml:space="preserve">2025-09-03 21:47:10.550946</t>
  </si>
  <si>
    <t xml:space="preserve">1.18361969916667</t>
  </si>
  <si>
    <t xml:space="preserve">2025-09-04 01:47:20.735313</t>
  </si>
  <si>
    <t xml:space="preserve">5.16680147277778</t>
  </si>
  <si>
    <t xml:space="preserve">2025-09-03 20:59:19.630663</t>
  </si>
  <si>
    <t xml:space="preserve">0.363122006111111</t>
  </si>
  <si>
    <t xml:space="preserve">2025-09-03 20:41:32.049567</t>
  </si>
  <si>
    <t xml:space="preserve">0.0289225119444444</t>
  </si>
  <si>
    <t xml:space="preserve">2025-09-03 20:53:52.670831</t>
  </si>
  <si>
    <t xml:space="preserve">0.205728128888889</t>
  </si>
  <si>
    <t xml:space="preserve">2025-09-03 20:49:02.24013</t>
  </si>
  <si>
    <t xml:space="preserve">0.106417661944444</t>
  </si>
  <si>
    <t xml:space="preserve">2025-09-04 02:07:12.465</t>
  </si>
  <si>
    <t xml:space="preserve">5.36436388888889</t>
  </si>
  <si>
    <t xml:space="preserve">2025-09-04 00:43:29.188626</t>
  </si>
  <si>
    <t xml:space="preserve">3.90748569333333</t>
  </si>
  <si>
    <t xml:space="preserve">2025-09-03 20:58:31.94372</t>
  </si>
  <si>
    <t xml:space="preserve">0.0775758025</t>
  </si>
  <si>
    <t xml:space="preserve">2025-09-04 01:45:29.616149</t>
  </si>
  <si>
    <t xml:space="preserve">4.78268678583333</t>
  </si>
  <si>
    <t xml:space="preserve">2025-09-03 21:06:57.762224</t>
  </si>
  <si>
    <t xml:space="preserve">0.127258766944444</t>
  </si>
  <si>
    <t xml:space="preserve">2025-09-04 20:18:50.2776</t>
  </si>
  <si>
    <t xml:space="preserve">23.2792128038889</t>
  </si>
  <si>
    <t xml:space="preserve">2025-09-03 21:16:47.823973</t>
  </si>
  <si>
    <t xml:space="preserve">0.163906041388889</t>
  </si>
  <si>
    <t xml:space="preserve">2025-09-04 01:54:38.491507</t>
  </si>
  <si>
    <t xml:space="preserve">4.75076003555556</t>
  </si>
  <si>
    <t xml:space="preserve">2025-09-03 22:18:52.292607</t>
  </si>
  <si>
    <t xml:space="preserve">1.03457462055556</t>
  </si>
  <si>
    <t xml:space="preserve">2025-09-03 21:28:39.008</t>
  </si>
  <si>
    <t xml:space="preserve">0.138308888888889</t>
  </si>
  <si>
    <t xml:space="preserve">2025-09-04 01:17:01.523</t>
  </si>
  <si>
    <t xml:space="preserve">3.80625416666667</t>
  </si>
  <si>
    <t xml:space="preserve">2025-09-03 21:47:58.300103</t>
  </si>
  <si>
    <t xml:space="preserve">0.288537166944444</t>
  </si>
  <si>
    <t xml:space="preserve">2025-09-04 03:05:35.31</t>
  </si>
  <si>
    <t xml:space="preserve">5.57483985305555</t>
  </si>
  <si>
    <t xml:space="preserve">2025-09-06 04:09:32.830953</t>
  </si>
  <si>
    <t xml:space="preserve">80.9505085980555</t>
  </si>
  <si>
    <t xml:space="preserve">2025-09-03 21:47:50.87421</t>
  </si>
  <si>
    <t xml:space="preserve">0.0112009066666667</t>
  </si>
  <si>
    <t xml:space="preserve">2025-09-04 09:33:03.304932</t>
  </si>
  <si>
    <t xml:space="preserve">11.7534529783333</t>
  </si>
  <si>
    <t xml:space="preserve">2025-09-03 23:34:03.516243</t>
  </si>
  <si>
    <t xml:space="preserve">1.76811559444444</t>
  </si>
  <si>
    <t xml:space="preserve">2025-09-03 23:24:46.65498</t>
  </si>
  <si>
    <t xml:space="preserve">1.0984339925</t>
  </si>
  <si>
    <t xml:space="preserve">2025-09-04 03:46:02.989741</t>
  </si>
  <si>
    <t xml:space="preserve">4.35453743361111</t>
  </si>
  <si>
    <t xml:space="preserve">2025-09-04 04:22:09.689243</t>
  </si>
  <si>
    <t xml:space="preserve">4.80171472222222</t>
  </si>
  <si>
    <t xml:space="preserve">1.08685203138889</t>
  </si>
  <si>
    <t xml:space="preserve">2025-09-04 00:27:20.393418</t>
  </si>
  <si>
    <t xml:space="preserve">0.0502706336111111</t>
  </si>
  <si>
    <t xml:space="preserve">2025-09-04 03:03:26.493759</t>
  </si>
  <si>
    <t xml:space="preserve">2.60169453916667</t>
  </si>
  <si>
    <t xml:space="preserve">2025-09-04 01:34:39.411</t>
  </si>
  <si>
    <t xml:space="preserve">0.852839548333333</t>
  </si>
  <si>
    <t xml:space="preserve">2025-09-04 02:01:55.333989</t>
  </si>
  <si>
    <t xml:space="preserve">1.35148166361111</t>
  </si>
  <si>
    <t xml:space="preserve">2025-09-04 03:17:14.441</t>
  </si>
  <si>
    <t xml:space="preserve">2.00358833333333</t>
  </si>
  <si>
    <t xml:space="preserve">2025-09-04 03:16:23.952</t>
  </si>
  <si>
    <t xml:space="preserve">1.69570583333333</t>
  </si>
  <si>
    <t xml:space="preserve">0.0922222222222222</t>
  </si>
  <si>
    <t xml:space="preserve">4.72583333333333</t>
  </si>
  <si>
    <t xml:space="preserve">0.283333333333333</t>
  </si>
  <si>
    <t xml:space="preserve">2025-09-04 01:44:59.274793</t>
  </si>
  <si>
    <t xml:space="preserve">1.73813188694444</t>
  </si>
  <si>
    <t xml:space="preserve">2025-09-04 04:39:44.833457</t>
  </si>
  <si>
    <t xml:space="preserve">2.91265518444444</t>
  </si>
  <si>
    <t xml:space="preserve">2025-09-04 01:57:50.54996</t>
  </si>
  <si>
    <t xml:space="preserve">0.2058149475</t>
  </si>
  <si>
    <t xml:space="preserve">2025-09-04 01:58:11.781382</t>
  </si>
  <si>
    <t xml:space="preserve">0.209912725</t>
  </si>
  <si>
    <t xml:space="preserve">2025-09-04 01:57:36.52</t>
  </si>
  <si>
    <t xml:space="preserve">0.171051301944444</t>
  </si>
  <si>
    <t xml:space="preserve">2025-09-04 02:59:24.773937</t>
  </si>
  <si>
    <t xml:space="preserve">1.07952289722222</t>
  </si>
  <si>
    <t xml:space="preserve">2025-09-04 02:41:02.193344</t>
  </si>
  <si>
    <t xml:space="preserve">0.723798151111111</t>
  </si>
  <si>
    <t xml:space="preserve">2025-09-04 02:41:16.470476</t>
  </si>
  <si>
    <t xml:space="preserve">0.72386681</t>
  </si>
  <si>
    <t xml:space="preserve">2025-09-04 02:46:45.586901</t>
  </si>
  <si>
    <t xml:space="preserve">0.809390421944444</t>
  </si>
  <si>
    <t xml:space="preserve">2025-09-04 02:45:59.889443</t>
  </si>
  <si>
    <t xml:space="preserve">0.734598737222222</t>
  </si>
  <si>
    <t xml:space="preserve">2025-09-04 02:10:50.583045</t>
  </si>
  <si>
    <t xml:space="preserve">0.0605883458333333</t>
  </si>
  <si>
    <t xml:space="preserve">2025-09-04 03:01:43.981</t>
  </si>
  <si>
    <t xml:space="preserve">0.848166098611111</t>
  </si>
  <si>
    <t xml:space="preserve">2025-09-04 02:49:55.751224</t>
  </si>
  <si>
    <t xml:space="preserve">0.148210522222222</t>
  </si>
  <si>
    <t xml:space="preserve">0.159869312222222</t>
  </si>
  <si>
    <t xml:space="preserve">2025-09-04 02:50:01.281753</t>
  </si>
  <si>
    <t xml:space="preserve">0.0670534194444444</t>
  </si>
  <si>
    <t xml:space="preserve">2025-09-04 02:51:35.496856</t>
  </si>
  <si>
    <t xml:space="preserve">0.0805305430555556</t>
  </si>
  <si>
    <t xml:space="preserve">2025-09-04 04:02:20.427355</t>
  </si>
  <si>
    <t xml:space="preserve">1.20685448083333</t>
  </si>
  <si>
    <t xml:space="preserve">2025-09-04 04:18:59.4387</t>
  </si>
  <si>
    <t xml:space="preserve">1.48282137416667</t>
  </si>
  <si>
    <t xml:space="preserve">2025-09-04 07:01:39.58143</t>
  </si>
  <si>
    <t xml:space="preserve">4.17988373055556</t>
  </si>
  <si>
    <t xml:space="preserve">2025-09-04 04:11:49.095064</t>
  </si>
  <si>
    <t xml:space="preserve">1.33711061333333</t>
  </si>
  <si>
    <t xml:space="preserve">2025-09-04 03:09:41.178039</t>
  </si>
  <si>
    <t xml:space="preserve">0.243731399722222</t>
  </si>
  <si>
    <t xml:space="preserve">2025-09-04 03:07:47.224497</t>
  </si>
  <si>
    <t xml:space="preserve">0.185763465555556</t>
  </si>
  <si>
    <t xml:space="preserve">2025-09-04 07:36:03.321828</t>
  </si>
  <si>
    <t xml:space="preserve">4.6107077475</t>
  </si>
  <si>
    <t xml:space="preserve">2025-09-04 03:10:00.104669</t>
  </si>
  <si>
    <t xml:space="preserve">0.137812130277778</t>
  </si>
  <si>
    <t xml:space="preserve">2025-09-04 03:08:48.329813</t>
  </si>
  <si>
    <t xml:space="preserve">0.0893989038888889</t>
  </si>
  <si>
    <t xml:space="preserve">2025-09-04 03:09:45.448565</t>
  </si>
  <si>
    <t xml:space="preserve">0.101816952222222</t>
  </si>
  <si>
    <t xml:space="preserve">2025-09-04 03:09:53.050115</t>
  </si>
  <si>
    <t xml:space="preserve">0.0955364208333333</t>
  </si>
  <si>
    <t xml:space="preserve">2025-09-04 06:51:22.331833</t>
  </si>
  <si>
    <t xml:space="preserve">3.72641870444444</t>
  </si>
  <si>
    <t xml:space="preserve">2025-09-04 04:27:43.674687</t>
  </si>
  <si>
    <t xml:space="preserve">1.31537357611111</t>
  </si>
  <si>
    <t xml:space="preserve">2025-09-04 03:15:37.507359</t>
  </si>
  <si>
    <t xml:space="preserve">0.167277044166667</t>
  </si>
  <si>
    <t xml:space="preserve">2025-09-04 04:50:19.455</t>
  </si>
  <si>
    <t xml:space="preserve">1.67729915583333</t>
  </si>
  <si>
    <t xml:space="preserve">2025-09-04 03:46:51.507354</t>
  </si>
  <si>
    <t xml:space="preserve">0.618349663611111</t>
  </si>
  <si>
    <t xml:space="preserve">2025-09-04 04:40:54.725714</t>
  </si>
  <si>
    <t xml:space="preserve">1.51713211083333</t>
  </si>
  <si>
    <t xml:space="preserve">2025-09-04 04:05:29.093</t>
  </si>
  <si>
    <t xml:space="preserve">0.924718980833333</t>
  </si>
  <si>
    <t xml:space="preserve">2025-09-04 03:21:22.087142</t>
  </si>
  <si>
    <t xml:space="preserve">0.0957166063888889</t>
  </si>
  <si>
    <t xml:space="preserve">2025-09-04 03:20:02.655</t>
  </si>
  <si>
    <t xml:space="preserve">0.0607508333333333</t>
  </si>
  <si>
    <t xml:space="preserve">2025-09-04 08:18:51.732</t>
  </si>
  <si>
    <t xml:space="preserve">5.02702527777778</t>
  </si>
  <si>
    <t xml:space="preserve">2025-09-04 06:52:04.594266</t>
  </si>
  <si>
    <t xml:space="preserve">3.53387201833333</t>
  </si>
  <si>
    <t xml:space="preserve">2025-09-04 05:16:13.996</t>
  </si>
  <si>
    <t xml:space="preserve">1.91441912722222</t>
  </si>
  <si>
    <t xml:space="preserve">2025-09-04 04:34:10.970239</t>
  </si>
  <si>
    <t xml:space="preserve">0.802216805</t>
  </si>
  <si>
    <t xml:space="preserve">2025-09-04 03:51:11.787</t>
  </si>
  <si>
    <t xml:space="preserve">0.0722999016666667</t>
  </si>
  <si>
    <t xml:space="preserve">2025-09-04 04:55:27.036</t>
  </si>
  <si>
    <t xml:space="preserve">1.0709025</t>
  </si>
  <si>
    <t xml:space="preserve">2025-09-04 04:09:37.674392</t>
  </si>
  <si>
    <t xml:space="preserve">0.121457510277778</t>
  </si>
  <si>
    <t xml:space="preserve">2025-09-04 04:06:50.752</t>
  </si>
  <si>
    <t xml:space="preserve">0.0226830555555556</t>
  </si>
  <si>
    <t xml:space="preserve">2025-09-04 04:59:08.468</t>
  </si>
  <si>
    <t xml:space="preserve">0.871587777777778</t>
  </si>
  <si>
    <t xml:space="preserve">2025-09-04 07:14:27.253745</t>
  </si>
  <si>
    <t xml:space="preserve">3.08043870916667</t>
  </si>
  <si>
    <t xml:space="preserve">2025-09-04 04:18:58.494</t>
  </si>
  <si>
    <t xml:space="preserve">0.119277482222222</t>
  </si>
  <si>
    <t xml:space="preserve">2025-09-04 04:26:36.936</t>
  </si>
  <si>
    <t xml:space="preserve">0.127082583333333</t>
  </si>
  <si>
    <t xml:space="preserve">2025-09-04 06:51:07.823849</t>
  </si>
  <si>
    <t xml:space="preserve">2.53592495805556</t>
  </si>
  <si>
    <t xml:space="preserve">2025-09-04 06:52:09.245022</t>
  </si>
  <si>
    <t xml:space="preserve">2.49987660527778</t>
  </si>
  <si>
    <t xml:space="preserve">2025-09-04 07:03:26.701984</t>
  </si>
  <si>
    <t xml:space="preserve">2.61382388444444</t>
  </si>
  <si>
    <t xml:space="preserve">2025-09-04 05:09:11.892532</t>
  </si>
  <si>
    <t xml:space="preserve">0.691171623611111</t>
  </si>
  <si>
    <t xml:space="preserve">2025-09-04 06:46:45.618818</t>
  </si>
  <si>
    <t xml:space="preserve">2.20962460527778</t>
  </si>
  <si>
    <t xml:space="preserve">2025-09-04 06:52:14.489333</t>
  </si>
  <si>
    <t xml:space="preserve">2.20823774333333</t>
  </si>
  <si>
    <t xml:space="preserve">2025-09-04 04:45:11.253103</t>
  </si>
  <si>
    <t xml:space="preserve">0.0712576080555556</t>
  </si>
  <si>
    <t xml:space="preserve">2025-09-04 06:50:12.111213</t>
  </si>
  <si>
    <t xml:space="preserve">2.08357169722222</t>
  </si>
  <si>
    <t xml:space="preserve">2025-09-04 04:52:37.153</t>
  </si>
  <si>
    <t xml:space="preserve">0.0382494444444444</t>
  </si>
  <si>
    <t xml:space="preserve">2025-09-04 06:51:58.598292</t>
  </si>
  <si>
    <t xml:space="preserve">1.98929035888889</t>
  </si>
  <si>
    <t xml:space="preserve">2025-09-04 04:57:48.442</t>
  </si>
  <si>
    <t xml:space="preserve">0.0392794444444444</t>
  </si>
  <si>
    <t xml:space="preserve">2025-09-04 06:48:49.733</t>
  </si>
  <si>
    <t xml:space="preserve">1.85035861111111</t>
  </si>
  <si>
    <t xml:space="preserve">2025-09-04 05:02:44.403</t>
  </si>
  <si>
    <t xml:space="preserve">0.0599819444444444</t>
  </si>
  <si>
    <t xml:space="preserve">2025-09-04 06:51:40.105059</t>
  </si>
  <si>
    <t xml:space="preserve">1.81547279416667</t>
  </si>
  <si>
    <t xml:space="preserve">2025-09-04 05:13:49.655609</t>
  </si>
  <si>
    <t xml:space="preserve">0.0771564102777778</t>
  </si>
  <si>
    <t xml:space="preserve">2025-09-04 06:46:53.590614</t>
  </si>
  <si>
    <t xml:space="preserve">1.55109305694444</t>
  </si>
  <si>
    <t xml:space="preserve">2025-09-04 05:19:52.119087</t>
  </si>
  <si>
    <t xml:space="preserve">0.0605897463888889</t>
  </si>
  <si>
    <t xml:space="preserve">2025-09-04 06:50:54.845</t>
  </si>
  <si>
    <t xml:space="preserve">1.51742386472222</t>
  </si>
  <si>
    <t xml:space="preserve">2025-09-04 10:33:30.078661</t>
  </si>
  <si>
    <t xml:space="preserve">3.77901662305556</t>
  </si>
  <si>
    <t xml:space="preserve">2025-09-04 06:59:37.76153</t>
  </si>
  <si>
    <t xml:space="preserve">0.212269698888889</t>
  </si>
  <si>
    <t xml:space="preserve">2025-09-04 06:58:56.290286</t>
  </si>
  <si>
    <t xml:space="preserve">0.168488135</t>
  </si>
  <si>
    <t xml:space="preserve">2025-09-04 06:57:29.667</t>
  </si>
  <si>
    <t xml:space="preserve">0.121543274166667</t>
  </si>
  <si>
    <t xml:space="preserve">2025-09-04 06:56:57.626</t>
  </si>
  <si>
    <t xml:space="preserve">0.1007725</t>
  </si>
  <si>
    <t xml:space="preserve">2025-09-04 07:03:49.373588</t>
  </si>
  <si>
    <t xml:space="preserve">0.211541594166667</t>
  </si>
  <si>
    <t xml:space="preserve">0.115463379722222</t>
  </si>
  <si>
    <t xml:space="preserve">2025-09-04 06:59:10.59262</t>
  </si>
  <si>
    <t xml:space="preserve">0.125135433611111</t>
  </si>
  <si>
    <t xml:space="preserve">2025-09-04 06:59:17.721</t>
  </si>
  <si>
    <t xml:space="preserve">0.12197853</t>
  </si>
  <si>
    <t xml:space="preserve">2025-09-04 07:13:47.475</t>
  </si>
  <si>
    <t xml:space="preserve">0.361911315</t>
  </si>
  <si>
    <t xml:space="preserve">2025-09-04 07:20:28.684943</t>
  </si>
  <si>
    <t xml:space="preserve">0.472066644722222</t>
  </si>
  <si>
    <t xml:space="preserve">0.185975185277778</t>
  </si>
  <si>
    <t xml:space="preserve">2025-09-04 07:40:39.648</t>
  </si>
  <si>
    <t xml:space="preserve">0.728339444444444</t>
  </si>
  <si>
    <t xml:space="preserve">2025-09-04 09:06:06.539801</t>
  </si>
  <si>
    <t xml:space="preserve">2.14357577805556</t>
  </si>
  <si>
    <t xml:space="preserve">2025-09-04 09:58:46.44</t>
  </si>
  <si>
    <t xml:space="preserve">2.99726380944444</t>
  </si>
  <si>
    <t xml:space="preserve">2025-09-04 09:05:19.364</t>
  </si>
  <si>
    <t xml:space="preserve">2.10243649444444</t>
  </si>
  <si>
    <t xml:space="preserve">2025-09-04 09:31:38.527</t>
  </si>
  <si>
    <t xml:space="preserve">2.53911277777778</t>
  </si>
  <si>
    <t xml:space="preserve">2025-09-04 12:58:24.480378</t>
  </si>
  <si>
    <t xml:space="preserve">5.97964412444444</t>
  </si>
  <si>
    <t xml:space="preserve">2025-09-04 07:08:31.396204</t>
  </si>
  <si>
    <t xml:space="preserve">0.114392992777778</t>
  </si>
  <si>
    <t xml:space="preserve">2025-09-04 07:08:53.257172</t>
  </si>
  <si>
    <t xml:space="preserve">0.0907097744444444</t>
  </si>
  <si>
    <t xml:space="preserve">2025-09-04 08:49:19.087</t>
  </si>
  <si>
    <t xml:space="preserve">1.75825372555556</t>
  </si>
  <si>
    <t xml:space="preserve">2025-09-04 07:13:48.805</t>
  </si>
  <si>
    <t xml:space="preserve">0.08816911</t>
  </si>
  <si>
    <t xml:space="preserve">2025-09-04 07:22:41.622</t>
  </si>
  <si>
    <t xml:space="preserve">0.230101341111111</t>
  </si>
  <si>
    <t xml:space="preserve">2025-09-04 07:14:24.924</t>
  </si>
  <si>
    <t xml:space="preserve">0.0100330555555556</t>
  </si>
  <si>
    <t xml:space="preserve">2025-09-04 11:45:38.183</t>
  </si>
  <si>
    <t xml:space="preserve">4.53075222222222</t>
  </si>
  <si>
    <t xml:space="preserve">2025-09-04 07:25:21.757259</t>
  </si>
  <si>
    <t xml:space="preserve">0.182453683055556</t>
  </si>
  <si>
    <t xml:space="preserve">2025-09-04 07:25:41.553</t>
  </si>
  <si>
    <t xml:space="preserve">0.187305348611111</t>
  </si>
  <si>
    <t xml:space="preserve">2025-09-04 09:33:10.194208</t>
  </si>
  <si>
    <t xml:space="preserve">2.21153035138889</t>
  </si>
  <si>
    <t xml:space="preserve">2025-09-04 07:28:21.97884</t>
  </si>
  <si>
    <t xml:space="preserve">0.0945435666666667</t>
  </si>
  <si>
    <t xml:space="preserve">2025-09-04 08:48:57.584</t>
  </si>
  <si>
    <t xml:space="preserve">1.39328520583333</t>
  </si>
  <si>
    <t xml:space="preserve">2025-09-04 08:52:32.935435</t>
  </si>
  <si>
    <t xml:space="preserve">1.44760623194444</t>
  </si>
  <si>
    <t xml:space="preserve">2025-09-04 08:58:06.389765</t>
  </si>
  <si>
    <t xml:space="preserve">1.49566970138889</t>
  </si>
  <si>
    <t xml:space="preserve">2025-09-04 10:32:03.892341</t>
  </si>
  <si>
    <t xml:space="preserve">2.93349180916667</t>
  </si>
  <si>
    <t xml:space="preserve">2025-09-04 11:11:10.760688</t>
  </si>
  <si>
    <t xml:space="preserve">3.50864241333333</t>
  </si>
  <si>
    <t xml:space="preserve">2025-09-04 09:05:51.772787</t>
  </si>
  <si>
    <t xml:space="preserve">2.12604799638889</t>
  </si>
  <si>
    <t xml:space="preserve">2025-09-04 08:29:56.138</t>
  </si>
  <si>
    <t xml:space="preserve">0.184557222222222</t>
  </si>
  <si>
    <t xml:space="preserve">2025-09-04 11:13:34.098</t>
  </si>
  <si>
    <t xml:space="preserve">2.72721111111111</t>
  </si>
  <si>
    <t xml:space="preserve">2025-09-04 09:00:45.271587</t>
  </si>
  <si>
    <t xml:space="preserve">0.196579885277778</t>
  </si>
  <si>
    <t xml:space="preserve">2025-09-04 09:03:36.982965</t>
  </si>
  <si>
    <t xml:space="preserve">0.238304434722222</t>
  </si>
  <si>
    <t xml:space="preserve">2025-09-04 08:57:41.287218</t>
  </si>
  <si>
    <t xml:space="preserve">0.0856532730555556</t>
  </si>
  <si>
    <t xml:space="preserve">2025-09-04 08:59:22.641668</t>
  </si>
  <si>
    <t xml:space="preserve">0.0281540138888889</t>
  </si>
  <si>
    <t xml:space="preserve">2025-09-04 09:03:00.333</t>
  </si>
  <si>
    <t xml:space="preserve">0.0816508986111111</t>
  </si>
  <si>
    <t xml:space="preserve">2025-09-04 13:06:13.745</t>
  </si>
  <si>
    <t xml:space="preserve">4.11419537</t>
  </si>
  <si>
    <t xml:space="preserve">2025-09-04 09:02:59.626889</t>
  </si>
  <si>
    <t xml:space="preserve">0.0373209172222222</t>
  </si>
  <si>
    <t xml:space="preserve">2025-09-04 10:20:33.832747</t>
  </si>
  <si>
    <t xml:space="preserve">1.29283496055556</t>
  </si>
  <si>
    <t xml:space="preserve">2025-09-04 10:20:50.979477</t>
  </si>
  <si>
    <t xml:space="preserve">1.29740179916667</t>
  </si>
  <si>
    <t xml:space="preserve">2025-09-04 13:03:36.058486</t>
  </si>
  <si>
    <t xml:space="preserve">3.99974320027778</t>
  </si>
  <si>
    <t xml:space="preserve">2025-09-04 09:07:38.068</t>
  </si>
  <si>
    <t xml:space="preserve">0.0385288888888889</t>
  </si>
  <si>
    <t xml:space="preserve">0.0542297813888889</t>
  </si>
  <si>
    <t xml:space="preserve">2025-09-04 09:08:41.987</t>
  </si>
  <si>
    <t xml:space="preserve">0.0431797775</t>
  </si>
  <si>
    <t xml:space="preserve">2025-09-04 10:35:58.821</t>
  </si>
  <si>
    <t xml:space="preserve">1.47243138888889</t>
  </si>
  <si>
    <t xml:space="preserve">2025-09-04 12:58:33.913021</t>
  </si>
  <si>
    <t xml:space="preserve">3.83109056138889</t>
  </si>
  <si>
    <t xml:space="preserve">2025-09-04 12:35:08.100046</t>
  </si>
  <si>
    <t xml:space="preserve">3.43363890166667</t>
  </si>
  <si>
    <t xml:space="preserve">2025-09-04 11:50:01.406692</t>
  </si>
  <si>
    <t xml:space="preserve">2.30635547</t>
  </si>
  <si>
    <t xml:space="preserve">2025-09-04 13:08:48.870078</t>
  </si>
  <si>
    <t xml:space="preserve">3.59599031833333</t>
  </si>
  <si>
    <t xml:space="preserve">2025-09-04 17:06:54.987001</t>
  </si>
  <si>
    <t xml:space="preserve">7.5624424425</t>
  </si>
  <si>
    <t xml:space="preserve">2025-09-04 18:54:10.119479</t>
  </si>
  <si>
    <t xml:space="preserve">11.8461442997222</t>
  </si>
  <si>
    <t xml:space="preserve">2025-09-04 18:50:21.3</t>
  </si>
  <si>
    <t xml:space="preserve">8.85968333333333</t>
  </si>
  <si>
    <t xml:space="preserve">2025-09-04 10:25:36.993535</t>
  </si>
  <si>
    <t xml:space="preserve">0.08421133</t>
  </si>
  <si>
    <t xml:space="preserve">2025-09-04 10:25:36.707</t>
  </si>
  <si>
    <t xml:space="preserve">0.0793687563888889</t>
  </si>
  <si>
    <t xml:space="preserve">2025-09-04 13:04:16.943784</t>
  </si>
  <si>
    <t xml:space="preserve">2.64451021777778</t>
  </si>
  <si>
    <t xml:space="preserve">2025-09-04 11:13:46.557782</t>
  </si>
  <si>
    <t xml:space="preserve">0.802656735277778</t>
  </si>
  <si>
    <t xml:space="preserve">2025-09-04 19:12:48.209031</t>
  </si>
  <si>
    <t xml:space="preserve">8.67897685833333</t>
  </si>
  <si>
    <t xml:space="preserve">2025-09-04 11:34:10.907878</t>
  </si>
  <si>
    <t xml:space="preserve">1.01134144916667</t>
  </si>
  <si>
    <t xml:space="preserve">2025-09-04 10:44:20.007</t>
  </si>
  <si>
    <t xml:space="preserve">0.139218333333333</t>
  </si>
  <si>
    <t xml:space="preserve">2025-09-04 14:58:21.332</t>
  </si>
  <si>
    <t xml:space="preserve">4.23370138888889</t>
  </si>
  <si>
    <t xml:space="preserve">2025-09-04 12:21:31.191</t>
  </si>
  <si>
    <t xml:space="preserve">1.17234175333333</t>
  </si>
  <si>
    <t xml:space="preserve">2025-09-04 11:26:52.296</t>
  </si>
  <si>
    <t xml:space="preserve">0.221721666666667</t>
  </si>
  <si>
    <t xml:space="preserve">2025-09-04 11:15:02.473</t>
  </si>
  <si>
    <t xml:space="preserve">0.0210875605555556</t>
  </si>
  <si>
    <t xml:space="preserve">2025-09-04 12:55:54.54328</t>
  </si>
  <si>
    <t xml:space="preserve">1.68113063333333</t>
  </si>
  <si>
    <t xml:space="preserve">2025-09-04 13:16:43.679</t>
  </si>
  <si>
    <t xml:space="preserve">1.83093972222222</t>
  </si>
  <si>
    <t xml:space="preserve">2025-09-04 11:45:35.028415</t>
  </si>
  <si>
    <t xml:space="preserve">0.1900334825</t>
  </si>
  <si>
    <t xml:space="preserve">2025-09-04 11:53:22.322631</t>
  </si>
  <si>
    <t xml:space="preserve">0.129803948888889</t>
  </si>
  <si>
    <t xml:space="preserve">2025-09-04 14:09:52.965</t>
  </si>
  <si>
    <t xml:space="preserve">2.40410611111111</t>
  </si>
  <si>
    <t xml:space="preserve">2025-09-04 23:38:53.922322</t>
  </si>
  <si>
    <t xml:space="preserve">11.814587675</t>
  </si>
  <si>
    <t xml:space="preserve">2025-09-04 12:03:13.339153</t>
  </si>
  <si>
    <t xml:space="preserve">0.164171256111111</t>
  </si>
  <si>
    <t xml:space="preserve">0.220739124166667</t>
  </si>
  <si>
    <t xml:space="preserve">2025-09-04 18:51:26.445269</t>
  </si>
  <si>
    <t xml:space="preserve">11.8140125747222</t>
  </si>
  <si>
    <t xml:space="preserve">2025-09-04 17:39:50.832</t>
  </si>
  <si>
    <t xml:space="preserve">5.5395923425</t>
  </si>
  <si>
    <t xml:space="preserve">2025-09-04 12:21:49.970371</t>
  </si>
  <si>
    <t xml:space="preserve">0.0894362141666667</t>
  </si>
  <si>
    <t xml:space="preserve">2025-09-04 12:35:03.726495</t>
  </si>
  <si>
    <t xml:space="preserve">0.220487812222222</t>
  </si>
  <si>
    <t xml:space="preserve">2025-09-04 17:29:36.715</t>
  </si>
  <si>
    <t xml:space="preserve">5.13486777777778</t>
  </si>
  <si>
    <t xml:space="preserve">2025-09-04 12:38:00.615138</t>
  </si>
  <si>
    <t xml:space="preserve">0.0491357341666667</t>
  </si>
  <si>
    <t xml:space="preserve">2025-09-04 12:56:03.105956</t>
  </si>
  <si>
    <t xml:space="preserve">0.348612752777778</t>
  </si>
  <si>
    <t xml:space="preserve">2025-09-04 12:38:30.770293</t>
  </si>
  <si>
    <t xml:space="preserve">0.00837643194444444</t>
  </si>
  <si>
    <t xml:space="preserve">2025-09-04 12:58:19.143655</t>
  </si>
  <si>
    <t xml:space="preserve">0.330103711666667</t>
  </si>
  <si>
    <t xml:space="preserve">2025-09-04 13:07:39.738883</t>
  </si>
  <si>
    <t xml:space="preserve">0.1958876675</t>
  </si>
  <si>
    <t xml:space="preserve">2025-09-04 14:57:32.556163</t>
  </si>
  <si>
    <t xml:space="preserve">2.02484727972222</t>
  </si>
  <si>
    <t xml:space="preserve">2025-09-04 13:10:59.18137</t>
  </si>
  <si>
    <t xml:space="preserve">0.2111215875</t>
  </si>
  <si>
    <t xml:space="preserve">0.971533228333333</t>
  </si>
  <si>
    <t xml:space="preserve">2025-09-04 15:25:41.883307</t>
  </si>
  <si>
    <t xml:space="preserve">2.45221396833333</t>
  </si>
  <si>
    <t xml:space="preserve">2025-09-04 14:32:55.457553</t>
  </si>
  <si>
    <t xml:space="preserve">1.48872196305556</t>
  </si>
  <si>
    <t xml:space="preserve">2025-09-04 14:31:58.000789</t>
  </si>
  <si>
    <t xml:space="preserve">1.46140472361111</t>
  </si>
  <si>
    <t xml:space="preserve">2025-09-04 14:34:04.103738</t>
  </si>
  <si>
    <t xml:space="preserve">1.46398853833333</t>
  </si>
  <si>
    <t xml:space="preserve">2025-09-04 14:03:53.767</t>
  </si>
  <si>
    <t xml:space="preserve">0.9372300325</t>
  </si>
  <si>
    <t xml:space="preserve">2025-09-05 09:48:07.282169</t>
  </si>
  <si>
    <t xml:space="preserve">20.6551144697222</t>
  </si>
  <si>
    <t xml:space="preserve">2025-09-04 14:22:37.182219</t>
  </si>
  <si>
    <t xml:space="preserve">1.19388912472222</t>
  </si>
  <si>
    <t xml:space="preserve">2025-09-04 13:25:23.695</t>
  </si>
  <si>
    <t xml:space="preserve">0.144448888888889</t>
  </si>
  <si>
    <t xml:space="preserve">2025-09-04 14:17:13.569005</t>
  </si>
  <si>
    <t xml:space="preserve">0.863853890277778</t>
  </si>
  <si>
    <t xml:space="preserve">2025-09-04 14:19:58.250923</t>
  </si>
  <si>
    <t xml:space="preserve">0.267912200833333</t>
  </si>
  <si>
    <t xml:space="preserve">2025-09-04 18:42:55.605</t>
  </si>
  <si>
    <t xml:space="preserve">4.55073333333333</t>
  </si>
  <si>
    <t xml:space="preserve">2025-09-04 14:41:44.122</t>
  </si>
  <si>
    <t xml:space="preserve">0.408486943055556</t>
  </si>
  <si>
    <t xml:space="preserve">2025-09-04 14:47:25.352104</t>
  </si>
  <si>
    <t xml:space="preserve">0.457528105833333</t>
  </si>
  <si>
    <t xml:space="preserve">2025-09-04 14:36:04.55</t>
  </si>
  <si>
    <t xml:space="preserve">0.224268828055556</t>
  </si>
  <si>
    <t xml:space="preserve">2025-09-04 18:25:00.264521</t>
  </si>
  <si>
    <t xml:space="preserve">3.88396214777778</t>
  </si>
  <si>
    <t xml:space="preserve">2025-09-04 18:15:50.014521</t>
  </si>
  <si>
    <t xml:space="preserve">3.71515471333333</t>
  </si>
  <si>
    <t xml:space="preserve">2025-09-04 18:21:22.577235</t>
  </si>
  <si>
    <t xml:space="preserve">3.78846486027778</t>
  </si>
  <si>
    <t xml:space="preserve">2025-09-04 14:54:40.61352</t>
  </si>
  <si>
    <t xml:space="preserve">0.310017644444444</t>
  </si>
  <si>
    <t xml:space="preserve">2025-09-04 16:50:54.295131</t>
  </si>
  <si>
    <t xml:space="preserve">2.90341531416667</t>
  </si>
  <si>
    <t xml:space="preserve">2025-09-04 21:44:03.382</t>
  </si>
  <si>
    <t xml:space="preserve">7.03868333333333</t>
  </si>
  <si>
    <t xml:space="preserve">2025-09-04 18:19:52.64433</t>
  </si>
  <si>
    <t xml:space="preserve">3.54091450722222</t>
  </si>
  <si>
    <t xml:space="preserve">2025-09-04 15:01:37.666976</t>
  </si>
  <si>
    <t xml:space="preserve">0.115848182222222</t>
  </si>
  <si>
    <t xml:space="preserve">2025-09-04 17:13:54.14755</t>
  </si>
  <si>
    <t xml:space="preserve">2.27266427416667</t>
  </si>
  <si>
    <t xml:space="preserve">2025-09-04 15:02:27.75</t>
  </si>
  <si>
    <t xml:space="preserve">0.0684494444444445</t>
  </si>
  <si>
    <t xml:space="preserve">2025-09-05 09:01:49.241731</t>
  </si>
  <si>
    <t xml:space="preserve">18.0032152097222</t>
  </si>
  <si>
    <t xml:space="preserve">2025-09-04 18:48:35.088</t>
  </si>
  <si>
    <t xml:space="preserve">3.768705</t>
  </si>
  <si>
    <t xml:space="preserve">2025-09-04 15:45:23.346837</t>
  </si>
  <si>
    <t xml:space="preserve">0.328184313888889</t>
  </si>
  <si>
    <t xml:space="preserve">2025-09-04 16:15:16.864</t>
  </si>
  <si>
    <t xml:space="preserve">0.498199211944444</t>
  </si>
  <si>
    <t xml:space="preserve">2025-09-04 17:55:47.317339</t>
  </si>
  <si>
    <t xml:space="preserve">2.055464815</t>
  </si>
  <si>
    <t xml:space="preserve">2025-09-04 17:15:36.213741</t>
  </si>
  <si>
    <t xml:space="preserve">1.00537492805556</t>
  </si>
  <si>
    <t xml:space="preserve">2025-09-04 18:06:49.334205</t>
  </si>
  <si>
    <t xml:space="preserve">1.26528863166667</t>
  </si>
  <si>
    <t xml:space="preserve">2025-09-04 18:54:18.985988</t>
  </si>
  <si>
    <t xml:space="preserve">1.78999971861111</t>
  </si>
  <si>
    <t xml:space="preserve">2025-09-04 17:36:17.484801</t>
  </si>
  <si>
    <t xml:space="preserve">0.373149236388889</t>
  </si>
  <si>
    <t xml:space="preserve">2025-09-04 17:17:19.899</t>
  </si>
  <si>
    <t xml:space="preserve">0.0288014608333333</t>
  </si>
  <si>
    <t xml:space="preserve">2025-09-04 17:23:40.76</t>
  </si>
  <si>
    <t xml:space="preserve">0.105794722222222</t>
  </si>
  <si>
    <t xml:space="preserve">2025-09-04 17:33:05.925</t>
  </si>
  <si>
    <t xml:space="preserve">0.156990277777778</t>
  </si>
  <si>
    <t xml:space="preserve">2025-09-04 18:00:34.345512</t>
  </si>
  <si>
    <t xml:space="preserve">0.516008475555556</t>
  </si>
  <si>
    <t xml:space="preserve">2025-09-04 18:55:50.135854</t>
  </si>
  <si>
    <t xml:space="preserve">1.37894745944444</t>
  </si>
  <si>
    <t xml:space="preserve">0.6493097775</t>
  </si>
  <si>
    <t xml:space="preserve">2025-09-04 18:17:06.738</t>
  </si>
  <si>
    <t xml:space="preserve">0.621085</t>
  </si>
  <si>
    <t xml:space="preserve">2025-09-04 18:01:30.150686</t>
  </si>
  <si>
    <t xml:space="preserve">0.0952314852777778</t>
  </si>
  <si>
    <t xml:space="preserve">2025-09-04 18:20:39.151</t>
  </si>
  <si>
    <t xml:space="preserve">0.334668191111111</t>
  </si>
  <si>
    <t xml:space="preserve">2025-09-04 18:49:45.641397</t>
  </si>
  <si>
    <t xml:space="preserve">0.804302975277778</t>
  </si>
  <si>
    <t xml:space="preserve">2025-09-05 03:13:30.213054</t>
  </si>
  <si>
    <t xml:space="preserve">9.11135523583333</t>
  </si>
  <si>
    <t xml:space="preserve">2025-09-04 18:28:50.181422</t>
  </si>
  <si>
    <t xml:space="preserve">0.216713028055556</t>
  </si>
  <si>
    <t xml:space="preserve">2025-09-04 19:13:00.608</t>
  </si>
  <si>
    <t xml:space="preserve">0.931630555555556</t>
  </si>
  <si>
    <t xml:space="preserve">2025-09-04 18:58:44.045392</t>
  </si>
  <si>
    <t xml:space="preserve">0.647611406111111</t>
  </si>
  <si>
    <t xml:space="preserve">2025-09-04 18:22:40.633702</t>
  </si>
  <si>
    <t xml:space="preserve">0.033745195</t>
  </si>
  <si>
    <t xml:space="preserve">2025-09-04 19:10:14.183</t>
  </si>
  <si>
    <t xml:space="preserve">0.814334934722222</t>
  </si>
  <si>
    <t xml:space="preserve">2025-09-04 18:50:15.167359</t>
  </si>
  <si>
    <t xml:space="preserve">0.4595926825</t>
  </si>
  <si>
    <t xml:space="preserve">2025-09-04 19:15:00.45775</t>
  </si>
  <si>
    <t xml:space="preserve">0.833387008055556</t>
  </si>
  <si>
    <t xml:space="preserve">2025-09-04 18:30:54.554585</t>
  </si>
  <si>
    <t xml:space="preserve">0.260987384722222</t>
  </si>
  <si>
    <t xml:space="preserve">2025-09-04 18:34:39.321732</t>
  </si>
  <si>
    <t xml:space="preserve">0.0969834194444444</t>
  </si>
  <si>
    <t xml:space="preserve">2025-09-04 18:36:50.436868</t>
  </si>
  <si>
    <t xml:space="preserve">0.0988561897222222</t>
  </si>
  <si>
    <t xml:space="preserve">2025-09-04 18:36:24.681913</t>
  </si>
  <si>
    <t xml:space="preserve">0.0292667169444444</t>
  </si>
  <si>
    <t xml:space="preserve">2025-09-04 22:00:02.918</t>
  </si>
  <si>
    <t xml:space="preserve">3.39395446861111</t>
  </si>
  <si>
    <t xml:space="preserve">3.46821198111111</t>
  </si>
  <si>
    <t xml:space="preserve">2025-09-04 19:06:57.952105</t>
  </si>
  <si>
    <t xml:space="preserve">0.400651973611111</t>
  </si>
  <si>
    <t xml:space="preserve">2025-09-04 18:55:56.861085</t>
  </si>
  <si>
    <t xml:space="preserve">0.122714745833333</t>
  </si>
  <si>
    <t xml:space="preserve">2025-09-05 08:42:26.747387</t>
  </si>
  <si>
    <t xml:space="preserve">13.8780849972222</t>
  </si>
  <si>
    <t xml:space="preserve">2025-09-04 18:55:08.166</t>
  </si>
  <si>
    <t xml:space="preserve">0.0813885113888889</t>
  </si>
  <si>
    <t xml:space="preserve">2025-09-04 18:57:44.525</t>
  </si>
  <si>
    <t xml:space="preserve">0.123118055555556</t>
  </si>
  <si>
    <t xml:space="preserve">2025-09-06 08:22:25.275057</t>
  </si>
  <si>
    <t xml:space="preserve">37.5163416077778</t>
  </si>
  <si>
    <t xml:space="preserve">2025-09-04 18:59:21.001919</t>
  </si>
  <si>
    <t xml:space="preserve">0.0863562333333333</t>
  </si>
  <si>
    <t xml:space="preserve">2025-09-04 19:00:16.061933</t>
  </si>
  <si>
    <t xml:space="preserve">0.0991877625</t>
  </si>
  <si>
    <t xml:space="preserve">2025-09-04 22:03:33.573</t>
  </si>
  <si>
    <t xml:space="preserve">3.14039083333333</t>
  </si>
  <si>
    <t xml:space="preserve">2025-09-04 18:57:04.768096</t>
  </si>
  <si>
    <t xml:space="preserve">0.0207311783333333</t>
  </si>
  <si>
    <t xml:space="preserve">2025-09-04 18:56:43.838</t>
  </si>
  <si>
    <t xml:space="preserve">0.0130491430555556</t>
  </si>
  <si>
    <t xml:space="preserve">2025-09-04 22:05:24.939</t>
  </si>
  <si>
    <t xml:space="preserve">3.14475027777778</t>
  </si>
  <si>
    <t xml:space="preserve">2025-09-04 21:59:30.404</t>
  </si>
  <si>
    <t xml:space="preserve">3.04045441777778</t>
  </si>
  <si>
    <t xml:space="preserve">2025-09-04 22:05:29.108</t>
  </si>
  <si>
    <t xml:space="preserve">3.12905083333333</t>
  </si>
  <si>
    <t xml:space="preserve">2025-09-04 19:15:58.473177</t>
  </si>
  <si>
    <t xml:space="preserve">0.287341051388889</t>
  </si>
  <si>
    <t xml:space="preserve">2025-09-05 00:47:09.091393</t>
  </si>
  <si>
    <t xml:space="preserve">5.79669152055556</t>
  </si>
  <si>
    <t xml:space="preserve">2025-09-04 19:46:09.159249</t>
  </si>
  <si>
    <t xml:space="preserve">0.764749254444444</t>
  </si>
  <si>
    <t xml:space="preserve">2025-09-04 19:44:59.098938</t>
  </si>
  <si>
    <t xml:space="preserve">0.633651898055556</t>
  </si>
  <si>
    <t xml:space="preserve">2025-09-04 19:15:07.317305</t>
  </si>
  <si>
    <t xml:space="preserve">0.0814261958333333</t>
  </si>
  <si>
    <t xml:space="preserve">2025-09-04 22:36:53.524275</t>
  </si>
  <si>
    <t xml:space="preserve">3.40147645666667</t>
  </si>
  <si>
    <t xml:space="preserve">2025-09-04 19:15:23.633943</t>
  </si>
  <si>
    <t xml:space="preserve">0.0397294286111111</t>
  </si>
  <si>
    <t xml:space="preserve">2025-09-04 19:16:24.43361</t>
  </si>
  <si>
    <t xml:space="preserve">0.0233266277777778</t>
  </si>
  <si>
    <t xml:space="preserve">2025-09-04 19:21:57.232</t>
  </si>
  <si>
    <t xml:space="preserve">0.113865193055556</t>
  </si>
  <si>
    <t xml:space="preserve">2025-09-04 19:22:29.081285</t>
  </si>
  <si>
    <t xml:space="preserve">0.118179817222222</t>
  </si>
  <si>
    <t xml:space="preserve">2025-09-04 21:32:21.389</t>
  </si>
  <si>
    <t xml:space="preserve">2.27303217305556</t>
  </si>
  <si>
    <t xml:space="preserve">2025-09-04 21:36:41.932</t>
  </si>
  <si>
    <t xml:space="preserve">2.33819399722222</t>
  </si>
  <si>
    <t xml:space="preserve">2025-09-04 21:37:24.858</t>
  </si>
  <si>
    <t xml:space="preserve">2.25767388888889</t>
  </si>
  <si>
    <t xml:space="preserve">2025-09-04 21:31:24.613</t>
  </si>
  <si>
    <t xml:space="preserve">2.14875880972222</t>
  </si>
  <si>
    <t xml:space="preserve">2025-09-04 20:18:22.342081</t>
  </si>
  <si>
    <t xml:space="preserve">0.556456428611111</t>
  </si>
  <si>
    <t xml:space="preserve">2025-09-05 00:47:15.849941</t>
  </si>
  <si>
    <t xml:space="preserve">5.01852519222222</t>
  </si>
  <si>
    <t xml:space="preserve">2025-09-04 20:39:08.733</t>
  </si>
  <si>
    <t xml:space="preserve">0.346219699722222</t>
  </si>
  <si>
    <t xml:space="preserve">2025-09-04 22:40:42.04017</t>
  </si>
  <si>
    <t xml:space="preserve">2.36437849166667</t>
  </si>
  <si>
    <t xml:space="preserve">2025-09-05 01:55:23.952589</t>
  </si>
  <si>
    <t xml:space="preserve">5.27089433027778</t>
  </si>
  <si>
    <t xml:space="preserve">2025-09-04 22:17:01.83</t>
  </si>
  <si>
    <t xml:space="preserve">0.549568888888889</t>
  </si>
  <si>
    <t xml:space="preserve">0.626967222222222</t>
  </si>
  <si>
    <t xml:space="preserve">2025-09-04 22:10:41.204</t>
  </si>
  <si>
    <t xml:space="preserve">0.0878513888888889</t>
  </si>
  <si>
    <t xml:space="preserve">2025-09-04 22:11:01.348</t>
  </si>
  <si>
    <t xml:space="preserve">0.00559555555555556</t>
  </si>
  <si>
    <t xml:space="preserve">2025-09-04 23:44:29.378</t>
  </si>
  <si>
    <t xml:space="preserve">1.55778611111111</t>
  </si>
  <si>
    <t xml:space="preserve">2025-09-05 01:18:28.725</t>
  </si>
  <si>
    <t xml:space="preserve">3.0241375</t>
  </si>
  <si>
    <t xml:space="preserve">2025-09-04 21:45:51.373</t>
  </si>
  <si>
    <t xml:space="preserve">0.240766666666667</t>
  </si>
  <si>
    <t xml:space="preserve">2025-09-04 21:55:22.141</t>
  </si>
  <si>
    <t xml:space="preserve">0.299245277777778</t>
  </si>
  <si>
    <t xml:space="preserve">2025-09-04 22:02:50.414</t>
  </si>
  <si>
    <t xml:space="preserve">0.0555583333333333</t>
  </si>
  <si>
    <t xml:space="preserve">2025-09-05 00:11:49.740399</t>
  </si>
  <si>
    <t xml:space="preserve">2.27433316638889</t>
  </si>
  <si>
    <t xml:space="preserve">2025-09-04 22:08:21.142</t>
  </si>
  <si>
    <t xml:space="preserve">0.0477872222222222</t>
  </si>
  <si>
    <t xml:space="preserve">2025-09-04 22:11:56.07</t>
  </si>
  <si>
    <t xml:space="preserve">0.0597022222222222</t>
  </si>
  <si>
    <t xml:space="preserve">2025-09-05 06:56:29.214</t>
  </si>
  <si>
    <t xml:space="preserve">8.89411111111111</t>
  </si>
  <si>
    <t xml:space="preserve">2025-09-05 03:40:06.937</t>
  </si>
  <si>
    <t xml:space="preserve">5.46968527777778</t>
  </si>
  <si>
    <t xml:space="preserve">2025-09-04 22:05:28.514</t>
  </si>
  <si>
    <t xml:space="preserve">0.0319280555555556</t>
  </si>
  <si>
    <t xml:space="preserve">2025-09-04 22:06:05.442</t>
  </si>
  <si>
    <t xml:space="preserve">0.0102577777777778</t>
  </si>
  <si>
    <t xml:space="preserve">2025-09-04 22:09:32.556</t>
  </si>
  <si>
    <t xml:space="preserve">0.0575316666666667</t>
  </si>
  <si>
    <t xml:space="preserve">2025-09-04 22:17:44.556</t>
  </si>
  <si>
    <t xml:space="preserve">0.531439722222222</t>
  </si>
  <si>
    <t xml:space="preserve">2025-09-04 22:39:38.090928</t>
  </si>
  <si>
    <t xml:space="preserve">0.50153748</t>
  </si>
  <si>
    <t xml:space="preserve">2025-09-04 21:51:18.041</t>
  </si>
  <si>
    <t xml:space="preserve">0.243363611111111</t>
  </si>
  <si>
    <t xml:space="preserve">2025-09-04 23:38:22.408863</t>
  </si>
  <si>
    <t xml:space="preserve">1.3438480175</t>
  </si>
  <si>
    <t xml:space="preserve">0.321280833333333</t>
  </si>
  <si>
    <t xml:space="preserve">2025-09-04 22:19:13.81</t>
  </si>
  <si>
    <t xml:space="preserve">0.465491388888889</t>
  </si>
  <si>
    <t xml:space="preserve">0.342552777777778</t>
  </si>
  <si>
    <t xml:space="preserve">2025-09-04 22:47:58.979851</t>
  </si>
  <si>
    <t xml:space="preserve">0.184848771111111</t>
  </si>
  <si>
    <t xml:space="preserve">2025-09-04 22:42:07.009</t>
  </si>
  <si>
    <t xml:space="preserve">0.0413661311111111</t>
  </si>
  <si>
    <t xml:space="preserve">2025-09-05 00:06:39.362068</t>
  </si>
  <si>
    <t xml:space="preserve">1.43258941611111</t>
  </si>
  <si>
    <t xml:space="preserve">2025-09-05 03:27:13.416</t>
  </si>
  <si>
    <t xml:space="preserve">4.75177972222222</t>
  </si>
  <si>
    <t xml:space="preserve">2025-09-04 23:03:30.746855</t>
  </si>
  <si>
    <t xml:space="preserve">0.393540793055556</t>
  </si>
  <si>
    <t xml:space="preserve">2025-09-04 23:03:56.011542</t>
  </si>
  <si>
    <t xml:space="preserve">0.402503206111111</t>
  </si>
  <si>
    <t xml:space="preserve">2025-09-04 23:03:48.478118</t>
  </si>
  <si>
    <t xml:space="preserve">0.435688366111111</t>
  </si>
  <si>
    <t xml:space="preserve">2025-09-04 23:12:17.568745</t>
  </si>
  <si>
    <t xml:space="preserve">0.405163581666667</t>
  </si>
  <si>
    <t xml:space="preserve">2025-09-04 23:12:12.830544</t>
  </si>
  <si>
    <t xml:space="preserve">0.145023246944444</t>
  </si>
  <si>
    <t xml:space="preserve">2025-09-04 23:11:26.990292</t>
  </si>
  <si>
    <t xml:space="preserve">0.127364492777778</t>
  </si>
  <si>
    <t xml:space="preserve">2025-09-04 23:13:06.289572</t>
  </si>
  <si>
    <t xml:space="preserve">0.152855008333333</t>
  </si>
  <si>
    <t xml:space="preserve">2025-09-05 00:01:38.225306</t>
  </si>
  <si>
    <t xml:space="preserve">0.836454170555555</t>
  </si>
  <si>
    <t xml:space="preserve">2025-09-05 00:01:26.408832</t>
  </si>
  <si>
    <t xml:space="preserve">0.820438413333333</t>
  </si>
  <si>
    <t xml:space="preserve">2025-09-05 00:10:31.416818</t>
  </si>
  <si>
    <t xml:space="preserve">0.970513353611111</t>
  </si>
  <si>
    <t xml:space="preserve">2025-09-05 00:01:52.326331</t>
  </si>
  <si>
    <t xml:space="preserve">0.812787988611111</t>
  </si>
  <si>
    <t xml:space="preserve">2025-09-05 02:49:54.123458</t>
  </si>
  <si>
    <t xml:space="preserve">3.19214294305556</t>
  </si>
  <si>
    <t xml:space="preserve">2025-09-05 03:44:52.169</t>
  </si>
  <si>
    <t xml:space="preserve">4.09951296611111</t>
  </si>
  <si>
    <t xml:space="preserve">2025-09-04 23:46:59.242</t>
  </si>
  <si>
    <t xml:space="preserve">0.0416288888888889</t>
  </si>
  <si>
    <t xml:space="preserve">2025-09-05 04:54:50.483</t>
  </si>
  <si>
    <t xml:space="preserve">5.13090027777778</t>
  </si>
  <si>
    <t xml:space="preserve">2025-09-05 00:29:54.967862</t>
  </si>
  <si>
    <t xml:space="preserve">0.474599730555556</t>
  </si>
  <si>
    <t xml:space="preserve">2025-09-05 00:15:52.588369</t>
  </si>
  <si>
    <t xml:space="preserve">0.237323073055556</t>
  </si>
  <si>
    <t xml:space="preserve">2025-09-05 00:16:36.744115</t>
  </si>
  <si>
    <t xml:space="preserve">0.245671606666667</t>
  </si>
  <si>
    <t xml:space="preserve">2025-09-05 00:04:00.04697</t>
  </si>
  <si>
    <t xml:space="preserve">2025-09-05 01:47:28.980104</t>
  </si>
  <si>
    <t xml:space="preserve">1.72470364833333</t>
  </si>
  <si>
    <t xml:space="preserve">2025-09-05 19:26:01.033348</t>
  </si>
  <si>
    <t xml:space="preserve">19.3226864666667</t>
  </si>
  <si>
    <t xml:space="preserve">2025-09-05 01:35:37.819082</t>
  </si>
  <si>
    <t xml:space="preserve">1.41844507333333</t>
  </si>
  <si>
    <t xml:space="preserve">2025-09-05 01:57:41.672929</t>
  </si>
  <si>
    <t xml:space="preserve">1.76442570277778</t>
  </si>
  <si>
    <t xml:space="preserve">2025-09-05 00:19:50.069755</t>
  </si>
  <si>
    <t xml:space="preserve">0.0659670516666667</t>
  </si>
  <si>
    <t xml:space="preserve">2025-09-05 00:20:55.150842</t>
  </si>
  <si>
    <t xml:space="preserve">0.0717796463888889</t>
  </si>
  <si>
    <t xml:space="preserve">2025-09-05 00:20:37.275072</t>
  </si>
  <si>
    <t xml:space="preserve">0.0131125880555556</t>
  </si>
  <si>
    <t xml:space="preserve">2025-09-05 00:22:23.937484</t>
  </si>
  <si>
    <t xml:space="preserve">0.0296284477777778</t>
  </si>
  <si>
    <t xml:space="preserve">2025-09-05 00:34:07.874416</t>
  </si>
  <si>
    <t xml:space="preserve">0.220200992777778</t>
  </si>
  <si>
    <t xml:space="preserve">2025-09-05 00:33:22.700056</t>
  </si>
  <si>
    <t xml:space="preserve">0.182989603333333</t>
  </si>
  <si>
    <t xml:space="preserve">0.0611200383333333</t>
  </si>
  <si>
    <t xml:space="preserve">2025-09-05 02:08:05.909316</t>
  </si>
  <si>
    <t xml:space="preserve">1.57866923888889</t>
  </si>
  <si>
    <t xml:space="preserve">2025-09-05 02:08:11.290499</t>
  </si>
  <si>
    <t xml:space="preserve">1.56761557861111</t>
  </si>
  <si>
    <t xml:space="preserve">2.20612415833333</t>
  </si>
  <si>
    <t xml:space="preserve">0.582777777777778</t>
  </si>
  <si>
    <t xml:space="preserve">2025-09-05 02:00:40.449074</t>
  </si>
  <si>
    <t xml:space="preserve">1.45151363166667</t>
  </si>
  <si>
    <t xml:space="preserve">2025-09-05 02:32:37.63001</t>
  </si>
  <si>
    <t xml:space="preserve">1.75792739361111</t>
  </si>
  <si>
    <t xml:space="preserve">2025-09-05 05:23:45.804951</t>
  </si>
  <si>
    <t xml:space="preserve">4.60832083611111</t>
  </si>
  <si>
    <t xml:space="preserve">2025-09-05 03:04:56.686</t>
  </si>
  <si>
    <t xml:space="preserve">1.77443361111111</t>
  </si>
  <si>
    <t xml:space="preserve">2025-09-05 02:20:24.203766</t>
  </si>
  <si>
    <t xml:space="preserve">0.746217967777778</t>
  </si>
  <si>
    <t xml:space="preserve">2025-09-05 02:01:04.066544</t>
  </si>
  <si>
    <t xml:space="preserve">0.2264129</t>
  </si>
  <si>
    <t xml:space="preserve">2025-09-05 02:18:51.968</t>
  </si>
  <si>
    <t xml:space="preserve">0.391115391944444</t>
  </si>
  <si>
    <t xml:space="preserve">2025-09-05 02:04:27.696325</t>
  </si>
  <si>
    <t xml:space="preserve">0.112784276666667</t>
  </si>
  <si>
    <t xml:space="preserve">0.279597479444444</t>
  </si>
  <si>
    <t xml:space="preserve">2025-09-05 02:04:45.257459</t>
  </si>
  <si>
    <t xml:space="preserve">0.0614419208333333</t>
  </si>
  <si>
    <t xml:space="preserve">2025-09-05 02:11:22.697448</t>
  </si>
  <si>
    <t xml:space="preserve">0.115278089722222</t>
  </si>
  <si>
    <t xml:space="preserve">2025-09-05 02:11:48.54482</t>
  </si>
  <si>
    <t xml:space="preserve">0.1175798225</t>
  </si>
  <si>
    <t xml:space="preserve">2025-09-05 02:13:21.267038</t>
  </si>
  <si>
    <t xml:space="preserve">0.0875993672222222</t>
  </si>
  <si>
    <t xml:space="preserve">2025-09-05 02:16:52.745106</t>
  </si>
  <si>
    <t xml:space="preserve">0.144848501944444</t>
  </si>
  <si>
    <t xml:space="preserve">2025-09-05 04:22:42.940343</t>
  </si>
  <si>
    <t xml:space="preserve">2.18895635972222</t>
  </si>
  <si>
    <t xml:space="preserve">2025-09-05 03:30:44.732948</t>
  </si>
  <si>
    <t xml:space="preserve">1.31560781333333</t>
  </si>
  <si>
    <t xml:space="preserve">2025-09-05 03:30:57.405428</t>
  </si>
  <si>
    <t xml:space="preserve">1.293371775</t>
  </si>
  <si>
    <t xml:space="preserve">2025-09-05 04:20:20.388405</t>
  </si>
  <si>
    <t xml:space="preserve">2.05767869416667</t>
  </si>
  <si>
    <t xml:space="preserve">2025-09-05 02:29:56.847145</t>
  </si>
  <si>
    <t xml:space="preserve">0.184688651388889</t>
  </si>
  <si>
    <t xml:space="preserve">2025-09-05 12:26:35.277005</t>
  </si>
  <si>
    <t xml:space="preserve">10.1030758997222</t>
  </si>
  <si>
    <t xml:space="preserve">2025-09-05 04:20:25.827455</t>
  </si>
  <si>
    <t xml:space="preserve">2.04967429305556</t>
  </si>
  <si>
    <t xml:space="preserve">2025-09-05 03:29:25.254</t>
  </si>
  <si>
    <t xml:space="preserve">0.991224126388889</t>
  </si>
  <si>
    <t xml:space="preserve">2025-09-05 03:04:58.513904</t>
  </si>
  <si>
    <t xml:space="preserve">0.539134415</t>
  </si>
  <si>
    <t xml:space="preserve">2025-09-05 03:30:52.58842</t>
  </si>
  <si>
    <t xml:space="preserve">0.682906933888889</t>
  </si>
  <si>
    <t xml:space="preserve">2025-09-05 04:33:17.360916</t>
  </si>
  <si>
    <t xml:space="preserve">1.47190194777778</t>
  </si>
  <si>
    <t xml:space="preserve">2025-09-05 03:31:18.193</t>
  </si>
  <si>
    <t xml:space="preserve">0.4393075</t>
  </si>
  <si>
    <t xml:space="preserve">2025-09-05 05:53:16.333821</t>
  </si>
  <si>
    <t xml:space="preserve">2.66281132416667</t>
  </si>
  <si>
    <t xml:space="preserve">2025-09-05 03:30:52.689117</t>
  </si>
  <si>
    <t xml:space="preserve">0.0609091991666667</t>
  </si>
  <si>
    <t xml:space="preserve">2025-09-05 04:41:21.498</t>
  </si>
  <si>
    <t xml:space="preserve">1.19895666666667</t>
  </si>
  <si>
    <t xml:space="preserve">2025-09-05 03:37:24.134289</t>
  </si>
  <si>
    <t xml:space="preserve">0.110944816944444</t>
  </si>
  <si>
    <t xml:space="preserve">2025-09-05 03:31:25.376</t>
  </si>
  <si>
    <t xml:space="preserve">0.00910766111111111</t>
  </si>
  <si>
    <t xml:space="preserve">2025-09-05 06:55:44.502887</t>
  </si>
  <si>
    <t xml:space="preserve">3.41439271388889</t>
  </si>
  <si>
    <t xml:space="preserve">2025-09-05 03:36:39.651367</t>
  </si>
  <si>
    <t xml:space="preserve">0.0950683163888889</t>
  </si>
  <si>
    <t xml:space="preserve">2025-09-05 05:51:28.247222</t>
  </si>
  <si>
    <t xml:space="preserve">2.334130895</t>
  </si>
  <si>
    <t xml:space="preserve">2025-09-05 06:55:38.412</t>
  </si>
  <si>
    <t xml:space="preserve">3.40561638888889</t>
  </si>
  <si>
    <t xml:space="preserve">2025-09-05 05:35:59.258313</t>
  </si>
  <si>
    <t xml:space="preserve">1.98877970722222</t>
  </si>
  <si>
    <t xml:space="preserve">2025-09-05 06:55:58.372976</t>
  </si>
  <si>
    <t xml:space="preserve">3.30951074638889</t>
  </si>
  <si>
    <t xml:space="preserve">2025-09-05 03:45:24.357</t>
  </si>
  <si>
    <t xml:space="preserve">0.0881722222222222</t>
  </si>
  <si>
    <t xml:space="preserve">2025-09-05 06:56:36.432663</t>
  </si>
  <si>
    <t xml:space="preserve">3.19562879527778</t>
  </si>
  <si>
    <t xml:space="preserve">2025-09-05 07:09:50.545</t>
  </si>
  <si>
    <t xml:space="preserve">3.40727444444444</t>
  </si>
  <si>
    <t xml:space="preserve">2025-09-05 04:35:11.554936</t>
  </si>
  <si>
    <t xml:space="preserve">0.247546258611111</t>
  </si>
  <si>
    <t xml:space="preserve">2025-09-05 04:33:11.151561</t>
  </si>
  <si>
    <t xml:space="preserve">0.212590029444444</t>
  </si>
  <si>
    <t xml:space="preserve">2025-09-05 04:32:22.742889</t>
  </si>
  <si>
    <t xml:space="preserve">0.161056262777778</t>
  </si>
  <si>
    <t xml:space="preserve">2025-09-05 05:03:20.216962</t>
  </si>
  <si>
    <t xml:space="preserve">0.515965020277778</t>
  </si>
  <si>
    <t xml:space="preserve">2025-09-05 05:08:40.14032</t>
  </si>
  <si>
    <t xml:space="preserve">0.591385766388889</t>
  </si>
  <si>
    <t xml:space="preserve">2025-09-05 09:43:48.521472</t>
  </si>
  <si>
    <t xml:space="preserve">5.17532237666667</t>
  </si>
  <si>
    <t xml:space="preserve">2025-09-05 05:08:28.152484</t>
  </si>
  <si>
    <t xml:space="preserve">0.55461043</t>
  </si>
  <si>
    <t xml:space="preserve">2025-09-05 04:50:53.53</t>
  </si>
  <si>
    <t xml:space="preserve">0.158897777777778</t>
  </si>
  <si>
    <t xml:space="preserve">2025-09-05 06:55:17.757</t>
  </si>
  <si>
    <t xml:space="preserve">2.07339638888889</t>
  </si>
  <si>
    <t xml:space="preserve">2025-09-05 05:00:11.22</t>
  </si>
  <si>
    <t xml:space="preserve">0.0890936111111111</t>
  </si>
  <si>
    <t xml:space="preserve">2025-09-05 06:53:20.153</t>
  </si>
  <si>
    <t xml:space="preserve">1.88581472222222</t>
  </si>
  <si>
    <t xml:space="preserve">2025-09-05 05:13:38.367126</t>
  </si>
  <si>
    <t xml:space="preserve">0.171708378888889</t>
  </si>
  <si>
    <t xml:space="preserve">2025-09-05 05:13:23.311596</t>
  </si>
  <si>
    <t xml:space="preserve">0.0819886422222222</t>
  </si>
  <si>
    <t xml:space="preserve">2025-09-05 05:12:52.302622</t>
  </si>
  <si>
    <t xml:space="preserve">0.0700450838888889</t>
  </si>
  <si>
    <t xml:space="preserve">2025-09-05 06:25:21.429812</t>
  </si>
  <si>
    <t xml:space="preserve">1.20809088611111</t>
  </si>
  <si>
    <t xml:space="preserve">2025-09-05 05:18:51.924</t>
  </si>
  <si>
    <t xml:space="preserve">0.0912812233333333</t>
  </si>
  <si>
    <t xml:space="preserve">2025-09-05 05:25:58.082042</t>
  </si>
  <si>
    <t xml:space="preserve">0.205476365555556</t>
  </si>
  <si>
    <t xml:space="preserve">2025-09-05 06:24:16.305429</t>
  </si>
  <si>
    <t xml:space="preserve">1.0901059525</t>
  </si>
  <si>
    <t xml:space="preserve">2025-09-05 13:19:09.529419</t>
  </si>
  <si>
    <t xml:space="preserve">7.92325679666667</t>
  </si>
  <si>
    <t xml:space="preserve">2025-09-05 05:32:02.523927</t>
  </si>
  <si>
    <t xml:space="preserve">0.101233856944444</t>
  </si>
  <si>
    <t xml:space="preserve">2025-09-05 12:23:47.192769</t>
  </si>
  <si>
    <t xml:space="preserve">6.86240801166667</t>
  </si>
  <si>
    <t xml:space="preserve">2025-09-05 05:42:25.430463</t>
  </si>
  <si>
    <t xml:space="preserve">0.107270041666667</t>
  </si>
  <si>
    <t xml:space="preserve">2025-09-05 06:55:34.951494</t>
  </si>
  <si>
    <t xml:space="preserve">1.2193113975</t>
  </si>
  <si>
    <t xml:space="preserve">2025-09-05 05:55:04.098785</t>
  </si>
  <si>
    <t xml:space="preserve">0.0599587675</t>
  </si>
  <si>
    <t xml:space="preserve">2025-09-05 06:56:11.371708</t>
  </si>
  <si>
    <t xml:space="preserve">1.04862163527778</t>
  </si>
  <si>
    <t xml:space="preserve">2025-09-05 06:52:15.660218</t>
  </si>
  <si>
    <t xml:space="preserve">0.953211509166667</t>
  </si>
  <si>
    <t xml:space="preserve">2025-09-05 06:29:25.165606</t>
  </si>
  <si>
    <t xml:space="preserve">0.0857944936111111</t>
  </si>
  <si>
    <t xml:space="preserve">2025-09-05 06:31:37.512</t>
  </si>
  <si>
    <t xml:space="preserve">0.104467274444444</t>
  </si>
  <si>
    <t xml:space="preserve">2025-09-05 06:57:50.033622</t>
  </si>
  <si>
    <t xml:space="preserve">0.473574448888889</t>
  </si>
  <si>
    <t xml:space="preserve">2025-09-05 12:22:06.669263</t>
  </si>
  <si>
    <t xml:space="preserve">5.84143257305556</t>
  </si>
  <si>
    <t xml:space="preserve">2025-09-05 07:07:27.154</t>
  </si>
  <si>
    <t xml:space="preserve">0.253192717222222</t>
  </si>
  <si>
    <t xml:space="preserve">2025-09-05 07:09:21.289</t>
  </si>
  <si>
    <t xml:space="preserve">0.266982222222222</t>
  </si>
  <si>
    <t xml:space="preserve">2025-09-05 07:16:48.549</t>
  </si>
  <si>
    <t xml:space="preserve">0.358553333333333</t>
  </si>
  <si>
    <t xml:space="preserve">2025-09-05 07:08:41.535994</t>
  </si>
  <si>
    <t xml:space="preserve">0.218495694444444</t>
  </si>
  <si>
    <t xml:space="preserve">2025-09-05 07:07:39.316</t>
  </si>
  <si>
    <t xml:space="preserve">0.198559198055556</t>
  </si>
  <si>
    <t xml:space="preserve">2025-09-05 07:09:46.172</t>
  </si>
  <si>
    <t xml:space="preserve">0.235488888888889</t>
  </si>
  <si>
    <t xml:space="preserve">2025-09-05 07:06:29.363</t>
  </si>
  <si>
    <t xml:space="preserve">0.175275006666667</t>
  </si>
  <si>
    <t xml:space="preserve">2025-09-05 07:10:43.818674</t>
  </si>
  <si>
    <t xml:space="preserve">0.242346379444444</t>
  </si>
  <si>
    <t xml:space="preserve">2025-09-05 07:09:24.619</t>
  </si>
  <si>
    <t xml:space="preserve">0.215390277777778</t>
  </si>
  <si>
    <t xml:space="preserve">2025-09-05 07:07:43.107</t>
  </si>
  <si>
    <t xml:space="preserve">0.185187315833333</t>
  </si>
  <si>
    <t xml:space="preserve">2025-09-05 07:00:13.364845</t>
  </si>
  <si>
    <t xml:space="preserve">0.0398142286111111</t>
  </si>
  <si>
    <t xml:space="preserve">2025-09-05 11:45:42.89599</t>
  </si>
  <si>
    <t xml:space="preserve">4.75820309583333</t>
  </si>
  <si>
    <t xml:space="preserve"> </t>
  </si>
  <si>
    <t xml:space="preserve">2025-09-05 08:08:35.394</t>
  </si>
  <si>
    <t xml:space="preserve">1.01557722222222</t>
  </si>
  <si>
    <t xml:space="preserve">2025-09-05 08:18:31.972158</t>
  </si>
  <si>
    <t xml:space="preserve">1.18024032166667</t>
  </si>
  <si>
    <t xml:space="preserve">2025-09-05 08:19:51.432068</t>
  </si>
  <si>
    <t xml:space="preserve">1.18608224277778</t>
  </si>
  <si>
    <t xml:space="preserve">2025-09-05 07:09:10.962356</t>
  </si>
  <si>
    <t xml:space="preserve">2025-09-05 08:15:38.392653</t>
  </si>
  <si>
    <t xml:space="preserve">1.10761952694444</t>
  </si>
  <si>
    <t xml:space="preserve">2025-09-05 08:59:09.23925</t>
  </si>
  <si>
    <t xml:space="preserve">1.82906118055556</t>
  </si>
  <si>
    <t xml:space="preserve">2025-09-05 07:09:36.536429</t>
  </si>
  <si>
    <t xml:space="preserve">2025-09-05 08:16:42.440864</t>
  </si>
  <si>
    <t xml:space="preserve">1.1183067875</t>
  </si>
  <si>
    <t xml:space="preserve">2025-09-05 07:23:18.366</t>
  </si>
  <si>
    <t xml:space="preserve">0.225609444444444</t>
  </si>
  <si>
    <t xml:space="preserve">2025-09-05 08:55:46.22569</t>
  </si>
  <si>
    <t xml:space="preserve">1.773593525</t>
  </si>
  <si>
    <t xml:space="preserve">2025-09-05 09:02:44.906237</t>
  </si>
  <si>
    <t xml:space="preserve">1.8669687675</t>
  </si>
  <si>
    <t xml:space="preserve">2025-09-05 09:59:17.977</t>
  </si>
  <si>
    <t xml:space="preserve">2.70817444444444</t>
  </si>
  <si>
    <t xml:space="preserve">2025-09-05 07:18:43.13</t>
  </si>
  <si>
    <t xml:space="preserve">2025-09-05 09:06:34.938</t>
  </si>
  <si>
    <t xml:space="preserve">1.79772444444444</t>
  </si>
  <si>
    <t xml:space="preserve">2025-09-05 07:42:02.708</t>
  </si>
  <si>
    <t xml:space="preserve">2025-09-05 09:22:23.011</t>
  </si>
  <si>
    <t xml:space="preserve">1.67230638888889</t>
  </si>
  <si>
    <t xml:space="preserve">2025-09-05 08:26:31.793513</t>
  </si>
  <si>
    <t xml:space="preserve">0.298999864722222</t>
  </si>
  <si>
    <t xml:space="preserve">2025-09-05 09:21:51.376375</t>
  </si>
  <si>
    <t xml:space="preserve">1.10360658944444</t>
  </si>
  <si>
    <t xml:space="preserve">2025-09-05 09:20:21.798285</t>
  </si>
  <si>
    <t xml:space="preserve">1.06093261694444</t>
  </si>
  <si>
    <t xml:space="preserve">2025-09-05 08:23:18.493105</t>
  </si>
  <si>
    <t xml:space="preserve">0.0795891519444444</t>
  </si>
  <si>
    <t xml:space="preserve">2025-09-05 09:23:17.891389</t>
  </si>
  <si>
    <t xml:space="preserve">1.05734981138889</t>
  </si>
  <si>
    <t xml:space="preserve">2025-09-05 08:26:50.359425</t>
  </si>
  <si>
    <t xml:space="preserve">0.0588517555555556</t>
  </si>
  <si>
    <t xml:space="preserve">2025-09-05 09:21:56.708552</t>
  </si>
  <si>
    <t xml:space="preserve">0.923587510833333</t>
  </si>
  <si>
    <t xml:space="preserve">2025-09-05 18:26:32.93008</t>
  </si>
  <si>
    <t xml:space="preserve">9.99515851527778</t>
  </si>
  <si>
    <t xml:space="preserve">2025-09-05 09:20:20.453426</t>
  </si>
  <si>
    <t xml:space="preserve">0.631585010833333</t>
  </si>
  <si>
    <t xml:space="preserve">2025-09-05 09:16:15.917</t>
  </si>
  <si>
    <t xml:space="preserve">0.240743130277778</t>
  </si>
  <si>
    <t xml:space="preserve">2025-09-05 09:11:25.115562</t>
  </si>
  <si>
    <t xml:space="preserve">2025-09-05 09:13:38.815113</t>
  </si>
  <si>
    <t xml:space="preserve">0.0371387641666667</t>
  </si>
  <si>
    <t xml:space="preserve">2025-09-05 09:12:24.49</t>
  </si>
  <si>
    <t xml:space="preserve">2025-09-05 16:03:16.581</t>
  </si>
  <si>
    <t xml:space="preserve">6.84780305555556</t>
  </si>
  <si>
    <t xml:space="preserve">2025-09-05 13:24:39.610276</t>
  </si>
  <si>
    <t xml:space="preserve">4.18355421194444</t>
  </si>
  <si>
    <t xml:space="preserve">2025-09-05 09:13:42.691</t>
  </si>
  <si>
    <t xml:space="preserve">2025-09-05 09:36:54.37635</t>
  </si>
  <si>
    <t xml:space="preserve">0.386579263888889</t>
  </si>
  <si>
    <t xml:space="preserve">2025-09-05 11:49:40.59311</t>
  </si>
  <si>
    <t xml:space="preserve">2.556854475</t>
  </si>
  <si>
    <t xml:space="preserve">2025-09-05 09:18:52.50851</t>
  </si>
  <si>
    <t xml:space="preserve">3.76291430277778</t>
  </si>
  <si>
    <t xml:space="preserve">2025-09-05 16:00:19.178617</t>
  </si>
  <si>
    <t xml:space="preserve">6.66631255305556</t>
  </si>
  <si>
    <t xml:space="preserve">2025-09-05 09:51:12.275765</t>
  </si>
  <si>
    <t xml:space="preserve">0.489138719444444</t>
  </si>
  <si>
    <t xml:space="preserve">2025-09-05 09:56:42.334077</t>
  </si>
  <si>
    <t xml:space="preserve">0.579340423611111</t>
  </si>
  <si>
    <t xml:space="preserve">2025-09-05 09:22:30.066397</t>
  </si>
  <si>
    <t xml:space="preserve">2025-09-05 09:48:29.095039</t>
  </si>
  <si>
    <t xml:space="preserve">0.433063511666667</t>
  </si>
  <si>
    <t xml:space="preserve">2025-09-05 09:31:34.045</t>
  </si>
  <si>
    <t xml:space="preserve">0.153065</t>
  </si>
  <si>
    <t xml:space="preserve">2025-09-05 09:54:18.285226</t>
  </si>
  <si>
    <t xml:space="preserve">0.516776065833333</t>
  </si>
  <si>
    <t xml:space="preserve">2025-09-05 11:29:09.387</t>
  </si>
  <si>
    <t xml:space="preserve">1.95981722222222</t>
  </si>
  <si>
    <t xml:space="preserve">2025-09-05 09:41:50.541625</t>
  </si>
  <si>
    <t xml:space="preserve">0.0822681319444444</t>
  </si>
  <si>
    <t xml:space="preserve">2025-09-05 15:46:33.586905</t>
  </si>
  <si>
    <t xml:space="preserve">6.07862368888889</t>
  </si>
  <si>
    <t xml:space="preserve">2025-09-05 14:20:14.044211</t>
  </si>
  <si>
    <t xml:space="preserve">4.60708964972222</t>
  </si>
  <si>
    <t xml:space="preserve">2025-09-05 13:19:15.046566</t>
  </si>
  <si>
    <t xml:space="preserve">3.51882344361111</t>
  </si>
  <si>
    <t xml:space="preserve">2025-09-05 11:34:34.096</t>
  </si>
  <si>
    <t xml:space="preserve">1.63104497861111</t>
  </si>
  <si>
    <t xml:space="preserve">2025-09-05 11:33:08.285</t>
  </si>
  <si>
    <t xml:space="preserve">1.56397444444444</t>
  </si>
  <si>
    <t xml:space="preserve">2025-09-05 10:07:50.619155</t>
  </si>
  <si>
    <t xml:space="preserve">2025-09-05 17:29:47.430211</t>
  </si>
  <si>
    <t xml:space="preserve">7.36578084888889</t>
  </si>
  <si>
    <t xml:space="preserve">2025-09-05 10:07:53.712419</t>
  </si>
  <si>
    <t xml:space="preserve">2025-09-05 11:52:49.019626</t>
  </si>
  <si>
    <t xml:space="preserve">1.74869644638889</t>
  </si>
  <si>
    <t xml:space="preserve">2025-09-05 10:08:08.314213</t>
  </si>
  <si>
    <t xml:space="preserve">2025-09-05 11:49:58.682367</t>
  </si>
  <si>
    <t xml:space="preserve">1.69732448722222</t>
  </si>
  <si>
    <t xml:space="preserve">2025-09-05 13:33:45.212</t>
  </si>
  <si>
    <t xml:space="preserve">2.07661805555556</t>
  </si>
  <si>
    <t xml:space="preserve">2025-09-05 11:48:43.695</t>
  </si>
  <si>
    <t xml:space="preserve">0.259836111111111</t>
  </si>
  <si>
    <t xml:space="preserve">2025-09-05 15:53:18.907709</t>
  </si>
  <si>
    <t xml:space="preserve">4.31244769694444</t>
  </si>
  <si>
    <t xml:space="preserve">2025-09-05 13:43:19.266598</t>
  </si>
  <si>
    <t xml:space="preserve">1.96010294666667</t>
  </si>
  <si>
    <t xml:space="preserve">2025-09-05 13:19:02.982479</t>
  </si>
  <si>
    <t xml:space="preserve">1.50535763305556</t>
  </si>
  <si>
    <t xml:space="preserve">2025-09-05 12:47:18.142119</t>
  </si>
  <si>
    <t xml:space="preserve">0.960430280277778</t>
  </si>
  <si>
    <t xml:space="preserve">2025-09-05 13:07:54.704</t>
  </si>
  <si>
    <t xml:space="preserve">1.29889489805556</t>
  </si>
  <si>
    <t xml:space="preserve">2025-09-05 13:10:14.427418</t>
  </si>
  <si>
    <t xml:space="preserve">1.29039105333333</t>
  </si>
  <si>
    <t xml:space="preserve">2025-09-05 12:35:33.629817</t>
  </si>
  <si>
    <t xml:space="preserve">0.224155709444444</t>
  </si>
  <si>
    <t xml:space="preserve">2025-09-05 12:45:41.05573</t>
  </si>
  <si>
    <t xml:space="preserve">0.364961933611111</t>
  </si>
  <si>
    <t xml:space="preserve">2025-09-05 13:51:03.069156</t>
  </si>
  <si>
    <t xml:space="preserve">1.40772004194444</t>
  </si>
  <si>
    <t xml:space="preserve">2025-09-05 13:31:00.952113</t>
  </si>
  <si>
    <t xml:space="preserve">0.924256193333333</t>
  </si>
  <si>
    <t xml:space="preserve">2025-09-05 15:28:29.384732</t>
  </si>
  <si>
    <t xml:space="preserve">2.71342472277778</t>
  </si>
  <si>
    <t xml:space="preserve">2025-09-05 17:03:46.737714</t>
  </si>
  <si>
    <t xml:space="preserve">4.2746098875</t>
  </si>
  <si>
    <t xml:space="preserve">2025-09-05 21:14:34.588545</t>
  </si>
  <si>
    <t xml:space="preserve">8.11107904027778</t>
  </si>
  <si>
    <t xml:space="preserve">2025-09-05 15:12:56.37315</t>
  </si>
  <si>
    <t xml:space="preserve">2.04498492555556</t>
  </si>
  <si>
    <t xml:space="preserve">2025-09-05 14:16:46.336</t>
  </si>
  <si>
    <t xml:space="preserve">0.962042644722222</t>
  </si>
  <si>
    <t xml:space="preserve">2025-09-05 19:02:50.982354</t>
  </si>
  <si>
    <t xml:space="preserve">5.72818137083333</t>
  </si>
  <si>
    <t xml:space="preserve">2025-09-06 17:17:48.678539</t>
  </si>
  <si>
    <t xml:space="preserve">27.9760088813889</t>
  </si>
  <si>
    <t xml:space="preserve">2025-09-05 14:52:26.666535</t>
  </si>
  <si>
    <t xml:space="preserve">1.46307118305556</t>
  </si>
  <si>
    <t xml:space="preserve">2025-09-05 13:35:51.205105</t>
  </si>
  <si>
    <t xml:space="preserve">0.0806258311111111</t>
  </si>
  <si>
    <t xml:space="preserve">2025-09-05 16:27:43.123934</t>
  </si>
  <si>
    <t xml:space="preserve">2.86442189694444</t>
  </si>
  <si>
    <t xml:space="preserve">2025-09-05 13:41:32.504</t>
  </si>
  <si>
    <t xml:space="preserve">2025-09-05 15:22:29.57</t>
  </si>
  <si>
    <t xml:space="preserve">1.68251833333333</t>
  </si>
  <si>
    <t xml:space="preserve">2025-09-05 16:34:04.645</t>
  </si>
  <si>
    <t xml:space="preserve">2.845938445</t>
  </si>
  <si>
    <t xml:space="preserve">2025-09-05 16:53:38.228802</t>
  </si>
  <si>
    <t xml:space="preserve">3.04309990166667</t>
  </si>
  <si>
    <t xml:space="preserve">2025-09-05 14:52:46.492</t>
  </si>
  <si>
    <t xml:space="preserve">0.600043333333333</t>
  </si>
  <si>
    <t xml:space="preserve">2025-09-05 18:54:31.494971</t>
  </si>
  <si>
    <t xml:space="preserve">4.5715141</t>
  </si>
  <si>
    <t xml:space="preserve">2025-09-05 20:52:51.531536</t>
  </si>
  <si>
    <t xml:space="preserve">6.00690694472222</t>
  </si>
  <si>
    <t xml:space="preserve">2025-09-05 15:14:06.82</t>
  </si>
  <si>
    <t xml:space="preserve">0.355646666666667</t>
  </si>
  <si>
    <t xml:space="preserve">2025-09-05 15:17:21.290981</t>
  </si>
  <si>
    <t xml:space="preserve">0.0735882863888889</t>
  </si>
  <si>
    <t xml:space="preserve">2025-09-05 17:39:57.487</t>
  </si>
  <si>
    <t xml:space="preserve">2.43074083333333</t>
  </si>
  <si>
    <t xml:space="preserve">2025-09-05 18:50:59.216378</t>
  </si>
  <si>
    <t xml:space="preserve">3.5605348325</t>
  </si>
  <si>
    <t xml:space="preserve">2025-09-05 15:42:51.099</t>
  </si>
  <si>
    <t xml:space="preserve">0.339313611111111</t>
  </si>
  <si>
    <t xml:space="preserve">2025-09-05 15:35:37.646</t>
  </si>
  <si>
    <t xml:space="preserve">0.118961463333333</t>
  </si>
  <si>
    <t xml:space="preserve">2025-09-05 18:52:04.950976</t>
  </si>
  <si>
    <t xml:space="preserve">3.27425138222222</t>
  </si>
  <si>
    <t xml:space="preserve">2025-09-05 17:34:31.431088</t>
  </si>
  <si>
    <t xml:space="preserve">1.86120335777778</t>
  </si>
  <si>
    <t xml:space="preserve">2025-09-05 15:48:31.552886</t>
  </si>
  <si>
    <t xml:space="preserve">0.0327683280555556</t>
  </si>
  <si>
    <t xml:space="preserve">2025-09-05 18:50:53.074555</t>
  </si>
  <si>
    <t xml:space="preserve">3.03931157472222</t>
  </si>
  <si>
    <t xml:space="preserve">2025-09-05 15:54:37.331716</t>
  </si>
  <si>
    <t xml:space="preserve">0.0217844463888889</t>
  </si>
  <si>
    <t xml:space="preserve">2025-09-05 18:48:07.980192</t>
  </si>
  <si>
    <t xml:space="preserve">2.89184679888889</t>
  </si>
  <si>
    <t xml:space="preserve">2025-09-05 16:07:16.931</t>
  </si>
  <si>
    <t xml:space="preserve">0.0667638888888889</t>
  </si>
  <si>
    <t xml:space="preserve">2025-09-05 18:49:49.21</t>
  </si>
  <si>
    <t xml:space="preserve">2.70896638888889</t>
  </si>
  <si>
    <t xml:space="preserve">2025-09-05 16:10:21.556751</t>
  </si>
  <si>
    <t xml:space="preserve">2025-09-05 22:16:02.159586</t>
  </si>
  <si>
    <t xml:space="preserve">6.09461189861111</t>
  </si>
  <si>
    <t xml:space="preserve">2025-09-05 16:41:38.922796</t>
  </si>
  <si>
    <t xml:space="preserve">2025-09-05 18:47:38.376486</t>
  </si>
  <si>
    <t xml:space="preserve">2.09984824722222</t>
  </si>
  <si>
    <t xml:space="preserve">2025-09-05 20:44:17.853735</t>
  </si>
  <si>
    <t xml:space="preserve">3.84434025916667</t>
  </si>
  <si>
    <t xml:space="preserve">2025-09-05 17:58:39.841046</t>
  </si>
  <si>
    <t xml:space="preserve">0.914750925555556</t>
  </si>
  <si>
    <t xml:space="preserve">2025-09-05 17:31:00.36</t>
  </si>
  <si>
    <t xml:space="preserve">2025-09-05 18:04:35.665</t>
  </si>
  <si>
    <t xml:space="preserve">0.559806944444444</t>
  </si>
  <si>
    <t xml:space="preserve">2025-09-07 08:08:09.3</t>
  </si>
  <si>
    <t xml:space="preserve">38.5605191422222</t>
  </si>
  <si>
    <t xml:space="preserve">2025-09-05 17:51:34.663</t>
  </si>
  <si>
    <t xml:space="preserve">0.19366</t>
  </si>
  <si>
    <t xml:space="preserve">2025-09-05 18:47:50.31</t>
  </si>
  <si>
    <t xml:space="preserve">0.937679722222222</t>
  </si>
  <si>
    <t xml:space="preserve">2025-09-05 23:57:47.213909</t>
  </si>
  <si>
    <t xml:space="preserve">5.98538135083333</t>
  </si>
  <si>
    <t xml:space="preserve">2025-09-05 18:24:23.600917</t>
  </si>
  <si>
    <t xml:space="preserve">0.329982199166667</t>
  </si>
  <si>
    <t xml:space="preserve">2025-09-05 18:27:22.772614</t>
  </si>
  <si>
    <t xml:space="preserve">0.0497699158333333</t>
  </si>
  <si>
    <t xml:space="preserve">2025-09-06 04:38:05.529</t>
  </si>
  <si>
    <t xml:space="preserve">10.1923885888889</t>
  </si>
  <si>
    <t xml:space="preserve">2025-09-05 18:28:55.461937</t>
  </si>
  <si>
    <t xml:space="preserve">2025-09-05 18:47:36.051</t>
  </si>
  <si>
    <t xml:space="preserve">0.311274739722222</t>
  </si>
  <si>
    <t xml:space="preserve">2025-09-05 20:11:26.440189</t>
  </si>
  <si>
    <t xml:space="preserve">3.44123338583333</t>
  </si>
  <si>
    <t xml:space="preserve">2025-09-05 19:01:09.160374</t>
  </si>
  <si>
    <t xml:space="preserve">0.225863715</t>
  </si>
  <si>
    <t xml:space="preserve">2025-09-05 19:01:13.457588</t>
  </si>
  <si>
    <t xml:space="preserve">0.226411417222222</t>
  </si>
  <si>
    <t xml:space="preserve">2025-09-05 18:58:17.586365</t>
  </si>
  <si>
    <t xml:space="preserve">0.174243434722222</t>
  </si>
  <si>
    <t xml:space="preserve">2025-09-05 18:53:07.295</t>
  </si>
  <si>
    <t xml:space="preserve">0.0831430022222222</t>
  </si>
  <si>
    <t xml:space="preserve">3.77222222222222</t>
  </si>
  <si>
    <t xml:space="preserve">2025-09-05 20:50:32.154563</t>
  </si>
  <si>
    <t xml:space="preserve">3.99254293416667</t>
  </si>
  <si>
    <t xml:space="preserve">2025-09-05 18:55:34.567</t>
  </si>
  <si>
    <t xml:space="preserve">0.0959325</t>
  </si>
  <si>
    <t xml:space="preserve">2025-09-05 18:55:11.196</t>
  </si>
  <si>
    <t xml:space="preserve">0.0717004013888889</t>
  </si>
  <si>
    <t xml:space="preserve">2025-09-05 19:01:17.859393</t>
  </si>
  <si>
    <t xml:space="preserve">0.171845281944444</t>
  </si>
  <si>
    <t xml:space="preserve">2025-09-05 19:01:24.673865</t>
  </si>
  <si>
    <t xml:space="preserve">0.155478580277778</t>
  </si>
  <si>
    <t xml:space="preserve">2025-09-05 20:45:11.854</t>
  </si>
  <si>
    <t xml:space="preserve">1.86793305555556</t>
  </si>
  <si>
    <t xml:space="preserve">2025-09-05 18:58:23.546497</t>
  </si>
  <si>
    <t xml:space="preserve">0.0644587572222222</t>
  </si>
  <si>
    <t xml:space="preserve">2025-09-05 20:49:00.114</t>
  </si>
  <si>
    <t xml:space="preserve">1.89692166666667</t>
  </si>
  <si>
    <t xml:space="preserve">2025-09-05 20:50:59.305</t>
  </si>
  <si>
    <t xml:space="preserve">1.92353833333333</t>
  </si>
  <si>
    <t xml:space="preserve">2025-09-05 19:35:37.626</t>
  </si>
  <si>
    <t xml:space="preserve">0.622233231944444</t>
  </si>
  <si>
    <t xml:space="preserve">2025-09-05 19:00:15.093778</t>
  </si>
  <si>
    <t xml:space="preserve">0.0309853558333333</t>
  </si>
  <si>
    <t xml:space="preserve">2025-09-05 19:09:04.518649</t>
  </si>
  <si>
    <t xml:space="preserve">0.147062464166667</t>
  </si>
  <si>
    <t xml:space="preserve">2025-09-05 20:49:53.158891</t>
  </si>
  <si>
    <t xml:space="preserve">1.81222181027778</t>
  </si>
  <si>
    <t xml:space="preserve">2025-09-05 21:13:54.564</t>
  </si>
  <si>
    <t xml:space="preserve">2.21141844777778</t>
  </si>
  <si>
    <t xml:space="preserve">2025-09-05 22:05:10.811687</t>
  </si>
  <si>
    <t xml:space="preserve">3.06470897055556</t>
  </si>
  <si>
    <t xml:space="preserve">2025-09-05 20:11:32.071659</t>
  </si>
  <si>
    <t xml:space="preserve">1.16872160944444</t>
  </si>
  <si>
    <t xml:space="preserve">2025-09-05 20:30:12.509267</t>
  </si>
  <si>
    <t xml:space="preserve">1.45597969805556</t>
  </si>
  <si>
    <t xml:space="preserve">2025-09-05 20:30:25.517694</t>
  </si>
  <si>
    <t xml:space="preserve">1.35583306805556</t>
  </si>
  <si>
    <t xml:space="preserve">2025-09-05 23:42:46.063349</t>
  </si>
  <si>
    <t xml:space="preserve">4.27917500027778</t>
  </si>
  <si>
    <t xml:space="preserve">2025-09-06 00:40:51.968138</t>
  </si>
  <si>
    <t xml:space="preserve">5.08731726055556</t>
  </si>
  <si>
    <t xml:space="preserve">2025-09-06 05:42:21.624566</t>
  </si>
  <si>
    <t xml:space="preserve">9.2025320275</t>
  </si>
  <si>
    <t xml:space="preserve">2025-09-05 22:53:00.768794</t>
  </si>
  <si>
    <t xml:space="preserve">2.37645863888889</t>
  </si>
  <si>
    <t xml:space="preserve">2025-09-05 20:39:40.673456</t>
  </si>
  <si>
    <t xml:space="preserve">2025-09-05 22:05:49.091012</t>
  </si>
  <si>
    <t xml:space="preserve">1.43567154333333</t>
  </si>
  <si>
    <t xml:space="preserve">2025-09-05 22:05:27.881715</t>
  </si>
  <si>
    <t xml:space="preserve">1.40135603194444</t>
  </si>
  <si>
    <t xml:space="preserve">2025-09-06 08:16:39.789549</t>
  </si>
  <si>
    <t xml:space="preserve">11.539426615</t>
  </si>
  <si>
    <t xml:space="preserve">2025-09-05 20:49:45.927803</t>
  </si>
  <si>
    <t xml:space="preserve">0.0761316119444444</t>
  </si>
  <si>
    <t xml:space="preserve">2025-09-05 20:55:52.741674</t>
  </si>
  <si>
    <t xml:space="preserve">0.114618798333333</t>
  </si>
  <si>
    <t xml:space="preserve">2025-09-05 20:58:04.475658</t>
  </si>
  <si>
    <t xml:space="preserve">0.136476879722222</t>
  </si>
  <si>
    <t xml:space="preserve">2025-09-06 01:39:38.999813</t>
  </si>
  <si>
    <t xml:space="preserve">4.72951614972222</t>
  </si>
  <si>
    <t xml:space="preserve">2025-09-06 06:04:40.429429</t>
  </si>
  <si>
    <t xml:space="preserve">9.10998715861111</t>
  </si>
  <si>
    <t xml:space="preserve">2025-09-05 20:58:27.225</t>
  </si>
  <si>
    <t xml:space="preserve">2025-09-06 01:59:41.502</t>
  </si>
  <si>
    <t xml:space="preserve">5.0206325</t>
  </si>
  <si>
    <t xml:space="preserve">2025-09-05 20:59:40.378697</t>
  </si>
  <si>
    <t xml:space="preserve">2025-09-06 04:22:45.016288</t>
  </si>
  <si>
    <t xml:space="preserve">7.38462155305556</t>
  </si>
  <si>
    <t xml:space="preserve">2025-09-05 20:59:45.619607</t>
  </si>
  <si>
    <t xml:space="preserve">2025-09-06 05:20:29.881922</t>
  </si>
  <si>
    <t xml:space="preserve">8.34562842083333</t>
  </si>
  <si>
    <t xml:space="preserve">2025-09-05 21:00:23.513641</t>
  </si>
  <si>
    <t xml:space="preserve">2025-09-05 21:29:19.677789</t>
  </si>
  <si>
    <t xml:space="preserve">0.482267818888889</t>
  </si>
  <si>
    <t xml:space="preserve">2025-09-05 21:21:45.276356</t>
  </si>
  <si>
    <t xml:space="preserve">0.119635503055556</t>
  </si>
  <si>
    <t xml:space="preserve">2025-09-05 21:14:58.168162</t>
  </si>
  <si>
    <t xml:space="preserve">2025-09-05 22:41:51.221357</t>
  </si>
  <si>
    <t xml:space="preserve">1.44807033194444</t>
  </si>
  <si>
    <t xml:space="preserve">2025-09-06 00:02:29.942032</t>
  </si>
  <si>
    <t xml:space="preserve">2.67907379888889</t>
  </si>
  <si>
    <t xml:space="preserve">2025-09-05 21:33:20.870353</t>
  </si>
  <si>
    <t xml:space="preserve">0.0669979344444444</t>
  </si>
  <si>
    <t xml:space="preserve">2025-09-06 04:19:23.326972</t>
  </si>
  <si>
    <t xml:space="preserve">6.76734906083333</t>
  </si>
  <si>
    <t xml:space="preserve">2025-09-05 22:06:40.432583</t>
  </si>
  <si>
    <t xml:space="preserve">2025-09-06 03:27:56.100788</t>
  </si>
  <si>
    <t xml:space="preserve">5.35435227916667</t>
  </si>
  <si>
    <t xml:space="preserve">2025-09-05 22:09:40.179978</t>
  </si>
  <si>
    <t xml:space="preserve">2025-09-06 03:27:08.766831</t>
  </si>
  <si>
    <t xml:space="preserve">5.29127412583333</t>
  </si>
  <si>
    <t xml:space="preserve">2025-09-05 22:10:30.626399</t>
  </si>
  <si>
    <t xml:space="preserve">2025-09-06 03:28:12.088758</t>
  </si>
  <si>
    <t xml:space="preserve">5.29485065527778</t>
  </si>
  <si>
    <t xml:space="preserve">2025-09-05 22:21:10.450329</t>
  </si>
  <si>
    <t xml:space="preserve">2025-09-06 01:22:03.051184</t>
  </si>
  <si>
    <t xml:space="preserve">3.01461134861111</t>
  </si>
  <si>
    <t xml:space="preserve">2025-09-05 22:43:37.465938</t>
  </si>
  <si>
    <t xml:space="preserve">0.0295123836111111</t>
  </si>
  <si>
    <t xml:space="preserve">2025-09-05 23:58:50.42626</t>
  </si>
  <si>
    <t xml:space="preserve">1.25360008944444</t>
  </si>
  <si>
    <t xml:space="preserve">2025-09-06 04:55:25.185659</t>
  </si>
  <si>
    <t xml:space="preserve">6.04011579583333</t>
  </si>
  <si>
    <t xml:space="preserve">2025-09-06 08:22:16.841109</t>
  </si>
  <si>
    <t xml:space="preserve">8.65854937777778</t>
  </si>
  <si>
    <t xml:space="preserve">2025-09-06 02:20:44.556632</t>
  </si>
  <si>
    <t xml:space="preserve">2.38259520083333</t>
  </si>
  <si>
    <t xml:space="preserve">2025-09-06 02:45:20.85345</t>
  </si>
  <si>
    <t xml:space="preserve">2.77511866388889</t>
  </si>
  <si>
    <t xml:space="preserve">2025-09-06 02:45:05.677129</t>
  </si>
  <si>
    <t xml:space="preserve">2.70992641583333</t>
  </si>
  <si>
    <t xml:space="preserve">2025-09-06 01:29:31.358</t>
  </si>
  <si>
    <t xml:space="preserve">0.810941628333333</t>
  </si>
  <si>
    <t xml:space="preserve">2025-09-06 03:22:46.430339</t>
  </si>
  <si>
    <t xml:space="preserve">2.01204976527778</t>
  </si>
  <si>
    <t xml:space="preserve">2025-09-06 04:09:25.785155</t>
  </si>
  <si>
    <t xml:space="preserve">2.66511865416667</t>
  </si>
  <si>
    <t xml:space="preserve">2025-09-06 01:45:37.255122</t>
  </si>
  <si>
    <t xml:space="preserve">0.0995153636111111</t>
  </si>
  <si>
    <t xml:space="preserve">2025-09-06 05:28:48.317993</t>
  </si>
  <si>
    <t xml:space="preserve">3.71973968638889</t>
  </si>
  <si>
    <t xml:space="preserve">2025-09-06 02:04:18.146</t>
  </si>
  <si>
    <t xml:space="preserve">0.0768455555555556</t>
  </si>
  <si>
    <t xml:space="preserve">2025-09-06 05:24:10.59</t>
  </si>
  <si>
    <t xml:space="preserve">3.33123444444444</t>
  </si>
  <si>
    <t xml:space="preserve">2025-09-06 02:26:38.060744</t>
  </si>
  <si>
    <t xml:space="preserve">0.0981955866666667</t>
  </si>
  <si>
    <t xml:space="preserve">2025-09-06 05:36:58.671115</t>
  </si>
  <si>
    <t xml:space="preserve">3.17239176972222</t>
  </si>
  <si>
    <t xml:space="preserve">2025-09-06 02:55:49.520073</t>
  </si>
  <si>
    <t xml:space="preserve">0.178845262222222</t>
  </si>
  <si>
    <t xml:space="preserve">2025-09-06 03:26:57.065484</t>
  </si>
  <si>
    <t xml:space="preserve">0.693392231666667</t>
  </si>
  <si>
    <t xml:space="preserve">2025-09-06 06:51:34.533546</t>
  </si>
  <si>
    <t xml:space="preserve">3.92917040916667</t>
  </si>
  <si>
    <t xml:space="preserve">2025-09-06 04:12:21.263314</t>
  </si>
  <si>
    <t xml:space="preserve">0.826342493055556</t>
  </si>
  <si>
    <t xml:space="preserve">2025-09-06 05:56:43.169246</t>
  </si>
  <si>
    <t xml:space="preserve">2.49613993388889</t>
  </si>
  <si>
    <t xml:space="preserve">2025-09-06 03:31:25.47909</t>
  </si>
  <si>
    <t xml:space="preserve">2025-09-06 03:41:51.990083</t>
  </si>
  <si>
    <t xml:space="preserve">0.174030831388889</t>
  </si>
  <si>
    <t xml:space="preserve">2025-09-06 03:32:30.102658</t>
  </si>
  <si>
    <t xml:space="preserve">2025-09-06 05:53:06.520348</t>
  </si>
  <si>
    <t xml:space="preserve">2.34344935833333</t>
  </si>
  <si>
    <t xml:space="preserve">2025-09-06 04:01:40.579747</t>
  </si>
  <si>
    <t xml:space="preserve">0.483494374166667</t>
  </si>
  <si>
    <t xml:space="preserve">2025-09-06 03:42:50.554878</t>
  </si>
  <si>
    <t xml:space="preserve">2025-09-06 05:53:28.213702</t>
  </si>
  <si>
    <t xml:space="preserve">2.17712745111111</t>
  </si>
  <si>
    <t xml:space="preserve">2025-09-06 05:36:52.62455</t>
  </si>
  <si>
    <t xml:space="preserve">1.58667911194444</t>
  </si>
  <si>
    <t xml:space="preserve">2025-09-06 05:31:33.369911</t>
  </si>
  <si>
    <t xml:space="preserve">1.36877354333333</t>
  </si>
  <si>
    <t xml:space="preserve">2025-09-06 04:56:46.136157</t>
  </si>
  <si>
    <t xml:space="preserve">0.623002551388889</t>
  </si>
  <si>
    <t xml:space="preserve">2025-09-06 05:50:01.846822</t>
  </si>
  <si>
    <t xml:space="preserve">1.45467514833333</t>
  </si>
  <si>
    <t xml:space="preserve">2025-09-06 04:27:54.717663</t>
  </si>
  <si>
    <t xml:space="preserve">2025-09-06 06:53:31.67278</t>
  </si>
  <si>
    <t xml:space="preserve">2.42693197694444</t>
  </si>
  <si>
    <t xml:space="preserve">2025-09-06 04:28:56.202564</t>
  </si>
  <si>
    <t xml:space="preserve">2025-09-06 05:00:28.063518</t>
  </si>
  <si>
    <t xml:space="preserve">0.525516931666667</t>
  </si>
  <si>
    <t xml:space="preserve">2025-09-06 06:04:19.949373</t>
  </si>
  <si>
    <t xml:space="preserve">1.4373389925</t>
  </si>
  <si>
    <t xml:space="preserve">2025-09-06 05:44:47.409802</t>
  </si>
  <si>
    <t xml:space="preserve">0.822840039722222</t>
  </si>
  <si>
    <t xml:space="preserve">2025-09-06 06:05:11.526026</t>
  </si>
  <si>
    <t xml:space="preserve">1.14038607472222</t>
  </si>
  <si>
    <t xml:space="preserve">2025-09-06 05:16:19.282</t>
  </si>
  <si>
    <t xml:space="preserve">0.264227356111111</t>
  </si>
  <si>
    <t xml:space="preserve">2025-09-06 06:55:46.032099</t>
  </si>
  <si>
    <t xml:space="preserve">1.65743058305556</t>
  </si>
  <si>
    <t xml:space="preserve">2025-09-06 05:22:40.75473</t>
  </si>
  <si>
    <t xml:space="preserve">0.0363535577777778</t>
  </si>
  <si>
    <t xml:space="preserve">2025-09-06 06:34:48.907582</t>
  </si>
  <si>
    <t xml:space="preserve">1.20226468111111</t>
  </si>
  <si>
    <t xml:space="preserve">2025-09-06 05:27:47.426</t>
  </si>
  <si>
    <t xml:space="preserve">0.0602322222222222</t>
  </si>
  <si>
    <t xml:space="preserve">2025-09-06 06:08:25.040683</t>
  </si>
  <si>
    <t xml:space="preserve">0.677115189722222</t>
  </si>
  <si>
    <t xml:space="preserve">2025-09-06 05:31:22.619754</t>
  </si>
  <si>
    <t xml:space="preserve">0.0428616002777778</t>
  </si>
  <si>
    <t xml:space="preserve">2025-09-06 06:08:57.75383</t>
  </si>
  <si>
    <t xml:space="preserve">0.626426132222222</t>
  </si>
  <si>
    <t xml:space="preserve">2025-09-06 06:53:36.701197</t>
  </si>
  <si>
    <t xml:space="preserve">1.36759202388889</t>
  </si>
  <si>
    <t xml:space="preserve">2025-09-06 05:43:19.593968</t>
  </si>
  <si>
    <t xml:space="preserve">0.105811903611111</t>
  </si>
  <si>
    <t xml:space="preserve">2025-09-06 05:41:23.860666</t>
  </si>
  <si>
    <t xml:space="preserve">2025-09-06 05:48:39.151</t>
  </si>
  <si>
    <t xml:space="preserve">0.120913981666667</t>
  </si>
  <si>
    <t xml:space="preserve">2025-09-06 05:50:13.295291</t>
  </si>
  <si>
    <t xml:space="preserve">0.131019645833333</t>
  </si>
  <si>
    <t xml:space="preserve">2025-09-06 06:50:29.455901</t>
  </si>
  <si>
    <t xml:space="preserve">1.1194060925</t>
  </si>
  <si>
    <t xml:space="preserve">2025-09-06 06:53:43.760743</t>
  </si>
  <si>
    <t xml:space="preserve">1.1489863725</t>
  </si>
  <si>
    <t xml:space="preserve">2025-09-06 06:49:38.8162</t>
  </si>
  <si>
    <t xml:space="preserve">1.01657366666667</t>
  </si>
  <si>
    <t xml:space="preserve">2025-09-06 06:01:27.880489</t>
  </si>
  <si>
    <t xml:space="preserve">0.1905649075</t>
  </si>
  <si>
    <t xml:space="preserve">2025-09-06 09:38:32.706457</t>
  </si>
  <si>
    <t xml:space="preserve">3.80539199055556</t>
  </si>
  <si>
    <t xml:space="preserve">2025-09-06 05:59:57.605837</t>
  </si>
  <si>
    <t xml:space="preserve">0.114190413611111</t>
  </si>
  <si>
    <t xml:space="preserve">2025-09-06 06:50:38.21519</t>
  </si>
  <si>
    <t xml:space="preserve">0.844613709166667</t>
  </si>
  <si>
    <t xml:space="preserve">2025-09-06 06:00:34.87206</t>
  </si>
  <si>
    <t xml:space="preserve">2025-09-06 06:49:27.565509</t>
  </si>
  <si>
    <t xml:space="preserve">0.814637069166667</t>
  </si>
  <si>
    <t xml:space="preserve">2025-09-06 06:00:40.983108</t>
  </si>
  <si>
    <t xml:space="preserve">2025-09-06 08:49:21.070336</t>
  </si>
  <si>
    <t xml:space="preserve">2.81113534111111</t>
  </si>
  <si>
    <t xml:space="preserve">2025-09-06 06:05:43.045473</t>
  </si>
  <si>
    <t xml:space="preserve">0.0708791622222222</t>
  </si>
  <si>
    <t xml:space="preserve">2025-09-06 06:06:08.257499</t>
  </si>
  <si>
    <t xml:space="preserve">0.0243966861111111</t>
  </si>
  <si>
    <t xml:space="preserve">2025-09-06 06:07:41.675924</t>
  </si>
  <si>
    <t xml:space="preserve">0.0259495625</t>
  </si>
  <si>
    <t xml:space="preserve">2025-09-06 06:13:58.549422</t>
  </si>
  <si>
    <t xml:space="preserve">0.104687082777778</t>
  </si>
  <si>
    <t xml:space="preserve">2025-09-06 06:10:53.725438</t>
  </si>
  <si>
    <t xml:space="preserve">2025-09-06 06:50:52.773</t>
  </si>
  <si>
    <t xml:space="preserve">0.666402100555556</t>
  </si>
  <si>
    <t xml:space="preserve">2025-09-06 06:13:41.146</t>
  </si>
  <si>
    <t xml:space="preserve">2025-09-06 06:50:15.455</t>
  </si>
  <si>
    <t xml:space="preserve">0.609530277777778</t>
  </si>
  <si>
    <t xml:space="preserve">2025-09-06 06:13:58.519508</t>
  </si>
  <si>
    <t xml:space="preserve">2025-09-06 06:52:40.939454</t>
  </si>
  <si>
    <t xml:space="preserve">0.645116651666667</t>
  </si>
  <si>
    <t xml:space="preserve">2025-09-06 06:52:48.320608</t>
  </si>
  <si>
    <t xml:space="preserve">0.647158662777778</t>
  </si>
  <si>
    <t xml:space="preserve">2025-09-06 06:14:05.071635</t>
  </si>
  <si>
    <t xml:space="preserve">2025-09-06 06:51:38.628686</t>
  </si>
  <si>
    <t xml:space="preserve">0.625988069722222</t>
  </si>
  <si>
    <t xml:space="preserve">2025-09-06 06:14:10.285033</t>
  </si>
  <si>
    <t xml:space="preserve">2025-09-06 06:53:17.012345</t>
  </si>
  <si>
    <t xml:space="preserve">0.651868697777778</t>
  </si>
  <si>
    <t xml:space="preserve">2025-09-06 09:18:44.258672</t>
  </si>
  <si>
    <t xml:space="preserve">2.73204196944444</t>
  </si>
  <si>
    <t xml:space="preserve">2025-09-06 06:53:00.56516</t>
  </si>
  <si>
    <t xml:space="preserve">0.0591665697222222</t>
  </si>
  <si>
    <t xml:space="preserve">2025-09-06 06:57:29.252002</t>
  </si>
  <si>
    <t xml:space="preserve">0.130676611666667</t>
  </si>
  <si>
    <t xml:space="preserve">2025-09-06 06:57:42.16</t>
  </si>
  <si>
    <t xml:space="preserve">0.124084722222222</t>
  </si>
  <si>
    <t xml:space="preserve">2025-09-06 06:57:40.009569</t>
  </si>
  <si>
    <t xml:space="preserve">0.119598241111111</t>
  </si>
  <si>
    <t xml:space="preserve">2025-09-06 06:53:21.847581</t>
  </si>
  <si>
    <t xml:space="preserve">0.0454534419444445</t>
  </si>
  <si>
    <t xml:space="preserve">2025-09-06 06:58:41.456601</t>
  </si>
  <si>
    <t xml:space="preserve">0.130189889166667</t>
  </si>
  <si>
    <t xml:space="preserve">2025-09-06 06:57:02.330888</t>
  </si>
  <si>
    <t xml:space="preserve">0.0910548172222222</t>
  </si>
  <si>
    <t xml:space="preserve">2025-09-06 06:58:29.977</t>
  </si>
  <si>
    <t xml:space="preserve">0.114263420555556</t>
  </si>
  <si>
    <t xml:space="preserve">2025-09-06 06:57:55.849293</t>
  </si>
  <si>
    <t xml:space="preserve">0.0874749552777778</t>
  </si>
  <si>
    <t xml:space="preserve">2025-09-06 06:58:33.631</t>
  </si>
  <si>
    <t xml:space="preserve">0.0959195533333333</t>
  </si>
  <si>
    <t xml:space="preserve">2025-09-06 09:20:54.06438</t>
  </si>
  <si>
    <t xml:space="preserve">2.46486089444444</t>
  </si>
  <si>
    <t xml:space="preserve">2025-09-06 06:58:49.725575</t>
  </si>
  <si>
    <t xml:space="preserve">0.0924203416666667</t>
  </si>
  <si>
    <t xml:space="preserve">2025-09-06 08:06:08.595561</t>
  </si>
  <si>
    <t xml:space="preserve">1.21298555</t>
  </si>
  <si>
    <t xml:space="preserve">2025-09-06 08:13:38.829044</t>
  </si>
  <si>
    <t xml:space="preserve">1.33532118444444</t>
  </si>
  <si>
    <t xml:space="preserve">2025-09-06 07:17:10.417832</t>
  </si>
  <si>
    <t xml:space="preserve">0.392699065277778</t>
  </si>
  <si>
    <t xml:space="preserve">2025-09-06 07:02:16.244947</t>
  </si>
  <si>
    <t xml:space="preserve">0.142356723333333</t>
  </si>
  <si>
    <t xml:space="preserve">2025-09-06 07:00:00.615371</t>
  </si>
  <si>
    <t xml:space="preserve">0.0707175755555556</t>
  </si>
  <si>
    <t xml:space="preserve">2025-09-06 10:04:20.307473</t>
  </si>
  <si>
    <t xml:space="preserve">3.1216601625</t>
  </si>
  <si>
    <t xml:space="preserve">2025-09-06 10:04:37.956031</t>
  </si>
  <si>
    <t xml:space="preserve">3.1190844525</t>
  </si>
  <si>
    <t xml:space="preserve">2025-09-06 09:53:36.50072</t>
  </si>
  <si>
    <t xml:space="preserve">2.93235865305556</t>
  </si>
  <si>
    <t xml:space="preserve">2025-09-06 08:36:12.979</t>
  </si>
  <si>
    <t xml:space="preserve">1.64189416666667</t>
  </si>
  <si>
    <t xml:space="preserve">2025-09-06 08:21:56.858694</t>
  </si>
  <si>
    <t xml:space="preserve">1.40028038916667</t>
  </si>
  <si>
    <t xml:space="preserve">2025-09-06 08:08:53.636787</t>
  </si>
  <si>
    <t xml:space="preserve">1.17323882972222</t>
  </si>
  <si>
    <t xml:space="preserve">2025-09-06 06:59:50.934869</t>
  </si>
  <si>
    <t xml:space="preserve">0.0214732969444444</t>
  </si>
  <si>
    <t xml:space="preserve">2025-09-06 08:09:15.2442</t>
  </si>
  <si>
    <t xml:space="preserve">1.17605211083333</t>
  </si>
  <si>
    <t xml:space="preserve">2025-09-06 08:10:10.311711</t>
  </si>
  <si>
    <t xml:space="preserve">1.18905170444444</t>
  </si>
  <si>
    <t xml:space="preserve">2025-09-06 10:35:55.693311</t>
  </si>
  <si>
    <t xml:space="preserve">3.60132178944444</t>
  </si>
  <si>
    <t xml:space="preserve">2025-09-06 07:59:59.372199</t>
  </si>
  <si>
    <t xml:space="preserve">0.999654674444444</t>
  </si>
  <si>
    <t xml:space="preserve">2025-09-06 12:20:04.953384</t>
  </si>
  <si>
    <t xml:space="preserve">5.29686345472222</t>
  </si>
  <si>
    <t xml:space="preserve">2025-09-06 11:45:16.317</t>
  </si>
  <si>
    <t xml:space="preserve">4.46830532444444</t>
  </si>
  <si>
    <t xml:space="preserve">2025-09-06 09:56:25.355676</t>
  </si>
  <si>
    <t xml:space="preserve">1.94055096583333</t>
  </si>
  <si>
    <t xml:space="preserve">0.102056788611111</t>
  </si>
  <si>
    <t xml:space="preserve">2025-09-06 14:05:30.099942</t>
  </si>
  <si>
    <t xml:space="preserve">5.9434619875</t>
  </si>
  <si>
    <t xml:space="preserve">2025-09-06 08:11:42.879949</t>
  </si>
  <si>
    <t xml:space="preserve">0.0410099302777778</t>
  </si>
  <si>
    <t xml:space="preserve">2025-09-06 08:21:48.361275</t>
  </si>
  <si>
    <t xml:space="preserve">0.193902656666667</t>
  </si>
  <si>
    <t xml:space="preserve">2025-09-06 08:14:38.62089</t>
  </si>
  <si>
    <t xml:space="preserve">0.0488169280555556</t>
  </si>
  <si>
    <t xml:space="preserve">2025-09-06 08:55:21.996714</t>
  </si>
  <si>
    <t xml:space="preserve">0.695324352777778</t>
  </si>
  <si>
    <t xml:space="preserve">2025-09-06 08:41:01.906728</t>
  </si>
  <si>
    <t xml:space="preserve">0.439801621666667</t>
  </si>
  <si>
    <t xml:space="preserve">2025-09-06 09:40:39.689514</t>
  </si>
  <si>
    <t xml:space="preserve">1.3999722125</t>
  </si>
  <si>
    <t xml:space="preserve">2025-09-06 08:20:15.554129</t>
  </si>
  <si>
    <t xml:space="preserve">0.0692905197222222</t>
  </si>
  <si>
    <t xml:space="preserve">2025-09-06 08:31:36.923437</t>
  </si>
  <si>
    <t xml:space="preserve">0.163489489444444</t>
  </si>
  <si>
    <t xml:space="preserve">2025-09-06 08:42:35.093</t>
  </si>
  <si>
    <t xml:space="preserve">0.343953973888889</t>
  </si>
  <si>
    <t xml:space="preserve">2025-09-07 00:37:56.890721</t>
  </si>
  <si>
    <t xml:space="preserve">16.2611248922222</t>
  </si>
  <si>
    <t xml:space="preserve">2025-09-06 20:42:33.05339</t>
  </si>
  <si>
    <t xml:space="preserve">12.3354939813889</t>
  </si>
  <si>
    <t xml:space="preserve">2025-09-06 08:37:36.102238</t>
  </si>
  <si>
    <t xml:space="preserve">0.219750621666667</t>
  </si>
  <si>
    <t xml:space="preserve">0.133209480277778</t>
  </si>
  <si>
    <t xml:space="preserve">2025-09-06 08:46:26.505931</t>
  </si>
  <si>
    <t xml:space="preserve">0.247106248333333</t>
  </si>
  <si>
    <t xml:space="preserve">2025-09-06 08:37:28.703167</t>
  </si>
  <si>
    <t xml:space="preserve">2025-09-06 08:47:36.361</t>
  </si>
  <si>
    <t xml:space="preserve">0.1687938425</t>
  </si>
  <si>
    <t xml:space="preserve">2025-09-06 08:41:35.526337</t>
  </si>
  <si>
    <t xml:space="preserve">0.0665066941666667</t>
  </si>
  <si>
    <t xml:space="preserve">2025-09-06 11:55:17.987913</t>
  </si>
  <si>
    <t xml:space="preserve">3.23780032916667</t>
  </si>
  <si>
    <t xml:space="preserve">2025-09-06 09:53:03.969455</t>
  </si>
  <si>
    <t xml:space="preserve">1.19123419944444</t>
  </si>
  <si>
    <t xml:space="preserve">2025-09-06 11:19:24.736964</t>
  </si>
  <si>
    <t xml:space="preserve">2.61378999</t>
  </si>
  <si>
    <t xml:space="preserve">2025-09-06 12:59:56.502788</t>
  </si>
  <si>
    <t xml:space="preserve">4.22499912694444</t>
  </si>
  <si>
    <t xml:space="preserve">2025-09-06 09:19:13.957</t>
  </si>
  <si>
    <t xml:space="preserve">0.52711</t>
  </si>
  <si>
    <t xml:space="preserve">2025-09-06 09:01:41.573</t>
  </si>
  <si>
    <t xml:space="preserve">0.205695184444444</t>
  </si>
  <si>
    <t xml:space="preserve">2025-09-06 09:03:43.102846</t>
  </si>
  <si>
    <t xml:space="preserve">0.139196147777778</t>
  </si>
  <si>
    <t xml:space="preserve">2025-09-06 12:19:41.851366</t>
  </si>
  <si>
    <t xml:space="preserve">3.26631903333333</t>
  </si>
  <si>
    <t xml:space="preserve">2025-09-06 09:17:49.917</t>
  </si>
  <si>
    <t xml:space="preserve">2025-09-06 09:32:12.801815</t>
  </si>
  <si>
    <t xml:space="preserve">0.239690226388889</t>
  </si>
  <si>
    <t xml:space="preserve">0.268984444444444</t>
  </si>
  <si>
    <t xml:space="preserve">2025-09-06 14:59:33.933078</t>
  </si>
  <si>
    <t xml:space="preserve">5.68046511277778</t>
  </si>
  <si>
    <t xml:space="preserve">2025-09-06 09:19:59.224</t>
  </si>
  <si>
    <t xml:space="preserve">2025-09-06 17:49:56.15147</t>
  </si>
  <si>
    <t xml:space="preserve">8.49914651944444</t>
  </si>
  <si>
    <t xml:space="preserve">2025-09-06 09:28:55.742975</t>
  </si>
  <si>
    <t xml:space="preserve">0.133799609722222</t>
  </si>
  <si>
    <t xml:space="preserve">2025-09-06 10:14:28.760591</t>
  </si>
  <si>
    <t xml:space="preserve">0.75917156</t>
  </si>
  <si>
    <t xml:space="preserve">2025-09-06 10:42:32.781482</t>
  </si>
  <si>
    <t xml:space="preserve">1.17221657416667</t>
  </si>
  <si>
    <t xml:space="preserve">2025-09-06 18:46:42.740024</t>
  </si>
  <si>
    <t xml:space="preserve">9.13612043527778</t>
  </si>
  <si>
    <t xml:space="preserve">2025-09-06 11:32:13.929314</t>
  </si>
  <si>
    <t xml:space="preserve">1.85951105555556</t>
  </si>
  <si>
    <t xml:space="preserve">2025-09-06 09:59:06.208</t>
  </si>
  <si>
    <t xml:space="preserve">0.0915853555555556</t>
  </si>
  <si>
    <t xml:space="preserve">2025-09-06 12:47:35.297272</t>
  </si>
  <si>
    <t xml:space="preserve">2.85276155444444</t>
  </si>
  <si>
    <t xml:space="preserve">2025-09-06 09:58:14.275098</t>
  </si>
  <si>
    <t xml:space="preserve">2025-09-06 10:23:06.719919</t>
  </si>
  <si>
    <t xml:space="preserve">0.414568005833333</t>
  </si>
  <si>
    <t xml:space="preserve">2025-09-06 10:07:17.95691</t>
  </si>
  <si>
    <t xml:space="preserve">0.136596919444444</t>
  </si>
  <si>
    <t xml:space="preserve">2025-09-06 10:21:59.274138</t>
  </si>
  <si>
    <t xml:space="preserve">0.294157406944444</t>
  </si>
  <si>
    <t xml:space="preserve">2025-09-06 10:29:00.196565</t>
  </si>
  <si>
    <t xml:space="preserve">0.406177926111111</t>
  </si>
  <si>
    <t xml:space="preserve">2025-09-06 10:22:03.39707</t>
  </si>
  <si>
    <t xml:space="preserve">0.126287910833333</t>
  </si>
  <si>
    <t xml:space="preserve">2025-09-06 11:30:13.901322</t>
  </si>
  <si>
    <t xml:space="preserve">1.13739644</t>
  </si>
  <si>
    <t xml:space="preserve">2025-09-06 11:25:19.674236</t>
  </si>
  <si>
    <t xml:space="preserve">1.054521435</t>
  </si>
  <si>
    <t xml:space="preserve">2025-09-06 11:25:28.709621</t>
  </si>
  <si>
    <t xml:space="preserve">1.03944158388889</t>
  </si>
  <si>
    <t xml:space="preserve">2025-09-06 12:18:31.460334</t>
  </si>
  <si>
    <t xml:space="preserve">1.82535104694444</t>
  </si>
  <si>
    <t xml:space="preserve">2025-09-06 10:31:57.567</t>
  </si>
  <si>
    <t xml:space="preserve">2025-09-06 13:06:12.963039</t>
  </si>
  <si>
    <t xml:space="preserve">2.57094334416667</t>
  </si>
  <si>
    <t xml:space="preserve">2025-09-06 11:23:56.230782</t>
  </si>
  <si>
    <t xml:space="preserve">0.8001492975</t>
  </si>
  <si>
    <t xml:space="preserve">2025-09-06 12:07:49.905218</t>
  </si>
  <si>
    <t xml:space="preserve">1.42142326</t>
  </si>
  <si>
    <t xml:space="preserve">2025-09-06 11:42:24.658964</t>
  </si>
  <si>
    <t xml:space="preserve">0.383311666666667</t>
  </si>
  <si>
    <t xml:space="preserve">2025-09-06 13:55:16.884</t>
  </si>
  <si>
    <t xml:space="preserve">2.41749518833333</t>
  </si>
  <si>
    <t xml:space="preserve">2025-09-07 10:16:51.602066</t>
  </si>
  <si>
    <t xml:space="preserve">22.7437979866667</t>
  </si>
  <si>
    <t xml:space="preserve">2025-09-06 11:36:52.409318</t>
  </si>
  <si>
    <t xml:space="preserve">2025-09-06 13:03:04.636776</t>
  </si>
  <si>
    <t xml:space="preserve">1.43672984944444</t>
  </si>
  <si>
    <t xml:space="preserve">2025-09-06 11:36:56.518296</t>
  </si>
  <si>
    <t xml:space="preserve">2025-09-06 13:13:15.066361</t>
  </si>
  <si>
    <t xml:space="preserve">1.60515224027778</t>
  </si>
  <si>
    <t xml:space="preserve">2025-09-06 14:14:46.563628</t>
  </si>
  <si>
    <t xml:space="preserve">2.53941796222222</t>
  </si>
  <si>
    <t xml:space="preserve">2025-09-06 11:42:38.996308</t>
  </si>
  <si>
    <t xml:space="preserve">2025-09-06 11:53:57.016074</t>
  </si>
  <si>
    <t xml:space="preserve">0.188338823888889</t>
  </si>
  <si>
    <t xml:space="preserve">2025-09-06 16:44:31.423</t>
  </si>
  <si>
    <t xml:space="preserve">4.98752944444444</t>
  </si>
  <si>
    <t xml:space="preserve">2025-09-06 11:55:38.137861</t>
  </si>
  <si>
    <t xml:space="preserve">0.0280893852777778</t>
  </si>
  <si>
    <t xml:space="preserve">2025-09-06 14:01:50.348051</t>
  </si>
  <si>
    <t xml:space="preserve">2.10339171944444</t>
  </si>
  <si>
    <t xml:space="preserve">2025-09-06 12:00:32.194128</t>
  </si>
  <si>
    <t xml:space="preserve">2025-09-06 14:18:25.727063</t>
  </si>
  <si>
    <t xml:space="preserve">2.29820359305556</t>
  </si>
  <si>
    <t xml:space="preserve">2025-09-06 12:09:39.40133</t>
  </si>
  <si>
    <t xml:space="preserve">0.0304155866666667</t>
  </si>
  <si>
    <t xml:space="preserve">2025-09-06 12:39:42.137993</t>
  </si>
  <si>
    <t xml:space="preserve">0.500760184166667</t>
  </si>
  <si>
    <t xml:space="preserve">2025-09-06 12:19:22.157</t>
  </si>
  <si>
    <t xml:space="preserve">0.0140824072222222</t>
  </si>
  <si>
    <t xml:space="preserve">2025-09-06 13:10:11.999224</t>
  </si>
  <si>
    <t xml:space="preserve">0.847178395555556</t>
  </si>
  <si>
    <t xml:space="preserve">2025-09-06 13:04:51.259216</t>
  </si>
  <si>
    <t xml:space="preserve">0.752613291666667</t>
  </si>
  <si>
    <t xml:space="preserve">2025-09-06 13:04:55.053653</t>
  </si>
  <si>
    <t xml:space="preserve">0.747250074722222</t>
  </si>
  <si>
    <t xml:space="preserve">2025-09-06 12:40:18.663926</t>
  </si>
  <si>
    <t xml:space="preserve">2025-09-06 13:09:35.687</t>
  </si>
  <si>
    <t xml:space="preserve">0.488061965</t>
  </si>
  <si>
    <t xml:space="preserve">2025-09-06 15:10:42.521025</t>
  </si>
  <si>
    <t xml:space="preserve">2.38533993138889</t>
  </si>
  <si>
    <t xml:space="preserve">2025-09-06 13:00:22.766</t>
  </si>
  <si>
    <t xml:space="preserve">2025-09-06 13:08:11.928038</t>
  </si>
  <si>
    <t xml:space="preserve">0.130322788333333</t>
  </si>
  <si>
    <t xml:space="preserve">2025-09-06 13:57:09.705727</t>
  </si>
  <si>
    <t xml:space="preserve">0.901408041944444</t>
  </si>
  <si>
    <t xml:space="preserve">2025-09-06 18:46:52.555963</t>
  </si>
  <si>
    <t xml:space="preserve">5.7003602075</t>
  </si>
  <si>
    <t xml:space="preserve">3.61248509638889</t>
  </si>
  <si>
    <t xml:space="preserve">2025-09-06 13:33:06.235461</t>
  </si>
  <si>
    <t xml:space="preserve">0.415085395277778</t>
  </si>
  <si>
    <t xml:space="preserve">2025-09-06 14:04:49.417</t>
  </si>
  <si>
    <t xml:space="preserve">0.920480555555556</t>
  </si>
  <si>
    <t xml:space="preserve">2025-09-06 14:37:36.834856</t>
  </si>
  <si>
    <t xml:space="preserve">1.45689878666667</t>
  </si>
  <si>
    <t xml:space="preserve">2025-09-06 14:35:49.614399</t>
  </si>
  <si>
    <t xml:space="preserve">1.37626334388889</t>
  </si>
  <si>
    <t xml:space="preserve">2025-09-06 15:01:11.764451</t>
  </si>
  <si>
    <t xml:space="preserve">1.46820249722222</t>
  </si>
  <si>
    <t xml:space="preserve">2025-09-06 14:15:31.773374</t>
  </si>
  <si>
    <t xml:space="preserve">0.923548159444444</t>
  </si>
  <si>
    <t xml:space="preserve">2025-09-06 16:14:06.164995</t>
  </si>
  <si>
    <t xml:space="preserve">2.31368916527778</t>
  </si>
  <si>
    <t xml:space="preserve">2025-09-06 14:03:12.212</t>
  </si>
  <si>
    <t xml:space="preserve">0.100696186944444</t>
  </si>
  <si>
    <t xml:space="preserve">2025-09-06 16:15:33.555</t>
  </si>
  <si>
    <t xml:space="preserve">2.20592861111111</t>
  </si>
  <si>
    <t xml:space="preserve">2025-09-06 18:53:38.663266</t>
  </si>
  <si>
    <t xml:space="preserve">4.81367951833333</t>
  </si>
  <si>
    <t xml:space="preserve">2025-09-06 18:21:43.688</t>
  </si>
  <si>
    <t xml:space="preserve">4.27044112722222</t>
  </si>
  <si>
    <t xml:space="preserve">2025-09-06 14:11:51.185004</t>
  </si>
  <si>
    <t xml:space="preserve">2025-09-06 14:25:29.92372</t>
  </si>
  <si>
    <t xml:space="preserve">0.227427421111111</t>
  </si>
  <si>
    <t xml:space="preserve">0.864785173888889</t>
  </si>
  <si>
    <t xml:space="preserve">2025-09-06 14:52:45.594</t>
  </si>
  <si>
    <t xml:space="preserve">0.572185260277778</t>
  </si>
  <si>
    <t xml:space="preserve">2025-09-06 14:24:54.949249</t>
  </si>
  <si>
    <t xml:space="preserve">2025-09-06 18:52:50.857363</t>
  </si>
  <si>
    <t xml:space="preserve">4.46553003166667</t>
  </si>
  <si>
    <t xml:space="preserve">2025-09-06 18:53:29.94624</t>
  </si>
  <si>
    <t xml:space="preserve">4.46667292222222</t>
  </si>
  <si>
    <t xml:space="preserve">2025-09-06 15:02:44.581957</t>
  </si>
  <si>
    <t xml:space="preserve">0.448602099444444</t>
  </si>
  <si>
    <t xml:space="preserve">2025-09-06 16:25:10.405062</t>
  </si>
  <si>
    <t xml:space="preserve">1.79265839055556</t>
  </si>
  <si>
    <t xml:space="preserve">2025-09-06 16:17:15.568</t>
  </si>
  <si>
    <t xml:space="preserve">1.40832611111111</t>
  </si>
  <si>
    <t xml:space="preserve">2025-09-06 15:08:41.806</t>
  </si>
  <si>
    <t xml:space="preserve">0.152186922777778</t>
  </si>
  <si>
    <t xml:space="preserve">2025-09-06 22:42:11.603365</t>
  </si>
  <si>
    <t xml:space="preserve">7.68328858722222</t>
  </si>
  <si>
    <t xml:space="preserve">2025-09-06 15:56:50.745035</t>
  </si>
  <si>
    <t xml:space="preserve">0.901711966111111</t>
  </si>
  <si>
    <t xml:space="preserve">2025-09-06 17:49:25.414964</t>
  </si>
  <si>
    <t xml:space="preserve">2.67878026777778</t>
  </si>
  <si>
    <t xml:space="preserve">2025-09-06 18:01:00.268684</t>
  </si>
  <si>
    <t xml:space="preserve">2.83826323861111</t>
  </si>
  <si>
    <t xml:space="preserve">2025-09-06 15:55:27.298261</t>
  </si>
  <si>
    <t xml:space="preserve">0.800638405833333</t>
  </si>
  <si>
    <t xml:space="preserve">2025-09-06 15:59:07.23471</t>
  </si>
  <si>
    <t xml:space="preserve">0.0610934580555556</t>
  </si>
  <si>
    <t xml:space="preserve">2025-09-06 18:48:09.919317</t>
  </si>
  <si>
    <t xml:space="preserve">2.85532618944444</t>
  </si>
  <si>
    <t xml:space="preserve">2025-09-06 18:50:57.570703</t>
  </si>
  <si>
    <t xml:space="preserve">2.86398222027778</t>
  </si>
  <si>
    <t xml:space="preserve">2025-09-06 16:45:40.008808</t>
  </si>
  <si>
    <t xml:space="preserve">0.526067725833333</t>
  </si>
  <si>
    <t xml:space="preserve">2025-09-06 16:23:16.35501</t>
  </si>
  <si>
    <t xml:space="preserve">0.128555558333333</t>
  </si>
  <si>
    <t xml:space="preserve">0.109286666666667</t>
  </si>
  <si>
    <t xml:space="preserve">2025-09-06 18:46:58.88749</t>
  </si>
  <si>
    <t xml:space="preserve">2.04096235833333</t>
  </si>
  <si>
    <t xml:space="preserve">2025-09-06 16:45:18.196763</t>
  </si>
  <si>
    <t xml:space="preserve">2025-09-06 18:50:30.538054</t>
  </si>
  <si>
    <t xml:space="preserve">2.08676146972222</t>
  </si>
  <si>
    <t xml:space="preserve">2025-09-06 16:45:36.769086</t>
  </si>
  <si>
    <t xml:space="preserve">2025-09-06 18:50:40.167614</t>
  </si>
  <si>
    <t xml:space="preserve">2.08427736888889</t>
  </si>
  <si>
    <t xml:space="preserve">2025-09-06 18:47:58.272553</t>
  </si>
  <si>
    <t xml:space="preserve">2.03840659583333</t>
  </si>
  <si>
    <t xml:space="preserve">2025-09-06 18:46:33.066225</t>
  </si>
  <si>
    <t xml:space="preserve">1.47899657944444</t>
  </si>
  <si>
    <t xml:space="preserve">2025-09-06 17:56:36.579203</t>
  </si>
  <si>
    <t xml:space="preserve">0.119767844166667</t>
  </si>
  <si>
    <t xml:space="preserve">2025-09-06 17:53:35.641</t>
  </si>
  <si>
    <t xml:space="preserve">2025-09-06 18:53:24.436461</t>
  </si>
  <si>
    <t xml:space="preserve">0.996887628055556</t>
  </si>
  <si>
    <t xml:space="preserve">2025-09-06 18:59:02.202579</t>
  </si>
  <si>
    <t xml:space="preserve">1.04045093777778</t>
  </si>
  <si>
    <t xml:space="preserve">2025-09-06 18:05:04.637514</t>
  </si>
  <si>
    <t xml:space="preserve">2025-09-06 18:52:31.970773</t>
  </si>
  <si>
    <t xml:space="preserve">0.790925905277778</t>
  </si>
  <si>
    <t xml:space="preserve">2025-09-06 20:23:05.942252</t>
  </si>
  <si>
    <t xml:space="preserve">3.98803951444444</t>
  </si>
  <si>
    <t xml:space="preserve">2025-09-06 18:51:04.181147</t>
  </si>
  <si>
    <t xml:space="preserve">0.489025874166667</t>
  </si>
  <si>
    <t xml:space="preserve">2025-09-06 18:47:16.503563</t>
  </si>
  <si>
    <t xml:space="preserve">2.09347321194444</t>
  </si>
  <si>
    <t xml:space="preserve">2025-09-07 05:44:05.989938</t>
  </si>
  <si>
    <t xml:space="preserve">10.9591454758333</t>
  </si>
  <si>
    <t xml:space="preserve">2025-09-06 19:32:11.465368</t>
  </si>
  <si>
    <t xml:space="preserve">0.757979262222222</t>
  </si>
  <si>
    <t xml:space="preserve">2025-09-06 18:52:25.846779</t>
  </si>
  <si>
    <t xml:space="preserve">0.0925807822222222</t>
  </si>
  <si>
    <t xml:space="preserve">2025-09-06 19:21:02.643</t>
  </si>
  <si>
    <t xml:space="preserve">0.567709863888889</t>
  </si>
  <si>
    <t xml:space="preserve">2025-09-06 19:22:30.342463</t>
  </si>
  <si>
    <t xml:space="preserve">0.587177472222222</t>
  </si>
  <si>
    <t xml:space="preserve">2025-09-06 18:50:50.392889</t>
  </si>
  <si>
    <t xml:space="preserve">0.0478112044444444</t>
  </si>
  <si>
    <t xml:space="preserve">2025-09-06 18:55:10.161454</t>
  </si>
  <si>
    <t xml:space="preserve">0.116733926944444</t>
  </si>
  <si>
    <t xml:space="preserve">2025-09-06 18:55:46.544052</t>
  </si>
  <si>
    <t xml:space="preserve">0.0877794438888889</t>
  </si>
  <si>
    <t xml:space="preserve">2025-09-06 18:55:16.518146</t>
  </si>
  <si>
    <t xml:space="preserve">0.0767640366666667</t>
  </si>
  <si>
    <t xml:space="preserve">2025-09-06 18:53:00.553081</t>
  </si>
  <si>
    <t xml:space="preserve">0.0361556088888889</t>
  </si>
  <si>
    <t xml:space="preserve">2025-09-06 18:57:52.724384</t>
  </si>
  <si>
    <t xml:space="preserve">0.115320466944444</t>
  </si>
  <si>
    <t xml:space="preserve">2025-09-06 18:58:10.22822</t>
  </si>
  <si>
    <t xml:space="preserve">0.118346409166667</t>
  </si>
  <si>
    <t xml:space="preserve">2025-09-06 20:49:26.971929</t>
  </si>
  <si>
    <t xml:space="preserve">1.95031254166667</t>
  </si>
  <si>
    <t xml:space="preserve">2025-09-06 18:57:16.136002</t>
  </si>
  <si>
    <t xml:space="preserve">0.0789347858333333</t>
  </si>
  <si>
    <t xml:space="preserve">2025-09-06 18:53:44.933369</t>
  </si>
  <si>
    <t xml:space="preserve">0.0150211127777778</t>
  </si>
  <si>
    <t xml:space="preserve">2025-09-07 02:52:36.763454</t>
  </si>
  <si>
    <t xml:space="preserve">7.99339177027778</t>
  </si>
  <si>
    <t xml:space="preserve">2025-09-06 18:54:01.968</t>
  </si>
  <si>
    <t xml:space="preserve">0.0104254275</t>
  </si>
  <si>
    <t xml:space="preserve">2025-09-06 18:54:56.015973</t>
  </si>
  <si>
    <t xml:space="preserve">0.0239082591666667</t>
  </si>
  <si>
    <t xml:space="preserve">2025-09-06 18:57:28.235848</t>
  </si>
  <si>
    <t xml:space="preserve">0.0637701616666667</t>
  </si>
  <si>
    <t xml:space="preserve">2025-09-06 18:54:18.352679</t>
  </si>
  <si>
    <t xml:space="preserve">0.00928314166666667</t>
  </si>
  <si>
    <t xml:space="preserve">2025-09-06 21:52:54.01</t>
  </si>
  <si>
    <t xml:space="preserve">2.98112277777778</t>
  </si>
  <si>
    <t xml:space="preserve">2025-09-06 22:02:14.534566</t>
  </si>
  <si>
    <t xml:space="preserve">3.13227274638889</t>
  </si>
  <si>
    <t xml:space="preserve">2025-09-06 22:42:19.66246</t>
  </si>
  <si>
    <t xml:space="preserve">3.78990180194444</t>
  </si>
  <si>
    <t xml:space="preserve">2025-09-06 22:14:14.890466</t>
  </si>
  <si>
    <t xml:space="preserve">3.31798028111111</t>
  </si>
  <si>
    <t xml:space="preserve">2025-09-06 22:14:28.121995</t>
  </si>
  <si>
    <t xml:space="preserve">3.31988995805556</t>
  </si>
  <si>
    <t xml:space="preserve">2025-09-06 22:12:24.258818</t>
  </si>
  <si>
    <t xml:space="preserve">3.27714299055556</t>
  </si>
  <si>
    <t xml:space="preserve">2025-09-07 00:26:47.565948</t>
  </si>
  <si>
    <t xml:space="preserve">5.49206387388889</t>
  </si>
  <si>
    <t xml:space="preserve">2025-09-06 21:28:00.202187</t>
  </si>
  <si>
    <t xml:space="preserve">2.50887953861111</t>
  </si>
  <si>
    <t xml:space="preserve">2025-09-06 21:31:46.096293</t>
  </si>
  <si>
    <t xml:space="preserve">2.56482553027778</t>
  </si>
  <si>
    <t xml:space="preserve">2025-09-06 21:24:55.876716</t>
  </si>
  <si>
    <t xml:space="preserve">2.44601347111111</t>
  </si>
  <si>
    <t xml:space="preserve">2025-09-06 19:01:25.274731</t>
  </si>
  <si>
    <t xml:space="preserve">0.0397422644444444</t>
  </si>
  <si>
    <t xml:space="preserve">2025-09-06 22:40:30.50147</t>
  </si>
  <si>
    <t xml:space="preserve">3.65145187194444</t>
  </si>
  <si>
    <t xml:space="preserve">2025-09-06 22:31:41.419</t>
  </si>
  <si>
    <t xml:space="preserve">3.17743777777778</t>
  </si>
  <si>
    <t xml:space="preserve">2025-09-06 23:00:50.429624</t>
  </si>
  <si>
    <t xml:space="preserve">3.63891310027778</t>
  </si>
  <si>
    <t xml:space="preserve">2025-09-06 21:15:15.325013</t>
  </si>
  <si>
    <t xml:space="preserve">1.71773879027778</t>
  </si>
  <si>
    <t xml:space="preserve">2025-09-06 21:03:05.878138</t>
  </si>
  <si>
    <t xml:space="preserve">0.666648857222222</t>
  </si>
  <si>
    <t xml:space="preserve">2025-09-07 07:57:46.344224</t>
  </si>
  <si>
    <t xml:space="preserve">11.2536918983333</t>
  </si>
  <si>
    <t xml:space="preserve">2025-09-06 20:55:17.10699</t>
  </si>
  <si>
    <t xml:space="preserve">0.0972597391666667</t>
  </si>
  <si>
    <t xml:space="preserve">2025-09-07 06:54:38.838764</t>
  </si>
  <si>
    <t xml:space="preserve">9.98936993722222</t>
  </si>
  <si>
    <t xml:space="preserve">2025-09-06 21:24:12.998893</t>
  </si>
  <si>
    <t xml:space="preserve">0.3519779875</t>
  </si>
  <si>
    <t xml:space="preserve">2025-09-07 03:02:59.206698</t>
  </si>
  <si>
    <t xml:space="preserve">5.79552269027778</t>
  </si>
  <si>
    <t xml:space="preserve">2025-09-06 21:36:41.57</t>
  </si>
  <si>
    <t xml:space="preserve">0.0820760297222222</t>
  </si>
  <si>
    <t xml:space="preserve">2025-09-06 21:33:35.051184</t>
  </si>
  <si>
    <t xml:space="preserve">2025-09-06 21:39:09.531</t>
  </si>
  <si>
    <t xml:space="preserve">0.09291106</t>
  </si>
  <si>
    <t xml:space="preserve">2025-09-06 21:36:06.521391</t>
  </si>
  <si>
    <t xml:space="preserve">2025-09-06 22:59:45.673236</t>
  </si>
  <si>
    <t xml:space="preserve">1.39420884583333</t>
  </si>
  <si>
    <t xml:space="preserve">2025-09-06 23:01:35.686676</t>
  </si>
  <si>
    <t xml:space="preserve">1.41503241</t>
  </si>
  <si>
    <t xml:space="preserve">2025-09-06 21:39:13.361288</t>
  </si>
  <si>
    <t xml:space="preserve">2025-09-07 00:01:07.758778</t>
  </si>
  <si>
    <t xml:space="preserve">2.36511041388889</t>
  </si>
  <si>
    <t xml:space="preserve">1.47790805555556</t>
  </si>
  <si>
    <t xml:space="preserve">2025-09-06 21:54:36.557</t>
  </si>
  <si>
    <t xml:space="preserve">0.0284852777777778</t>
  </si>
  <si>
    <t xml:space="preserve">2025-09-06 22:41:52.592755</t>
  </si>
  <si>
    <t xml:space="preserve">0.787787709722222</t>
  </si>
  <si>
    <t xml:space="preserve">2025-09-06 22:04:48.521136</t>
  </si>
  <si>
    <t xml:space="preserve">0.0427740472222222</t>
  </si>
  <si>
    <t xml:space="preserve">2025-09-06 22:39:34.982453</t>
  </si>
  <si>
    <t xml:space="preserve">0.579572588055555</t>
  </si>
  <si>
    <t xml:space="preserve">2025-09-06 22:13:16.681019</t>
  </si>
  <si>
    <t xml:space="preserve">0.0145617225</t>
  </si>
  <si>
    <t xml:space="preserve">2025-09-06 22:20:32.201</t>
  </si>
  <si>
    <t xml:space="preserve">0.1209777725</t>
  </si>
  <si>
    <t xml:space="preserve">2025-09-07 02:44:14.688152</t>
  </si>
  <si>
    <t xml:space="preserve">4.39513532</t>
  </si>
  <si>
    <t xml:space="preserve">2025-09-06 22:21:15.125374</t>
  </si>
  <si>
    <t xml:space="preserve">2025-09-07 02:46:34.385049</t>
  </si>
  <si>
    <t xml:space="preserve">4.42201657638889</t>
  </si>
  <si>
    <t xml:space="preserve">2025-09-06 22:21:15.395422</t>
  </si>
  <si>
    <t xml:space="preserve">2025-09-07 02:44:47.943918</t>
  </si>
  <si>
    <t xml:space="preserve">4.39237458222222</t>
  </si>
  <si>
    <t xml:space="preserve">2025-09-07 02:08:48.503</t>
  </si>
  <si>
    <t xml:space="preserve">3.61863444444444</t>
  </si>
  <si>
    <t xml:space="preserve">2025-09-06 22:44:36.106</t>
  </si>
  <si>
    <t xml:space="preserve">2025-09-06 23:01:09.946603</t>
  </si>
  <si>
    <t xml:space="preserve">0.276066834166667</t>
  </si>
  <si>
    <t xml:space="preserve">2025-09-06 22:46:11.112613</t>
  </si>
  <si>
    <t xml:space="preserve">2025-09-07 02:28:09.334078</t>
  </si>
  <si>
    <t xml:space="preserve">3.6995059625</t>
  </si>
  <si>
    <t xml:space="preserve">2025-09-06 22:47:03.185595</t>
  </si>
  <si>
    <t xml:space="preserve">2025-09-07 00:02:40.327338</t>
  </si>
  <si>
    <t xml:space="preserve">1.26031715083333</t>
  </si>
  <si>
    <t xml:space="preserve">2025-09-06 22:47:29.704965</t>
  </si>
  <si>
    <t xml:space="preserve">2025-09-06 22:52:32.832559</t>
  </si>
  <si>
    <t xml:space="preserve">0.0842021094444444</t>
  </si>
  <si>
    <t xml:space="preserve">2025-09-06 22:48:37.318555</t>
  </si>
  <si>
    <t xml:space="preserve">2025-09-07 00:02:33.74067</t>
  </si>
  <si>
    <t xml:space="preserve">1.23233947638889</t>
  </si>
  <si>
    <t xml:space="preserve">2025-09-06 22:56:40.310607</t>
  </si>
  <si>
    <t xml:space="preserve">0.0687439022222222</t>
  </si>
  <si>
    <t xml:space="preserve">2025-09-07 02:27:42.574099</t>
  </si>
  <si>
    <t xml:space="preserve">3.51729541444444</t>
  </si>
  <si>
    <t xml:space="preserve">2025-09-07 02:58:40.460332</t>
  </si>
  <si>
    <t xml:space="preserve">3.98188530444444</t>
  </si>
  <si>
    <t xml:space="preserve">2025-09-07 03:00:50.541669</t>
  </si>
  <si>
    <t xml:space="preserve">4.00003112361111</t>
  </si>
  <si>
    <t xml:space="preserve">2025-09-07 03:43:36.022</t>
  </si>
  <si>
    <t xml:space="preserve">4.70724316583333</t>
  </si>
  <si>
    <t xml:space="preserve">2025-09-07 02:19:37.782779</t>
  </si>
  <si>
    <t xml:space="preserve">3.30058225083333</t>
  </si>
  <si>
    <t xml:space="preserve">2025-09-07 03:28:56.46</t>
  </si>
  <si>
    <t xml:space="preserve">4.35179444444444</t>
  </si>
  <si>
    <t xml:space="preserve">2025-09-07 00:04:26.893726</t>
  </si>
  <si>
    <t xml:space="preserve">2025-09-07 02:32:17.037774</t>
  </si>
  <si>
    <t xml:space="preserve">2.46392890222222</t>
  </si>
  <si>
    <t xml:space="preserve">2025-09-07 00:05:45.132077</t>
  </si>
  <si>
    <t xml:space="preserve">2025-09-07 02:28:45.283175</t>
  </si>
  <si>
    <t xml:space="preserve">2.383375305</t>
  </si>
  <si>
    <t xml:space="preserve">2025-09-07 00:05:55.454693</t>
  </si>
  <si>
    <t xml:space="preserve">2025-09-07 02:28:02.072408</t>
  </si>
  <si>
    <t xml:space="preserve">2.36850492083333</t>
  </si>
  <si>
    <t xml:space="preserve">2025-09-07 02:14:10.991586</t>
  </si>
  <si>
    <t xml:space="preserve">1.60391690694444</t>
  </si>
  <si>
    <t xml:space="preserve">2025-09-07 00:39:34.007026</t>
  </si>
  <si>
    <t xml:space="preserve">2025-09-07 01:27:45.969857</t>
  </si>
  <si>
    <t xml:space="preserve">0.803323008611111</t>
  </si>
  <si>
    <t xml:space="preserve">2025-09-07 03:00:56.497083</t>
  </si>
  <si>
    <t xml:space="preserve">1.55292422944444</t>
  </si>
  <si>
    <t xml:space="preserve">2025-09-07 02:54:30.804</t>
  </si>
  <si>
    <t xml:space="preserve">0.761750277777778</t>
  </si>
  <si>
    <t xml:space="preserve">2025-09-07 03:46:21.531686</t>
  </si>
  <si>
    <t xml:space="preserve">1.53626113888889</t>
  </si>
  <si>
    <t xml:space="preserve">2025-09-07 02:42:57.408516</t>
  </si>
  <si>
    <t xml:space="preserve">0.388784926944444</t>
  </si>
  <si>
    <t xml:space="preserve">2025-09-07 02:39:08.398758</t>
  </si>
  <si>
    <t xml:space="preserve">0.173087661944444</t>
  </si>
  <si>
    <t xml:space="preserve">0.863500345</t>
  </si>
  <si>
    <t xml:space="preserve">2025-09-07 02:39:14.228707</t>
  </si>
  <si>
    <t xml:space="preserve">2025-09-07 02:50:36.435607</t>
  </si>
  <si>
    <t xml:space="preserve">0.189501916666667</t>
  </si>
  <si>
    <t xml:space="preserve">2025-09-07 02:39:22.528092</t>
  </si>
  <si>
    <t xml:space="preserve">2025-09-07 02:50:34.292033</t>
  </si>
  <si>
    <t xml:space="preserve">0.186601094722222</t>
  </si>
  <si>
    <t xml:space="preserve">2025-09-07 02:39:44.766908</t>
  </si>
  <si>
    <t xml:space="preserve">2025-09-07 02:50:40.145914</t>
  </si>
  <si>
    <t xml:space="preserve">0.182049723888889</t>
  </si>
  <si>
    <t xml:space="preserve">2025-09-07 02:39:56.020484</t>
  </si>
  <si>
    <t xml:space="preserve">2025-09-07 02:50:43.926815</t>
  </si>
  <si>
    <t xml:space="preserve">0.179973980833333</t>
  </si>
  <si>
    <t xml:space="preserve">2025-09-07 05:11:41.566462</t>
  </si>
  <si>
    <t xml:space="preserve">2.47893276277778</t>
  </si>
  <si>
    <t xml:space="preserve">2025-09-07 02:53:06.037</t>
  </si>
  <si>
    <t xml:space="preserve">0.138359189444444</t>
  </si>
  <si>
    <t xml:space="preserve">2025-09-07 03:01:04.10364</t>
  </si>
  <si>
    <t xml:space="preserve">0.174947668611111</t>
  </si>
  <si>
    <t xml:space="preserve">2025-09-07 07:11:22.195273</t>
  </si>
  <si>
    <t xml:space="preserve">4.34604435166667</t>
  </si>
  <si>
    <t xml:space="preserve">2025-09-07 03:03:27.484082</t>
  </si>
  <si>
    <t xml:space="preserve">0.213149491111111</t>
  </si>
  <si>
    <t xml:space="preserve">2025-09-07 03:50:01.507483</t>
  </si>
  <si>
    <t xml:space="preserve">0.988216852222222</t>
  </si>
  <si>
    <t xml:space="preserve">2025-09-07 02:51:06.184333</t>
  </si>
  <si>
    <t xml:space="preserve">2025-09-07 02:58:34.44</t>
  </si>
  <si>
    <t xml:space="preserve">0.124515463055556</t>
  </si>
  <si>
    <t xml:space="preserve">2025-09-07 06:53:55.64413</t>
  </si>
  <si>
    <t xml:space="preserve">4.01377975833333</t>
  </si>
  <si>
    <t xml:space="preserve">2025-09-07 09:05:11.775</t>
  </si>
  <si>
    <t xml:space="preserve">6.19188194444444</t>
  </si>
  <si>
    <t xml:space="preserve">2025-09-07 07:03:06.241</t>
  </si>
  <si>
    <t xml:space="preserve">4.14317694444444</t>
  </si>
  <si>
    <t xml:space="preserve">2025-09-07 02:57:05.694532</t>
  </si>
  <si>
    <t xml:space="preserve">2025-09-07 03:10:08.802593</t>
  </si>
  <si>
    <t xml:space="preserve">0.217530016944444</t>
  </si>
  <si>
    <t xml:space="preserve">2025-09-07 07:00:32.671436</t>
  </si>
  <si>
    <t xml:space="preserve">4.03116975111111</t>
  </si>
  <si>
    <t xml:space="preserve">2025-09-07 06:53:30.808257</t>
  </si>
  <si>
    <t xml:space="preserve">3.91565784916667</t>
  </si>
  <si>
    <t xml:space="preserve">2025-09-07 06:54:31.737484</t>
  </si>
  <si>
    <t xml:space="preserve">3.89477661527778</t>
  </si>
  <si>
    <t xml:space="preserve">2025-09-07 03:38:50.904527</t>
  </si>
  <si>
    <t xml:space="preserve">0.631779845555556</t>
  </si>
  <si>
    <t xml:space="preserve">2025-09-07 03:43:50.644954</t>
  </si>
  <si>
    <t xml:space="preserve">0.712928142777778</t>
  </si>
  <si>
    <t xml:space="preserve">2025-09-07 06:54:23.542093</t>
  </si>
  <si>
    <t xml:space="preserve">3.85675983194444</t>
  </si>
  <si>
    <t xml:space="preserve">2025-09-07 03:44:18.795978</t>
  </si>
  <si>
    <t xml:space="preserve">0.680919971111111</t>
  </si>
  <si>
    <t xml:space="preserve">2025-09-07 03:17:18.042465</t>
  </si>
  <si>
    <t xml:space="preserve">0.119233297777778</t>
  </si>
  <si>
    <t xml:space="preserve">2025-09-07 03:28:54.477627</t>
  </si>
  <si>
    <t xml:space="preserve">0.193454211666667</t>
  </si>
  <si>
    <t xml:space="preserve">0.0698673258333333</t>
  </si>
  <si>
    <t xml:space="preserve">2025-09-07 06:52:05.273694</t>
  </si>
  <si>
    <t xml:space="preserve">3.38578158166667</t>
  </si>
  <si>
    <t xml:space="preserve">2025-09-07 03:48:03.662752</t>
  </si>
  <si>
    <t xml:space="preserve">0.153543951388889</t>
  </si>
  <si>
    <t xml:space="preserve">2025-09-07 09:05:13.352</t>
  </si>
  <si>
    <t xml:space="preserve">5.36036944444445</t>
  </si>
  <si>
    <t xml:space="preserve">2025-09-07 15:14:22.025002</t>
  </si>
  <si>
    <t xml:space="preserve">11.50871668</t>
  </si>
  <si>
    <t xml:space="preserve">2025-09-07 04:22:17.214322</t>
  </si>
  <si>
    <t xml:space="preserve">0.632893984444444</t>
  </si>
  <si>
    <t xml:space="preserve">2025-09-07 07:57:40.266486</t>
  </si>
  <si>
    <t xml:space="preserve">4.18853744444444</t>
  </si>
  <si>
    <t xml:space="preserve">2025-09-07 03:47:21.77224</t>
  </si>
  <si>
    <t xml:space="preserve">2025-09-07 06:53:47.254272</t>
  </si>
  <si>
    <t xml:space="preserve">3.10707834222222</t>
  </si>
  <si>
    <t xml:space="preserve">2025-09-07 06:59:39.720212</t>
  </si>
  <si>
    <t xml:space="preserve">3.19334929444444</t>
  </si>
  <si>
    <t xml:space="preserve">2025-09-07 03:53:13.263225</t>
  </si>
  <si>
    <t xml:space="preserve">0.0532654838888889</t>
  </si>
  <si>
    <t xml:space="preserve">2025-09-07 10:04:37.895117</t>
  </si>
  <si>
    <t xml:space="preserve">6.19017552555556</t>
  </si>
  <si>
    <t xml:space="preserve">2025-09-07 05:57:21.617726</t>
  </si>
  <si>
    <t xml:space="preserve">2.40433825722222</t>
  </si>
  <si>
    <t xml:space="preserve">14.9718849105556</t>
  </si>
  <si>
    <t xml:space="preserve">2025-09-07 06:55:21.142291</t>
  </si>
  <si>
    <t xml:space="preserve">1.7276599525</t>
  </si>
  <si>
    <t xml:space="preserve">2025-09-07 06:54:17.299789</t>
  </si>
  <si>
    <t xml:space="preserve">1.16980829194444</t>
  </si>
  <si>
    <t xml:space="preserve">2025-09-07 06:06:32.361232</t>
  </si>
  <si>
    <t xml:space="preserve">0.152984307222222</t>
  </si>
  <si>
    <t xml:space="preserve">2025-09-07 06:26:39.625737</t>
  </si>
  <si>
    <t xml:space="preserve">0.335351251388889</t>
  </si>
  <si>
    <t xml:space="preserve">2025-09-07 07:00:29.283097</t>
  </si>
  <si>
    <t xml:space="preserve">0.563793711111111</t>
  </si>
  <si>
    <t xml:space="preserve">2025-09-07 07:06:06.132827</t>
  </si>
  <si>
    <t xml:space="preserve">0.233571981388889</t>
  </si>
  <si>
    <t xml:space="preserve">2025-09-07 07:07:57.028991</t>
  </si>
  <si>
    <t xml:space="preserve">0.240616870555556</t>
  </si>
  <si>
    <t xml:space="preserve">2025-09-07 07:07:08.985211</t>
  </si>
  <si>
    <t xml:space="preserve">0.222703038611111</t>
  </si>
  <si>
    <t xml:space="preserve">2025-09-07 07:08:37.510351</t>
  </si>
  <si>
    <t xml:space="preserve">0.244962839166667</t>
  </si>
  <si>
    <t xml:space="preserve">2025-09-07 07:25:28.413172</t>
  </si>
  <si>
    <t xml:space="preserve">0.515743246666667</t>
  </si>
  <si>
    <t xml:space="preserve">2025-09-07 07:03:22.434583</t>
  </si>
  <si>
    <t xml:space="preserve">0.145443283055556</t>
  </si>
  <si>
    <t xml:space="preserve">0.123016030277778</t>
  </si>
  <si>
    <t xml:space="preserve">2025-09-07 07:03:06.581677</t>
  </si>
  <si>
    <t xml:space="preserve">0.0574615180555556</t>
  </si>
  <si>
    <t xml:space="preserve">2025-09-07 07:08:42.98281</t>
  </si>
  <si>
    <t xml:space="preserve">0.137138809166667</t>
  </si>
  <si>
    <t xml:space="preserve">2025-09-07 07:03:17.033287</t>
  </si>
  <si>
    <t xml:space="preserve">0.0456560697222222</t>
  </si>
  <si>
    <t xml:space="preserve">1.26844953416667</t>
  </si>
  <si>
    <t xml:space="preserve">2025-09-07 09:07:29.36</t>
  </si>
  <si>
    <t xml:space="preserve">2.07308861111111</t>
  </si>
  <si>
    <t xml:space="preserve">3.0138796425</t>
  </si>
  <si>
    <t xml:space="preserve">2025-09-07 09:17:08.195747</t>
  </si>
  <si>
    <t xml:space="preserve">2.22937810111111</t>
  </si>
  <si>
    <t xml:space="preserve">2025-09-07 08:09:13.656754</t>
  </si>
  <si>
    <t xml:space="preserve">1.05208997972222</t>
  </si>
  <si>
    <t xml:space="preserve">2025-09-07 07:23:28.017425</t>
  </si>
  <si>
    <t xml:space="preserve">0.271953392777778</t>
  </si>
  <si>
    <t xml:space="preserve">2025-09-07 16:03:20.518707</t>
  </si>
  <si>
    <t xml:space="preserve">8.92319158777778</t>
  </si>
  <si>
    <t xml:space="preserve">2025-09-07 07:08:51.034</t>
  </si>
  <si>
    <t xml:space="preserve">0.00375656916666667</t>
  </si>
  <si>
    <t xml:space="preserve">2025-09-07 10:03:58.748085</t>
  </si>
  <si>
    <t xml:space="preserve">2.92104590972222</t>
  </si>
  <si>
    <t xml:space="preserve">2025-09-07 13:24:10.518843</t>
  </si>
  <si>
    <t xml:space="preserve">6.25541245638889</t>
  </si>
  <si>
    <t xml:space="preserve">2025-09-07 07:14:03.554187</t>
  </si>
  <si>
    <t xml:space="preserve">2025-09-07 09:58:00.48</t>
  </si>
  <si>
    <t xml:space="preserve">2.7324793925</t>
  </si>
  <si>
    <t xml:space="preserve">2025-09-07 07:23:34.536883</t>
  </si>
  <si>
    <t xml:space="preserve">0.347371356388889</t>
  </si>
  <si>
    <t xml:space="preserve">2025-09-07 07:45:20.668673</t>
  </si>
  <si>
    <t xml:space="preserve">0.362814386111111</t>
  </si>
  <si>
    <t xml:space="preserve">2025-09-07 09:05:26.246143</t>
  </si>
  <si>
    <t xml:space="preserve">1.66606471416667</t>
  </si>
  <si>
    <t xml:space="preserve">2025-09-07 08:46:39.89482</t>
  </si>
  <si>
    <t xml:space="preserve">1.02200726305556</t>
  </si>
  <si>
    <t xml:space="preserve">2025-09-07 15:17:01.557935</t>
  </si>
  <si>
    <t xml:space="preserve">7.32258095805556</t>
  </si>
  <si>
    <t xml:space="preserve">2025-09-07 14:38:57.619543</t>
  </si>
  <si>
    <t xml:space="preserve">6.68646536638889</t>
  </si>
  <si>
    <t xml:space="preserve">2025-09-07 10:40:13.989368</t>
  </si>
  <si>
    <t xml:space="preserve">3.19110815777778</t>
  </si>
  <si>
    <t xml:space="preserve">2025-09-07 10:20:33.89</t>
  </si>
  <si>
    <t xml:space="preserve">2.20683055555556</t>
  </si>
  <si>
    <t xml:space="preserve">2025-09-07 08:19:47.177561</t>
  </si>
  <si>
    <t xml:space="preserve">0.175978001944444</t>
  </si>
  <si>
    <t xml:space="preserve">2025-09-07 08:21:19.927</t>
  </si>
  <si>
    <t xml:space="preserve">0.0257637330555556</t>
  </si>
  <si>
    <t xml:space="preserve">2025-09-07 08:26:02.613282</t>
  </si>
  <si>
    <t xml:space="preserve">0.0785239672222222</t>
  </si>
  <si>
    <t xml:space="preserve">2025-09-07 08:26:05.287971</t>
  </si>
  <si>
    <t xml:space="preserve">0.000742969166666667</t>
  </si>
  <si>
    <t xml:space="preserve">2025-09-07 08:27:46.222549</t>
  </si>
  <si>
    <t xml:space="preserve">0.0280373827777778</t>
  </si>
  <si>
    <t xml:space="preserve">2025-09-07 10:32:08.077169</t>
  </si>
  <si>
    <t xml:space="preserve">2.21529921361111</t>
  </si>
  <si>
    <t xml:space="preserve">2025-09-07 09:10:07.911078</t>
  </si>
  <si>
    <t xml:space="preserve">0.391115627222222</t>
  </si>
  <si>
    <t xml:space="preserve">2025-09-07 09:07:56.274</t>
  </si>
  <si>
    <t xml:space="preserve">0.0456941666666667</t>
  </si>
  <si>
    <t xml:space="preserve">2025-09-07 09:56:28.411871</t>
  </si>
  <si>
    <t xml:space="preserve">0.850601591111111</t>
  </si>
  <si>
    <t xml:space="preserve">2025-09-07 09:11:41.39</t>
  </si>
  <si>
    <t xml:space="preserve">0.0700083333333333</t>
  </si>
  <si>
    <t xml:space="preserve">2025-09-07 09:07:33.516</t>
  </si>
  <si>
    <t xml:space="preserve">2025-09-07 10:00:46.301</t>
  </si>
  <si>
    <t xml:space="preserve">0.886884722222222</t>
  </si>
  <si>
    <t xml:space="preserve">2025-09-07 09:59:20.84952</t>
  </si>
  <si>
    <t xml:space="preserve">0.856826533333333</t>
  </si>
  <si>
    <t xml:space="preserve">2025-09-07 10:09:27.87054</t>
  </si>
  <si>
    <t xml:space="preserve">0.988877628333333</t>
  </si>
  <si>
    <t xml:space="preserve">2025-09-07 11:29:35.666</t>
  </si>
  <si>
    <t xml:space="preserve">2.29841</t>
  </si>
  <si>
    <t xml:space="preserve">2025-09-07 09:24:31.852637</t>
  </si>
  <si>
    <t xml:space="preserve">0.123238025</t>
  </si>
  <si>
    <t xml:space="preserve">2025-09-07 11:41:54.83859</t>
  </si>
  <si>
    <t xml:space="preserve">2.28971832027778</t>
  </si>
  <si>
    <t xml:space="preserve">2025-09-07 11:41:45.242354</t>
  </si>
  <si>
    <t xml:space="preserve">1.75467513416667</t>
  </si>
  <si>
    <t xml:space="preserve">2025-09-07 10:31:36.492348</t>
  </si>
  <si>
    <t xml:space="preserve">0.537678563333333</t>
  </si>
  <si>
    <t xml:space="preserve">2025-09-07 12:42:43.958252</t>
  </si>
  <si>
    <t xml:space="preserve">2.64589171305556</t>
  </si>
  <si>
    <t xml:space="preserve">2025-09-07 10:12:40.954948</t>
  </si>
  <si>
    <t xml:space="preserve">0.134183286388889</t>
  </si>
  <si>
    <t xml:space="preserve">2025-09-07 10:07:32.153</t>
  </si>
  <si>
    <t xml:space="preserve">2025-09-07 10:10:02.907</t>
  </si>
  <si>
    <t xml:space="preserve">0.0418761111111111</t>
  </si>
  <si>
    <t xml:space="preserve">2025-09-07 10:09:22.465511</t>
  </si>
  <si>
    <t xml:space="preserve">2025-09-07 12:26:57.408072</t>
  </si>
  <si>
    <t xml:space="preserve">2.29303960027778</t>
  </si>
  <si>
    <t xml:space="preserve">2025-09-07 10:30:58.093251</t>
  </si>
  <si>
    <t xml:space="preserve">0.3583951975</t>
  </si>
  <si>
    <t xml:space="preserve">2025-09-07 14:38:13.834329</t>
  </si>
  <si>
    <t xml:space="preserve">4.46970203583333</t>
  </si>
  <si>
    <t xml:space="preserve">2025-09-07 15:38:53.540413</t>
  </si>
  <si>
    <t xml:space="preserve">5.43682929583333</t>
  </si>
  <si>
    <t xml:space="preserve">2025-09-07 10:14:18.601045</t>
  </si>
  <si>
    <t xml:space="preserve">2025-09-07 15:24:56.74276</t>
  </si>
  <si>
    <t xml:space="preserve">5.1772615875</t>
  </si>
  <si>
    <t xml:space="preserve">2025-09-07 10:46:36.573518</t>
  </si>
  <si>
    <t xml:space="preserve">0.495825403333333</t>
  </si>
  <si>
    <t xml:space="preserve">0.169889179166667</t>
  </si>
  <si>
    <t xml:space="preserve">2025-09-07 10:43:52.319421</t>
  </si>
  <si>
    <t xml:space="preserve">0.215062825</t>
  </si>
  <si>
    <t xml:space="preserve">2025-09-07 14:39:20.899007</t>
  </si>
  <si>
    <t xml:space="preserve">4.12900184972222</t>
  </si>
  <si>
    <t xml:space="preserve">2025-09-07 11:34:37.083147</t>
  </si>
  <si>
    <t xml:space="preserve">0.906414938611111</t>
  </si>
  <si>
    <t xml:space="preserve">2025-09-07 10:42:54.018385</t>
  </si>
  <si>
    <t xml:space="preserve">2025-09-07 13:47:36.2255</t>
  </si>
  <si>
    <t xml:space="preserve">3.07839086527778</t>
  </si>
  <si>
    <t xml:space="preserve">2025-09-07 11:45:51.15419</t>
  </si>
  <si>
    <t xml:space="preserve">1.03300965805556</t>
  </si>
  <si>
    <t xml:space="preserve">2025-09-07 13:06:08.920515</t>
  </si>
  <si>
    <t xml:space="preserve">1.60923736527778</t>
  </si>
  <si>
    <t xml:space="preserve">2025-09-07 14:38:47.574562</t>
  </si>
  <si>
    <t xml:space="preserve">2.95064783555556</t>
  </si>
  <si>
    <t xml:space="preserve">2025-09-07 16:46:42.184295</t>
  </si>
  <si>
    <t xml:space="preserve">5.07981825138889</t>
  </si>
  <si>
    <t xml:space="preserve">2025-09-07 14:39:06.642737</t>
  </si>
  <si>
    <t xml:space="preserve">2.8876357075</t>
  </si>
  <si>
    <t xml:space="preserve">2025-09-07 12:36:42.88</t>
  </si>
  <si>
    <t xml:space="preserve">0.162631091111111</t>
  </si>
  <si>
    <t xml:space="preserve">2025-09-07 14:32:14.095787</t>
  </si>
  <si>
    <t xml:space="preserve">1.92533771861111</t>
  </si>
  <si>
    <t xml:space="preserve">2025-09-07 13:07:51.155</t>
  </si>
  <si>
    <t xml:space="preserve">0.418665763333333</t>
  </si>
  <si>
    <t xml:space="preserve">2025-09-07 16:13:46.009</t>
  </si>
  <si>
    <t xml:space="preserve">3.12696902361111</t>
  </si>
  <si>
    <t xml:space="preserve">2025-09-07 16:29:12.930169</t>
  </si>
  <si>
    <t xml:space="preserve">3.35604865805556</t>
  </si>
  <si>
    <t xml:space="preserve">2025-09-07 21:02:57.539</t>
  </si>
  <si>
    <t xml:space="preserve">7.64639448805555</t>
  </si>
  <si>
    <t xml:space="preserve">2025-09-07 13:50:56.174674</t>
  </si>
  <si>
    <t xml:space="preserve">0.0555414372222222</t>
  </si>
  <si>
    <t xml:space="preserve">2025-09-07 15:35:18.667636</t>
  </si>
  <si>
    <t xml:space="preserve">1.73958137833333</t>
  </si>
  <si>
    <t xml:space="preserve">2025-09-07 14:34:02.106085</t>
  </si>
  <si>
    <t xml:space="preserve">0.0300028605555556</t>
  </si>
  <si>
    <t xml:space="preserve">2025-09-07 16:47:29.587</t>
  </si>
  <si>
    <t xml:space="preserve">2.22430025416667</t>
  </si>
  <si>
    <t xml:space="preserve">2025-09-07 14:42:39.42</t>
  </si>
  <si>
    <t xml:space="preserve">0.0737737975</t>
  </si>
  <si>
    <t xml:space="preserve">2025-09-07 18:54:25.718687</t>
  </si>
  <si>
    <t xml:space="preserve">4.26059559027778</t>
  </si>
  <si>
    <t xml:space="preserve">2025-09-07 18:27:04.494946</t>
  </si>
  <si>
    <t xml:space="preserve">3.80190983416667</t>
  </si>
  <si>
    <t xml:space="preserve">2025-09-07 16:34:22.327015</t>
  </si>
  <si>
    <t xml:space="preserve">1.92102341055556</t>
  </si>
  <si>
    <t xml:space="preserve">2025-09-07 14:41:20.672351</t>
  </si>
  <si>
    <t xml:space="preserve">0.0332703733333333</t>
  </si>
  <si>
    <t xml:space="preserve">2025-09-07 18:45:16.268</t>
  </si>
  <si>
    <t xml:space="preserve">4.06544323583333</t>
  </si>
  <si>
    <t xml:space="preserve">2025-09-07 14:47:32.747</t>
  </si>
  <si>
    <t xml:space="preserve">0.0814797222222222</t>
  </si>
  <si>
    <t xml:space="preserve">2025-09-07 15:26:23.239</t>
  </si>
  <si>
    <t xml:space="preserve">0.647358888888889</t>
  </si>
  <si>
    <t xml:space="preserve">2025-09-07 15:00:39.512449</t>
  </si>
  <si>
    <t xml:space="preserve">2025-09-07 16:14:02.469674</t>
  </si>
  <si>
    <t xml:space="preserve">1.22304367361111</t>
  </si>
  <si>
    <t xml:space="preserve">2025-09-07 15:16:45.396809</t>
  </si>
  <si>
    <t xml:space="preserve">0.0398255019444444</t>
  </si>
  <si>
    <t xml:space="preserve">2025-09-07 16:08:22.262486</t>
  </si>
  <si>
    <t xml:space="preserve">0.860240465833333</t>
  </si>
  <si>
    <t xml:space="preserve">2025-09-07 18:27:17.538241</t>
  </si>
  <si>
    <t xml:space="preserve">3.17110564055556</t>
  </si>
  <si>
    <t xml:space="preserve">2025-09-07 15:28:21.486235</t>
  </si>
  <si>
    <t xml:space="preserve">0.0568731875</t>
  </si>
  <si>
    <t xml:space="preserve">2025-09-07 15:48:22.484</t>
  </si>
  <si>
    <t xml:space="preserve">0.366456944444444</t>
  </si>
  <si>
    <t xml:space="preserve">2025-09-07 15:44:01.243631</t>
  </si>
  <si>
    <t xml:space="preserve">0.261043721111111</t>
  </si>
  <si>
    <t xml:space="preserve">2025-09-07 15:54:55.289852</t>
  </si>
  <si>
    <t xml:space="preserve">0.326839504444444</t>
  </si>
  <si>
    <t xml:space="preserve">2025-09-07 15:45:13.869721</t>
  </si>
  <si>
    <t xml:space="preserve">0.10564703</t>
  </si>
  <si>
    <t xml:space="preserve">2025-09-07 15:57:38.05446</t>
  </si>
  <si>
    <t xml:space="preserve">0.226891896944444</t>
  </si>
  <si>
    <t xml:space="preserve">2025-09-07 15:48:14.019346</t>
  </si>
  <si>
    <t xml:space="preserve">0.0500415625</t>
  </si>
  <si>
    <t xml:space="preserve">2025-09-07 16:50:57.564841</t>
  </si>
  <si>
    <t xml:space="preserve">1.04542930416667</t>
  </si>
  <si>
    <t xml:space="preserve">2025-09-07 15:49:31.148</t>
  </si>
  <si>
    <t xml:space="preserve">0.0190733333333333</t>
  </si>
  <si>
    <t xml:space="preserve">2025-09-07 16:54:34.762</t>
  </si>
  <si>
    <t xml:space="preserve">1.08433722222222</t>
  </si>
  <si>
    <t xml:space="preserve">2025-09-07 20:41:00.823971</t>
  </si>
  <si>
    <t xml:space="preserve">4.76820392194444</t>
  </si>
  <si>
    <t xml:space="preserve">2025-09-07 16:53:14.117635</t>
  </si>
  <si>
    <t xml:space="preserve">0.926684215277778</t>
  </si>
  <si>
    <t xml:space="preserve">2025-09-07 16:10:02.296</t>
  </si>
  <si>
    <t xml:space="preserve">0.111604803611111</t>
  </si>
  <si>
    <t xml:space="preserve">2025-09-07 19:05:30.394648</t>
  </si>
  <si>
    <t xml:space="preserve">2.95225893388889</t>
  </si>
  <si>
    <t xml:space="preserve">2025-09-07 18:53:37.336129</t>
  </si>
  <si>
    <t xml:space="preserve">2.72640003583333</t>
  </si>
  <si>
    <t xml:space="preserve">2025-09-07 16:52:45.973</t>
  </si>
  <si>
    <t xml:space="preserve">0.64999</t>
  </si>
  <si>
    <t xml:space="preserve">2025-09-07 16:17:32.256746</t>
  </si>
  <si>
    <t xml:space="preserve">0.0582741866666667</t>
  </si>
  <si>
    <t xml:space="preserve">2025-09-07 18:55:48.645198</t>
  </si>
  <si>
    <t xml:space="preserve">2.63788568111111</t>
  </si>
  <si>
    <t xml:space="preserve">2025-09-07 16:32:32.826617</t>
  </si>
  <si>
    <t xml:space="preserve">0.0555267911111111</t>
  </si>
  <si>
    <t xml:space="preserve">2025-09-07 18:23:21.349857</t>
  </si>
  <si>
    <t xml:space="preserve">1.81639523388889</t>
  </si>
  <si>
    <t xml:space="preserve">2025-09-07 18:54:31.609245</t>
  </si>
  <si>
    <t xml:space="preserve">2.13039581944444</t>
  </si>
  <si>
    <t xml:space="preserve">2025-09-07 16:49:19.690787</t>
  </si>
  <si>
    <t xml:space="preserve">2025-09-07 16:57:35.093403</t>
  </si>
  <si>
    <t xml:space="preserve">0.137611837777778</t>
  </si>
  <si>
    <t xml:space="preserve">2025-09-07 17:08:40.965</t>
  </si>
  <si>
    <t xml:space="preserve">0.265275555555556</t>
  </si>
  <si>
    <t xml:space="preserve">2025-09-07 16:57:24.848961</t>
  </si>
  <si>
    <t xml:space="preserve">2025-09-07 18:54:59.011067</t>
  </si>
  <si>
    <t xml:space="preserve">1.95948947388889</t>
  </si>
  <si>
    <t xml:space="preserve">2025-09-07 18:15:32.099109</t>
  </si>
  <si>
    <t xml:space="preserve">1.29916825166667</t>
  </si>
  <si>
    <t xml:space="preserve">2025-09-07 16:57:53.586591</t>
  </si>
  <si>
    <t xml:space="preserve">2025-09-07 18:52:10.112317</t>
  </si>
  <si>
    <t xml:space="preserve">1.90459047944444</t>
  </si>
  <si>
    <t xml:space="preserve">2025-09-07 16:58:06.61</t>
  </si>
  <si>
    <t xml:space="preserve">2025-09-07 18:53:57.728</t>
  </si>
  <si>
    <t xml:space="preserve">1.93086611111111</t>
  </si>
  <si>
    <t xml:space="preserve">2025-09-07 16:58:22.694892</t>
  </si>
  <si>
    <t xml:space="preserve">2025-09-07 19:08:23.172217</t>
  </si>
  <si>
    <t xml:space="preserve">2.16679925694444</t>
  </si>
  <si>
    <t xml:space="preserve">2025-09-07 18:40:09.705</t>
  </si>
  <si>
    <t xml:space="preserve">1.52465</t>
  </si>
  <si>
    <t xml:space="preserve">2025-09-07 18:58:47.177821</t>
  </si>
  <si>
    <t xml:space="preserve">0.590507767777778</t>
  </si>
  <si>
    <t xml:space="preserve">5.13713632972222</t>
  </si>
  <si>
    <t xml:space="preserve">2025-09-07 18:54:42.775749</t>
  </si>
  <si>
    <t xml:space="preserve">0.460633556388889</t>
  </si>
  <si>
    <t xml:space="preserve">2025-09-07 18:39:15.193</t>
  </si>
  <si>
    <t xml:space="preserve">2025-09-07 18:59:00.883587</t>
  </si>
  <si>
    <t xml:space="preserve">0.329358496388889</t>
  </si>
  <si>
    <t xml:space="preserve">2025-09-07 19:08:40.486</t>
  </si>
  <si>
    <t xml:space="preserve">0.475216944444444</t>
  </si>
  <si>
    <t xml:space="preserve">2025-09-07 18:50:03.467</t>
  </si>
  <si>
    <t xml:space="preserve">2025-09-07 19:04:08.175044</t>
  </si>
  <si>
    <t xml:space="preserve">0.234641123333333</t>
  </si>
  <si>
    <t xml:space="preserve">2025-09-07 19:05:03.855749</t>
  </si>
  <si>
    <t xml:space="preserve">0.214928731111111</t>
  </si>
  <si>
    <t xml:space="preserve">2025-09-07 18:58:42.400274</t>
  </si>
  <si>
    <t xml:space="preserve">0.0847400402777778</t>
  </si>
  <si>
    <t xml:space="preserve">2025-09-07 19:03:01.289</t>
  </si>
  <si>
    <t xml:space="preserve">0.150989166666667</t>
  </si>
  <si>
    <t xml:space="preserve">2025-09-07 19:30:44.991641</t>
  </si>
  <si>
    <t xml:space="preserve">0.605353598333333</t>
  </si>
  <si>
    <t xml:space="preserve">2025-09-07 18:57:01.031229</t>
  </si>
  <si>
    <t xml:space="preserve">0.0415061066666667</t>
  </si>
  <si>
    <t xml:space="preserve">2025-09-07 19:05:11.034874</t>
  </si>
  <si>
    <t xml:space="preserve">0.170006613055556</t>
  </si>
  <si>
    <t xml:space="preserve">2025-09-07 19:00:08.014091</t>
  </si>
  <si>
    <t xml:space="preserve">0.0720469147222222</t>
  </si>
  <si>
    <t xml:space="preserve">2025-09-07 20:16:13.516865</t>
  </si>
  <si>
    <t xml:space="preserve">1.29197683083333</t>
  </si>
  <si>
    <t xml:space="preserve">2025-09-07 19:03:59.464946</t>
  </si>
  <si>
    <t xml:space="preserve">0.0867464236111111</t>
  </si>
  <si>
    <t xml:space="preserve">2025-09-07 20:14:46.741925</t>
  </si>
  <si>
    <t xml:space="preserve">1.244091065</t>
  </si>
  <si>
    <t xml:space="preserve">0.293562487777778</t>
  </si>
  <si>
    <t xml:space="preserve">2025-09-07 19:26:25.39443</t>
  </si>
  <si>
    <t xml:space="preserve">0.348611050555556</t>
  </si>
  <si>
    <t xml:space="preserve">2025-09-07 19:58:56.021445</t>
  </si>
  <si>
    <t xml:space="preserve">0.842458118888889</t>
  </si>
  <si>
    <t xml:space="preserve">2025-09-07 20:37:23.381</t>
  </si>
  <si>
    <t xml:space="preserve">1.47858194444444</t>
  </si>
  <si>
    <t xml:space="preserve">2025-09-07 19:42:28.269704</t>
  </si>
  <si>
    <t xml:space="preserve">0.345352695555556</t>
  </si>
  <si>
    <t xml:space="preserve">2025-09-07 20:07:25.983969</t>
  </si>
  <si>
    <t xml:space="preserve">0.7805511025</t>
  </si>
  <si>
    <t xml:space="preserve">2025-09-07 20:03:34.783642</t>
  </si>
  <si>
    <t xml:space="preserve">0.351809427222222</t>
  </si>
  <si>
    <t xml:space="preserve">2025-09-07 20:07:33.417946</t>
  </si>
  <si>
    <t xml:space="preserve">0.143721250277778</t>
  </si>
  <si>
    <t xml:space="preserve">2025-09-07 20:16:15.844367</t>
  </si>
  <si>
    <t xml:space="preserve">0.211405756944444</t>
  </si>
  <si>
    <t xml:space="preserve">2025-09-07 21:20:39.097005</t>
  </si>
  <si>
    <t xml:space="preserve">1.22030917666667</t>
  </si>
  <si>
    <t xml:space="preserve">2025-09-07 20:24:22.529156</t>
  </si>
  <si>
    <t xml:space="preserve">0.135190219166667</t>
  </si>
  <si>
    <t xml:space="preserve">2025-09-07 20:26:23.474208</t>
  </si>
  <si>
    <t xml:space="preserve">2025-09-07 20:26:40.962859</t>
  </si>
  <si>
    <t xml:space="preserve">2025-09-07 20:44:38.31868</t>
  </si>
  <si>
    <t xml:space="preserve">2025-09-07 21:01:38.705315</t>
  </si>
  <si>
    <t xml:space="preserve">0.283440731944444</t>
  </si>
  <si>
    <t xml:space="preserve">2025-09-07 21:09:23.96</t>
  </si>
  <si>
    <t xml:space="preserve">0.1292374125</t>
  </si>
  <si>
    <t xml:space="preserve">2025-09-07 21:09:29.087406</t>
  </si>
  <si>
    <t xml:space="preserve">Id main status</t>
  </si>
  <si>
    <t xml:space="preserve">Id type status</t>
  </si>
  <si>
    <t xml:space="preserve">Id detail status</t>
  </si>
  <si>
    <t xml:space="preserve">Main status</t>
  </si>
  <si>
    <t xml:space="preserve">Type status</t>
  </si>
  <si>
    <t xml:space="preserve">Detail status</t>
  </si>
  <si>
    <t xml:space="preserve">READY</t>
  </si>
  <si>
    <t xml:space="preserve">Productivo</t>
  </si>
  <si>
    <t xml:space="preserve">En Producción</t>
  </si>
  <si>
    <t xml:space="preserve">Traslado Operativo</t>
  </si>
  <si>
    <t xml:space="preserve">Chancadora</t>
  </si>
  <si>
    <t xml:space="preserve">ESPERA POR EQUIPO DE CARGUIO POR FRENTE DURO</t>
  </si>
  <si>
    <t xml:space="preserve">Inconvenientes con radio base</t>
  </si>
  <si>
    <t xml:space="preserve">En Produccion- Frente Duro</t>
  </si>
  <si>
    <t xml:space="preserve">Se cambia descarga a Stock</t>
  </si>
  <si>
    <t xml:space="preserve">Acarreo de material fino</t>
  </si>
  <si>
    <t xml:space="preserve">No productivo</t>
  </si>
  <si>
    <t xml:space="preserve">En Producción - Auxiliar</t>
  </si>
  <si>
    <t xml:space="preserve">Trabajos en stock de material (AL-ML-BL)</t>
  </si>
  <si>
    <t xml:space="preserve">Trabajos en Escombreras</t>
  </si>
  <si>
    <t xml:space="preserve">Otros</t>
  </si>
  <si>
    <t xml:space="preserve">En produccion- Limpieza de Malla</t>
  </si>
  <si>
    <t xml:space="preserve">Limpieza Post-Voladura</t>
  </si>
  <si>
    <t xml:space="preserve">En Producción - Auxiliar Stockpile</t>
  </si>
  <si>
    <t xml:space="preserve">En Producción - Auxiliar Material Fino</t>
  </si>
  <si>
    <t xml:space="preserve">PAD</t>
  </si>
  <si>
    <t xml:space="preserve">apoyo a otras areas</t>
  </si>
  <si>
    <t xml:space="preserve">Reperforacion de pozos</t>
  </si>
  <si>
    <t xml:space="preserve">auxilar-parada imprevista de trituracion</t>
  </si>
  <si>
    <t xml:space="preserve">SANEO DE PARED</t>
  </si>
  <si>
    <t xml:space="preserve">DELAY</t>
  </si>
  <si>
    <t xml:space="preserve">Programado</t>
  </si>
  <si>
    <t xml:space="preserve">Demora por Voladura</t>
  </si>
  <si>
    <t xml:space="preserve">Break</t>
  </si>
  <si>
    <t xml:space="preserve">Cambio de Operador</t>
  </si>
  <si>
    <t xml:space="preserve">Cambio de Turno</t>
  </si>
  <si>
    <t xml:space="preserve">Carga de Combustible</t>
  </si>
  <si>
    <t xml:space="preserve">Chequeo Operacional</t>
  </si>
  <si>
    <t xml:space="preserve">Limpieza de Equipo</t>
  </si>
  <si>
    <t xml:space="preserve">Traslado Por Voladura</t>
  </si>
  <si>
    <t xml:space="preserve">Traslado Equipo Mina</t>
  </si>
  <si>
    <t xml:space="preserve">Cambio de Aceros</t>
  </si>
  <si>
    <t xml:space="preserve">Relleno de Agua</t>
  </si>
  <si>
    <t xml:space="preserve">Traslado de Perforadora</t>
  </si>
  <si>
    <t xml:space="preserve">Traslado</t>
  </si>
  <si>
    <t xml:space="preserve">Traslado de Equipo de Carguio</t>
  </si>
  <si>
    <t xml:space="preserve">chequeo de sistema por IT</t>
  </si>
  <si>
    <t xml:space="preserve">Calentamiento de Motor</t>
  </si>
  <si>
    <t xml:space="preserve">Traslado a Mantenimiento</t>
  </si>
  <si>
    <t xml:space="preserve">Carga de material fino</t>
  </si>
  <si>
    <t xml:space="preserve">DEMORA POR VOLADURA</t>
  </si>
  <si>
    <t xml:space="preserve">Chequeo de profundidades de pozo</t>
  </si>
  <si>
    <t xml:space="preserve">Traslado por Voladura</t>
  </si>
  <si>
    <t xml:space="preserve">Imprevisto</t>
  </si>
  <si>
    <t xml:space="preserve">Baño</t>
  </si>
  <si>
    <t xml:space="preserve">Bloqueo de Ruta</t>
  </si>
  <si>
    <t xml:space="preserve">Combustible</t>
  </si>
  <si>
    <t xml:space="preserve">Demora en Chancadora</t>
  </si>
  <si>
    <t xml:space="preserve">Espera de Intrucciones</t>
  </si>
  <si>
    <t xml:space="preserve">Falla Geotecnica</t>
  </si>
  <si>
    <t xml:space="preserve">Limpieza de Piso</t>
  </si>
  <si>
    <t xml:space="preserve">Dientes</t>
  </si>
  <si>
    <t xml:space="preserve">Traspaleo</t>
  </si>
  <si>
    <t xml:space="preserve">Reparación de Piso</t>
  </si>
  <si>
    <t xml:space="preserve">Atascamiento de Barra</t>
  </si>
  <si>
    <t xml:space="preserve">Arreglo de Ruta</t>
  </si>
  <si>
    <t xml:space="preserve">Chancador</t>
  </si>
  <si>
    <t xml:space="preserve">Arreglo de Descarga</t>
  </si>
  <si>
    <t xml:space="preserve">Falta de Luminaria</t>
  </si>
  <si>
    <t xml:space="preserve">Equipo de Carguio Rellenando Combustible</t>
  </si>
  <si>
    <t xml:space="preserve">cambio de barra</t>
  </si>
  <si>
    <t xml:space="preserve">Frente duro</t>
  </si>
  <si>
    <t xml:space="preserve">Ingreso de personal topografia</t>
  </si>
  <si>
    <t xml:space="preserve">Chequeo del equipo</t>
  </si>
  <si>
    <t xml:space="preserve">Equipo de carguio en limpieza de piso</t>
  </si>
  <si>
    <t xml:space="preserve">Espera por equipos de carguio con frente duro</t>
  </si>
  <si>
    <t xml:space="preserve">Cola de camiones</t>
  </si>
  <si>
    <t xml:space="preserve">Esperando camiones</t>
  </si>
  <si>
    <t xml:space="preserve">LIMPIEZA POST -VOLADURA</t>
  </si>
  <si>
    <t xml:space="preserve">FALTA DE AGUA</t>
  </si>
  <si>
    <t xml:space="preserve">Sistema de Agua</t>
  </si>
  <si>
    <t xml:space="preserve">cambio de acero</t>
  </si>
  <si>
    <t xml:space="preserve">Chequeo de sistema de IT</t>
  </si>
  <si>
    <t xml:space="preserve">Ingresos de personal de topografia</t>
  </si>
  <si>
    <t xml:space="preserve">Esperando a equipo de carguio con cambio de poligono</t>
  </si>
  <si>
    <t xml:space="preserve">Espera por limpieza de bahia</t>
  </si>
  <si>
    <t xml:space="preserve">Espera de equipo de carga</t>
  </si>
  <si>
    <t xml:space="preserve">Traslado largo de equipo</t>
  </si>
  <si>
    <t xml:space="preserve">Ingreso de Regador</t>
  </si>
  <si>
    <t xml:space="preserve">Ingreso de Personal de Geotecnia</t>
  </si>
  <si>
    <t xml:space="preserve">Sistema Controlsense</t>
  </si>
  <si>
    <t xml:space="preserve">01 Equipo de carga en Mantenimiento</t>
  </si>
  <si>
    <t xml:space="preserve">02 Demora de camión</t>
  </si>
  <si>
    <t xml:space="preserve">03 Limpieza de frente</t>
  </si>
  <si>
    <t xml:space="preserve">04 Problema en equipo de carga</t>
  </si>
  <si>
    <t xml:space="preserve">05 Emergencia</t>
  </si>
  <si>
    <t xml:space="preserve">06 Lubricación equipo de carga</t>
  </si>
  <si>
    <t xml:space="preserve">07 Reubicación de equipos de carga</t>
  </si>
  <si>
    <t xml:space="preserve">08 Por Voladura</t>
  </si>
  <si>
    <t xml:space="preserve">09 Cambio de turno</t>
  </si>
  <si>
    <t xml:space="preserve">10 Clasificación de mineral</t>
  </si>
  <si>
    <t xml:space="preserve">11 Problema en equipo de acarreo</t>
  </si>
  <si>
    <t xml:space="preserve">12 Limpieza de bahía</t>
  </si>
  <si>
    <t xml:space="preserve">13 Otro</t>
  </si>
  <si>
    <t xml:space="preserve">14 Carga de combustible</t>
  </si>
  <si>
    <t xml:space="preserve">Alto nivel HP2</t>
  </si>
  <si>
    <t xml:space="preserve">Reparacion de piso</t>
  </si>
  <si>
    <t xml:space="preserve">Equipo de carga en refrigeración</t>
  </si>
  <si>
    <t xml:space="preserve">Replanteo de Marcas</t>
  </si>
  <si>
    <t xml:space="preserve">Precalentamiento de Equipo</t>
  </si>
  <si>
    <t xml:space="preserve">Parada imprevista de Trituración</t>
  </si>
  <si>
    <t xml:space="preserve">Ingreso de pérsonal de geologia</t>
  </si>
  <si>
    <t xml:space="preserve">Parada imprevista de Trituracion</t>
  </si>
  <si>
    <t xml:space="preserve">FALTA DE MARCAS</t>
  </si>
  <si>
    <t xml:space="preserve">CHEQUEO DE EQUIPO</t>
  </si>
  <si>
    <t xml:space="preserve">Cola por parada imprevista- Trituracion</t>
  </si>
  <si>
    <t xml:space="preserve">Demora por Carga Descentrada</t>
  </si>
  <si>
    <t xml:space="preserve">Espera de Equipo de Carguio</t>
  </si>
  <si>
    <t xml:space="preserve">Seguridad</t>
  </si>
  <si>
    <t xml:space="preserve">Charla de Seguridad</t>
  </si>
  <si>
    <t xml:space="preserve">STANDBY</t>
  </si>
  <si>
    <t xml:space="preserve">Clima</t>
  </si>
  <si>
    <t xml:space="preserve">Condiciones Inseguras</t>
  </si>
  <si>
    <t xml:space="preserve">Emergencia</t>
  </si>
  <si>
    <t xml:space="preserve">Falta Equipo De Carguio</t>
  </si>
  <si>
    <t xml:space="preserve">Fatiga</t>
  </si>
  <si>
    <t xml:space="preserve">Sin Operador</t>
  </si>
  <si>
    <t xml:space="preserve">Sin acceso</t>
  </si>
  <si>
    <t xml:space="preserve">Falta Camion</t>
  </si>
  <si>
    <t xml:space="preserve">Falta De Acceso</t>
  </si>
  <si>
    <t xml:space="preserve">Falta de Marcas</t>
  </si>
  <si>
    <t xml:space="preserve">Falta de Carguio</t>
  </si>
  <si>
    <t xml:space="preserve">Falta de Area</t>
  </si>
  <si>
    <t xml:space="preserve">Falta de Aceros</t>
  </si>
  <si>
    <t xml:space="preserve">Falta de Cistena de agua</t>
  </si>
  <si>
    <t xml:space="preserve">Esperando Instrucciones</t>
  </si>
  <si>
    <t xml:space="preserve">Esperando a Chancadora</t>
  </si>
  <si>
    <t xml:space="preserve">Parada</t>
  </si>
  <si>
    <t xml:space="preserve">Ingreso de personal geotecnia</t>
  </si>
  <si>
    <t xml:space="preserve">SISTEMA CONTROLSENSE</t>
  </si>
  <si>
    <t xml:space="preserve">Parada no programada por mina</t>
  </si>
  <si>
    <t xml:space="preserve">LIMPIEZA POST-VOLADURA</t>
  </si>
  <si>
    <t xml:space="preserve">ruptura de acero</t>
  </si>
  <si>
    <t xml:space="preserve">Carga de comvbustible</t>
  </si>
  <si>
    <t xml:space="preserve">SISTEMA DE AGUA CONGELADO</t>
  </si>
  <si>
    <t xml:space="preserve">CLIMA ADVERSO</t>
  </si>
  <si>
    <t xml:space="preserve">DEMORA POST VOLADURA</t>
  </si>
  <si>
    <t xml:space="preserve">Protocolo de bio- seguridad COVID</t>
  </si>
  <si>
    <t xml:space="preserve">Falta de malla de perforación (SSTT)</t>
  </si>
  <si>
    <t xml:space="preserve">OTROS</t>
  </si>
  <si>
    <t xml:space="preserve">Equipo de carguio Rellenando Combustible</t>
  </si>
  <si>
    <t xml:space="preserve">PRUEBA DE ACEPTACION</t>
  </si>
  <si>
    <t xml:space="preserve">Falta Equipo de Acarreo</t>
  </si>
  <si>
    <t xml:space="preserve">sistema de controlsense</t>
  </si>
  <si>
    <t xml:space="preserve">ESPERANDO A CHANCADORA</t>
  </si>
  <si>
    <t xml:space="preserve">Paro Gremial</t>
  </si>
  <si>
    <t xml:space="preserve">Reunion Gremial</t>
  </si>
  <si>
    <t xml:space="preserve">REUNION GREMIAL</t>
  </si>
  <si>
    <t xml:space="preserve">06 Lubricacion equipo de carga</t>
  </si>
  <si>
    <t xml:space="preserve">Alto nivel en Stock Pile</t>
  </si>
  <si>
    <t xml:space="preserve">Metal Detectado</t>
  </si>
  <si>
    <t xml:space="preserve">Falta de preparación de plataforma (mina)</t>
  </si>
  <si>
    <t xml:space="preserve">EQUIPO NO REQUERIDO</t>
  </si>
  <si>
    <t xml:space="preserve">Falta de frente</t>
  </si>
  <si>
    <t xml:space="preserve">Ruptura de acero</t>
  </si>
  <si>
    <t xml:space="preserve">Atascamiento</t>
  </si>
  <si>
    <t xml:space="preserve">Bloqueo de ruta</t>
  </si>
  <si>
    <t xml:space="preserve">INCONVENIENTES CON RADIO BASE (SOPORTE IT)</t>
  </si>
  <si>
    <t xml:space="preserve">SIN RADIO DE COMUNICACION</t>
  </si>
  <si>
    <t xml:space="preserve">Sin Acceso</t>
  </si>
  <si>
    <t xml:space="preserve">FALTA DE ENTREGA DE POLIGONOS</t>
  </si>
  <si>
    <t xml:space="preserve">CARGA DE UREA</t>
  </si>
  <si>
    <t xml:space="preserve">FALTA DE CISTERNA DE AGUA POR MECANICA IMPREVISTO</t>
  </si>
  <si>
    <t xml:space="preserve">FALTA DE MARCAS(TOPOGRAFIA)</t>
  </si>
  <si>
    <t xml:space="preserve">Trituracion trabajando de manera parcial con las lineas</t>
  </si>
  <si>
    <t xml:space="preserve">Equipo No Requerido</t>
  </si>
  <si>
    <t xml:space="preserve">Parada Programada Por Mina</t>
  </si>
  <si>
    <t xml:space="preserve">Training</t>
  </si>
  <si>
    <t xml:space="preserve">Traslado Largo De Equipo</t>
  </si>
  <si>
    <t xml:space="preserve">Traslado De Equipo</t>
  </si>
  <si>
    <t xml:space="preserve">Capacitacion</t>
  </si>
  <si>
    <t xml:space="preserve">BREAK</t>
  </si>
  <si>
    <t xml:space="preserve">CARGA DE COMBUSTIBLE</t>
  </si>
  <si>
    <t xml:space="preserve">Demora por voladura</t>
  </si>
  <si>
    <t xml:space="preserve">CAMBIO DE TURNO</t>
  </si>
  <si>
    <t xml:space="preserve">Reunion programada</t>
  </si>
  <si>
    <t xml:space="preserve">Programada por mina</t>
  </si>
  <si>
    <t xml:space="preserve">CAPACITACION</t>
  </si>
  <si>
    <t xml:space="preserve">RELLENO DE UREA</t>
  </si>
  <si>
    <t xml:space="preserve">SIN OPERADOR POR ELECCIONES</t>
  </si>
  <si>
    <t xml:space="preserve">MAINT</t>
  </si>
  <si>
    <t xml:space="preserve">Accidente</t>
  </si>
  <si>
    <t xml:space="preserve">Cabina</t>
  </si>
  <si>
    <t xml:space="preserve">Control Electronico De Implementos</t>
  </si>
  <si>
    <t xml:space="preserve">Convertidor De Torque</t>
  </si>
  <si>
    <t xml:space="preserve">Culatas</t>
  </si>
  <si>
    <t xml:space="preserve">Daño Clima</t>
  </si>
  <si>
    <t xml:space="preserve">Daño Operacional</t>
  </si>
  <si>
    <t xml:space="preserve">Daño Por Voladura</t>
  </si>
  <si>
    <t xml:space="preserve">Diferencial</t>
  </si>
  <si>
    <t xml:space="preserve">Estructural</t>
  </si>
  <si>
    <t xml:space="preserve">Falla Imprevisto Chancador</t>
  </si>
  <si>
    <t xml:space="preserve">Falta De Infraestructura</t>
  </si>
  <si>
    <t xml:space="preserve">Falta de personal</t>
  </si>
  <si>
    <t xml:space="preserve">Gomeria</t>
  </si>
  <si>
    <t xml:space="preserve">Lavado de Equipos</t>
  </si>
  <si>
    <t xml:space="preserve">Lubricación</t>
  </si>
  <si>
    <t xml:space="preserve">Mando De Bombas</t>
  </si>
  <si>
    <t xml:space="preserve">Mando Final</t>
  </si>
  <si>
    <t xml:space="preserve">Mantenimiento Oportunidad</t>
  </si>
  <si>
    <t xml:space="preserve">Motor Diesel</t>
  </si>
  <si>
    <t xml:space="preserve">Oportunidad</t>
  </si>
  <si>
    <t xml:space="preserve">PM</t>
  </si>
  <si>
    <t xml:space="preserve">Proyecto Sin Energia</t>
  </si>
  <si>
    <t xml:space="preserve">Rotura de Neumatico</t>
  </si>
  <si>
    <t xml:space="preserve">Sin Combustible</t>
  </si>
  <si>
    <t xml:space="preserve">Sistema Aire Acondicionado</t>
  </si>
  <si>
    <t xml:space="preserve">Sistema Contra Incendio</t>
  </si>
  <si>
    <t xml:space="preserve">Sistema De Arranque</t>
  </si>
  <si>
    <t xml:space="preserve">Sistema De Combustible</t>
  </si>
  <si>
    <t xml:space="preserve">Sistema De Control De Aire</t>
  </si>
  <si>
    <t xml:space="preserve">Sistema De Direccion</t>
  </si>
  <si>
    <t xml:space="preserve">Sistema De Enfriamiento De Motor</t>
  </si>
  <si>
    <t xml:space="preserve">Sistema De Frenos</t>
  </si>
  <si>
    <t xml:space="preserve">Sistema de Lubricacion Automatico</t>
  </si>
  <si>
    <t xml:space="preserve">Sistema Electrico</t>
  </si>
  <si>
    <t xml:space="preserve">Sistema Hidraulico</t>
  </si>
  <si>
    <t xml:space="preserve">Soldadura</t>
  </si>
  <si>
    <t xml:space="preserve">Suspensión</t>
  </si>
  <si>
    <t xml:space="preserve">Tolva</t>
  </si>
  <si>
    <t xml:space="preserve">Transmision</t>
  </si>
  <si>
    <t xml:space="preserve">Control Electronico De Tren De Mando</t>
  </si>
  <si>
    <t xml:space="preserve">Gets</t>
  </si>
  <si>
    <t xml:space="preserve">Implementos Carguio</t>
  </si>
  <si>
    <t xml:space="preserve">Rodado</t>
  </si>
  <si>
    <t xml:space="preserve">Otros Implementos</t>
  </si>
  <si>
    <t xml:space="preserve">Gatos</t>
  </si>
  <si>
    <t xml:space="preserve">Torre</t>
  </si>
  <si>
    <t xml:space="preserve">OVERHAUL</t>
  </si>
  <si>
    <t xml:space="preserve">ESPERA DE REPUESTO</t>
  </si>
  <si>
    <t xml:space="preserve">Inspeccion</t>
  </si>
  <si>
    <t xml:space="preserve">Niveles de fluidos</t>
  </si>
  <si>
    <t xml:space="preserve"> Mando Final</t>
  </si>
  <si>
    <t xml:space="preserve">Inoperativo</t>
  </si>
  <si>
    <t xml:space="preserve">sistema controlsense</t>
  </si>
  <si>
    <t xml:space="preserve">Presion de rotacion</t>
  </si>
  <si>
    <t xml:space="preserve">TREN RODANTE</t>
  </si>
  <si>
    <t xml:space="preserve">Falla en el cabezal</t>
  </si>
  <si>
    <t xml:space="preserve">FALLA EN CIRCUITO DE AGUA</t>
  </si>
  <si>
    <t xml:space="preserve">SISTEMA DE TRANSMISION</t>
  </si>
  <si>
    <t xml:space="preserve">Rotura de cable de pull down</t>
  </si>
  <si>
    <t xml:space="preserve">SISTEMA DE DIRECCION</t>
  </si>
  <si>
    <t xml:space="preserve">Ruptura de Manguera</t>
  </si>
  <si>
    <t xml:space="preserve">BOMBA DE AGUA</t>
  </si>
  <si>
    <t xml:space="preserve">GOMERIA</t>
  </si>
  <si>
    <t xml:space="preserve">Sistema de aire</t>
  </si>
  <si>
    <t xml:space="preserve">SISTEMA DE ENFRIAMIENTO DE FRENO</t>
  </si>
  <si>
    <t xml:space="preserve">Problema Seleccion de marchas</t>
  </si>
  <si>
    <t xml:space="preserve">FUGA DE FLUIDOS</t>
  </si>
  <si>
    <t xml:space="preserve">ESTRUCTURAL</t>
  </si>
  <si>
    <t xml:space="preserve">Condición climática</t>
  </si>
  <si>
    <t xml:space="preserve">INCLINOMETRO</t>
  </si>
  <si>
    <t xml:space="preserve">MOTOR DIESEL POR UREA</t>
  </si>
  <si>
    <t xml:space="preserve">FALTA DE CISTERNA DE COMBUSTIBLE</t>
  </si>
  <si>
    <t xml:space="preserve">Inclinometro</t>
  </si>
  <si>
    <t xml:space="preserve">SISTEMA DE UREA</t>
  </si>
  <si>
    <t xml:space="preserve">BOCINA</t>
  </si>
  <si>
    <t xml:space="preserve">Falla operacional</t>
  </si>
  <si>
    <t xml:space="preserve">FALTA DE UREA</t>
  </si>
  <si>
    <t xml:space="preserve">OUTOFPLAN</t>
  </si>
  <si>
    <t xml:space="preserve">Fuera de plan</t>
  </si>
  <si>
    <t xml:space="preserve">Fleet type</t>
  </si>
  <si>
    <t xml:space="preserve">Fleet category</t>
  </si>
  <si>
    <t xml:space="preserve">Acarreo en Mina</t>
  </si>
  <si>
    <t xml:space="preserve">HD785</t>
  </si>
  <si>
    <t xml:space="preserve">CM401</t>
  </si>
  <si>
    <t xml:space="preserve">CM401 - 36</t>
  </si>
  <si>
    <t xml:space="preserve">CM402</t>
  </si>
  <si>
    <t xml:space="preserve">CM402 - 31</t>
  </si>
  <si>
    <t xml:space="preserve">CM403</t>
  </si>
  <si>
    <t xml:space="preserve">CM403 - 32</t>
  </si>
  <si>
    <t xml:space="preserve">CM404</t>
  </si>
  <si>
    <t xml:space="preserve">CM404 - 34</t>
  </si>
  <si>
    <t xml:space="preserve">CM405</t>
  </si>
  <si>
    <t xml:space="preserve">CM405 - 35</t>
  </si>
  <si>
    <t xml:space="preserve">CM406</t>
  </si>
  <si>
    <t xml:space="preserve">CM406 - 33</t>
  </si>
  <si>
    <t xml:space="preserve">CM407</t>
  </si>
  <si>
    <t xml:space="preserve">CM407 - 66</t>
  </si>
  <si>
    <t xml:space="preserve">SANY1</t>
  </si>
  <si>
    <t xml:space="preserve">SANY1 - 67</t>
  </si>
  <si>
    <t xml:space="preserve">SANY2</t>
  </si>
  <si>
    <t xml:space="preserve">SANY2 - 68</t>
  </si>
  <si>
    <t xml:space="preserve">SANY</t>
  </si>
  <si>
    <t xml:space="preserve">SANY1 - 71</t>
  </si>
  <si>
    <t xml:space="preserve">SANY1 - 80</t>
  </si>
  <si>
    <t xml:space="preserve">SANY2 - 70</t>
  </si>
  <si>
    <t xml:space="preserve">SCANIA</t>
  </si>
  <si>
    <t xml:space="preserve">CM01</t>
  </si>
  <si>
    <t xml:space="preserve">CM01 - 84</t>
  </si>
  <si>
    <t xml:space="preserve">CM02</t>
  </si>
  <si>
    <t xml:space="preserve">CM02 - 85</t>
  </si>
  <si>
    <t xml:space="preserve">CM03</t>
  </si>
  <si>
    <t xml:space="preserve">CM03 - 86</t>
  </si>
  <si>
    <t xml:space="preserve">CM04</t>
  </si>
  <si>
    <t xml:space="preserve">CM04 - 87</t>
  </si>
  <si>
    <t xml:space="preserve">CM05</t>
  </si>
  <si>
    <t xml:space="preserve">CM05 - 88</t>
  </si>
  <si>
    <t xml:space="preserve">CM06</t>
  </si>
  <si>
    <t xml:space="preserve">CM06 - 89</t>
  </si>
  <si>
    <t xml:space="preserve">CM07</t>
  </si>
  <si>
    <t xml:space="preserve">CM07 - 94</t>
  </si>
  <si>
    <t xml:space="preserve">CM07 - 97</t>
  </si>
  <si>
    <t xml:space="preserve">ZOOMLION</t>
  </si>
  <si>
    <t xml:space="preserve">CM106</t>
  </si>
  <si>
    <t xml:space="preserve">CM106 - 93</t>
  </si>
  <si>
    <t xml:space="preserve">ZOOM1</t>
  </si>
  <si>
    <t xml:space="preserve">ZOOM1 - 77</t>
  </si>
  <si>
    <t xml:space="preserve">ZOOM1 - 78</t>
  </si>
  <si>
    <t xml:space="preserve">ZOOM1 - 76</t>
  </si>
  <si>
    <t xml:space="preserve">ZOOM2</t>
  </si>
  <si>
    <t xml:space="preserve">ZOOM2 - 79</t>
  </si>
  <si>
    <t xml:space="preserve">Camión Fábrica</t>
  </si>
  <si>
    <t xml:space="preserve">CamionFabrica</t>
  </si>
  <si>
    <t xml:space="preserve">CP912</t>
  </si>
  <si>
    <t xml:space="preserve">CP912 - 63</t>
  </si>
  <si>
    <t xml:space="preserve">FB704</t>
  </si>
  <si>
    <t xml:space="preserve">FB704 - 64</t>
  </si>
  <si>
    <t xml:space="preserve">FB705</t>
  </si>
  <si>
    <t xml:space="preserve">FB705 - 65</t>
  </si>
  <si>
    <t xml:space="preserve">FB706</t>
  </si>
  <si>
    <t xml:space="preserve">FB706 - 62</t>
  </si>
  <si>
    <t xml:space="preserve">Carguio en Mina</t>
  </si>
  <si>
    <t xml:space="preserve">CAT395</t>
  </si>
  <si>
    <t xml:space="preserve">EX502</t>
  </si>
  <si>
    <t xml:space="preserve">EX502 - 82</t>
  </si>
  <si>
    <t xml:space="preserve">EX503</t>
  </si>
  <si>
    <t xml:space="preserve">EX503 - 96</t>
  </si>
  <si>
    <t xml:space="preserve">EX503 - 95</t>
  </si>
  <si>
    <t xml:space="preserve">EX-800</t>
  </si>
  <si>
    <t xml:space="preserve">EX801</t>
  </si>
  <si>
    <t xml:space="preserve">EX801 - 59</t>
  </si>
  <si>
    <t xml:space="preserve">EX802</t>
  </si>
  <si>
    <t xml:space="preserve">EX802 - 60</t>
  </si>
  <si>
    <t xml:space="preserve">EX803</t>
  </si>
  <si>
    <t xml:space="preserve">EX803 - 90</t>
  </si>
  <si>
    <t xml:space="preserve">EX804</t>
  </si>
  <si>
    <t xml:space="preserve">EX804 - 92</t>
  </si>
  <si>
    <t xml:space="preserve">PC800</t>
  </si>
  <si>
    <t xml:space="preserve">EX501</t>
  </si>
  <si>
    <t xml:space="preserve">EX501 - 45</t>
  </si>
  <si>
    <t xml:space="preserve">WA900</t>
  </si>
  <si>
    <t xml:space="preserve">CF601</t>
  </si>
  <si>
    <t xml:space="preserve">CF601 - 28</t>
  </si>
  <si>
    <t xml:space="preserve">CF602</t>
  </si>
  <si>
    <t xml:space="preserve">CF602 - 29</t>
  </si>
  <si>
    <t xml:space="preserve">Chancadoras</t>
  </si>
  <si>
    <t xml:space="preserve">Ch1</t>
  </si>
  <si>
    <t xml:space="preserve">Ch1 - 47</t>
  </si>
  <si>
    <t xml:space="preserve">Cisterna de Agua</t>
  </si>
  <si>
    <t xml:space="preserve">Cisterna</t>
  </si>
  <si>
    <t xml:space="preserve">CR701</t>
  </si>
  <si>
    <t xml:space="preserve">CR701 - 74</t>
  </si>
  <si>
    <t xml:space="preserve">CR702</t>
  </si>
  <si>
    <t xml:space="preserve">CR702 - 49</t>
  </si>
  <si>
    <t xml:space="preserve">Light Vehicle</t>
  </si>
  <si>
    <t xml:space="preserve">Camioneta</t>
  </si>
  <si>
    <t xml:space="preserve">LT901</t>
  </si>
  <si>
    <t xml:space="preserve">LT901 - 52</t>
  </si>
  <si>
    <t xml:space="preserve">LT902</t>
  </si>
  <si>
    <t xml:space="preserve">LT902 - 57</t>
  </si>
  <si>
    <t xml:space="preserve">LT903</t>
  </si>
  <si>
    <t xml:space="preserve">LT903 - 54</t>
  </si>
  <si>
    <t xml:space="preserve">LT906</t>
  </si>
  <si>
    <t xml:space="preserve">LT906 - 53</t>
  </si>
  <si>
    <t xml:space="preserve">LT910</t>
  </si>
  <si>
    <t xml:space="preserve">LT910 - 55</t>
  </si>
  <si>
    <t xml:space="preserve">LT932</t>
  </si>
  <si>
    <t xml:space="preserve">LT932 - 51</t>
  </si>
  <si>
    <t xml:space="preserve">LT933</t>
  </si>
  <si>
    <t xml:space="preserve">LT933 - 56</t>
  </si>
  <si>
    <t xml:space="preserve">Polvorinera</t>
  </si>
  <si>
    <t xml:space="preserve">CP912 - 73</t>
  </si>
  <si>
    <t xml:space="preserve">Motoniveladora</t>
  </si>
  <si>
    <t xml:space="preserve">GD705</t>
  </si>
  <si>
    <t xml:space="preserve">MO101</t>
  </si>
  <si>
    <t xml:space="preserve">MO101 - 40</t>
  </si>
  <si>
    <t xml:space="preserve">MO102</t>
  </si>
  <si>
    <t xml:space="preserve">MO102 - 41</t>
  </si>
  <si>
    <t xml:space="preserve">Perforadoras</t>
  </si>
  <si>
    <t xml:space="preserve">DML</t>
  </si>
  <si>
    <t xml:space="preserve">PE301</t>
  </si>
  <si>
    <t xml:space="preserve">PE301 - 42</t>
  </si>
  <si>
    <t xml:space="preserve">PE302</t>
  </si>
  <si>
    <t xml:space="preserve">PE302 - 43</t>
  </si>
  <si>
    <t xml:space="preserve">Tractor de Orugas</t>
  </si>
  <si>
    <t xml:space="preserve">D275</t>
  </si>
  <si>
    <t xml:space="preserve">DZ201</t>
  </si>
  <si>
    <t xml:space="preserve">DZ201 - 37</t>
  </si>
  <si>
    <t xml:space="preserve">DZ202</t>
  </si>
  <si>
    <t xml:space="preserve">DZ202 - 38</t>
  </si>
  <si>
    <t xml:space="preserve">DZ205</t>
  </si>
  <si>
    <t xml:space="preserve">DZ205 - 91</t>
  </si>
  <si>
    <t xml:space="preserve">D65</t>
  </si>
  <si>
    <t xml:space="preserve">DZ203</t>
  </si>
  <si>
    <t xml:space="preserve">DZ203 - 39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</si>
</sst>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yyyy/mm/dd"/>
    <numFmt numFmtId="167" formatCode="yyyy/mm/dd\ 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2062"/>
  <sheetViews>
    <sheetView showFormulas="false" showGridLines="true" showRowColHeaders="true" showZeros="true" rightToLeft="false" tabSelected="true" showOutlineSymbols="true" defaultGridColor="true" view="normal" topLeftCell="G1" colorId="64" zoomScale="90" zoomScaleNormal="90" zoomScalePageLayoutView="100" workbookViewId="0">
      <selection pane="topLeft" activeCell="I1330" activeCellId="0" sqref="I13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15.69"/>
    <col collapsed="false" customWidth="true" hidden="false" outlineLevel="0" max="7" min="7" style="0" width="22.05"/>
    <col collapsed="false" customWidth="true" hidden="false" outlineLevel="0" max="9" min="8" style="1" width="27.61"/>
    <col collapsed="false" customWidth="true" hidden="false" outlineLevel="0" max="10" min="10" style="2" width="22.05"/>
    <col collapsed="false" customWidth="true" hidden="false" outlineLevel="0" max="11" min="11" style="0" width="22.05"/>
    <col collapsed="false" customWidth="true" hidden="false" outlineLevel="0" max="12" min="12" style="0" width="5.71"/>
    <col collapsed="false" customWidth="true" hidden="false" outlineLevel="0" max="13" min="13" style="3" width="22.05"/>
    <col collapsed="false" customWidth="true" hidden="false" outlineLevel="0" max="14" min="14" style="3" width="19.77"/>
    <col collapsed="false" customWidth="true" hidden="false" outlineLevel="0" max="15" min="15" style="0" width="19.77"/>
    <col collapsed="false" customWidth="true" hidden="false" outlineLevel="0" max="17" min="16" style="0" width="17.81"/>
  </cols>
  <sheetData>
    <row r="1" s="8" customFormat="true" ht="12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7" t="s">
        <v>12</v>
      </c>
      <c r="N1" s="7"/>
      <c r="O1" s="4"/>
      <c r="P1" s="6" t="s">
        <v>13</v>
      </c>
      <c r="Q1" s="6" t="s">
        <v>14</v>
      </c>
    </row>
    <row r="2" customFormat="false" ht="12.8" hidden="true" customHeight="false" outlineLevel="0" collapsed="false">
      <c r="A2" s="0" t="n">
        <v>466083</v>
      </c>
      <c r="B2" s="0" t="n">
        <v>466083</v>
      </c>
      <c r="C2" s="0" t="n">
        <v>1</v>
      </c>
      <c r="D2" s="0" t="n">
        <v>6</v>
      </c>
      <c r="E2" s="0" t="n">
        <v>2404</v>
      </c>
      <c r="F2" s="0" t="n">
        <v>84</v>
      </c>
      <c r="G2" s="0" t="n">
        <v>138</v>
      </c>
      <c r="H2" s="0" t="s">
        <v>15</v>
      </c>
      <c r="I2" s="0" t="s">
        <v>16</v>
      </c>
      <c r="J2" s="9" t="n">
        <v>45901</v>
      </c>
      <c r="K2" s="0" t="s">
        <v>17</v>
      </c>
      <c r="L2" s="0" t="n">
        <v>7</v>
      </c>
      <c r="M2" s="10" t="n">
        <f aca="false">_xlfn.NUMBERVALUE("" &amp; K2 &amp; "",".",",")</f>
        <v>3.23126077638889</v>
      </c>
      <c r="N2" s="10" t="n">
        <f aca="false">SUM(M:M)</f>
        <v>2290.88320848278</v>
      </c>
      <c r="O2" s="0" t="str">
        <f aca="false">VLOOKUP(C2,statusdetails!$A:$D,4,0)</f>
        <v>READY</v>
      </c>
      <c r="P2" s="0" t="str">
        <f aca="false">VLOOKUP(F2,equipment!$A:$E,4,0)</f>
        <v>CM01</v>
      </c>
      <c r="Q2" s="0" t="str">
        <f aca="false">VLOOKUP(F2,equipment!$A:$E,5,0)</f>
        <v>CM01 - 84</v>
      </c>
    </row>
    <row r="3" customFormat="false" ht="12.8" hidden="true" customHeight="false" outlineLevel="0" collapsed="false">
      <c r="A3" s="0" t="n">
        <v>466084</v>
      </c>
      <c r="B3" s="0" t="n">
        <v>466084</v>
      </c>
      <c r="C3" s="0" t="n">
        <v>1</v>
      </c>
      <c r="D3" s="0" t="n">
        <v>6</v>
      </c>
      <c r="E3" s="0" t="n">
        <v>260</v>
      </c>
      <c r="F3" s="0" t="n">
        <v>34</v>
      </c>
      <c r="G3" s="0" t="n">
        <v>85</v>
      </c>
      <c r="H3" s="0" t="s">
        <v>18</v>
      </c>
      <c r="I3" s="0" t="s">
        <v>19</v>
      </c>
      <c r="J3" s="9" t="n">
        <v>45901</v>
      </c>
      <c r="K3" s="0" t="s">
        <v>20</v>
      </c>
      <c r="L3" s="0" t="n">
        <v>7</v>
      </c>
      <c r="M3" s="10" t="n">
        <f aca="false">_xlfn.NUMBERVALUE("" &amp; K3 &amp; "",".",",")</f>
        <v>0.838105483333333</v>
      </c>
      <c r="N3" s="10" t="n">
        <f aca="false">COUNT(M:M)</f>
        <v>1296</v>
      </c>
      <c r="O3" s="0" t="str">
        <f aca="false">VLOOKUP(C3,statusdetails!$A:$D,4,0)</f>
        <v>READY</v>
      </c>
      <c r="P3" s="0" t="str">
        <f aca="false">VLOOKUP(F3,equipment!$A:$E,4,0)</f>
        <v>CM404</v>
      </c>
      <c r="Q3" s="0" t="str">
        <f aca="false">VLOOKUP(F3,equipment!$A:$E,5,0)</f>
        <v>CM404 - 34</v>
      </c>
    </row>
    <row r="4" customFormat="false" ht="12.8" hidden="true" customHeight="false" outlineLevel="0" collapsed="false">
      <c r="A4" s="0" t="n">
        <v>466085</v>
      </c>
      <c r="B4" s="0" t="n">
        <v>466085</v>
      </c>
      <c r="C4" s="0" t="n">
        <v>1</v>
      </c>
      <c r="D4" s="0" t="n">
        <v>6</v>
      </c>
      <c r="E4" s="0" t="n">
        <v>372</v>
      </c>
      <c r="F4" s="0" t="n">
        <v>91</v>
      </c>
      <c r="G4" s="0" t="n">
        <v>64</v>
      </c>
      <c r="H4" s="0" t="s">
        <v>21</v>
      </c>
      <c r="I4" s="0" t="s">
        <v>22</v>
      </c>
      <c r="J4" s="9" t="n">
        <v>45901</v>
      </c>
      <c r="K4" s="0" t="s">
        <v>23</v>
      </c>
      <c r="L4" s="0" t="n">
        <v>7</v>
      </c>
      <c r="M4" s="10" t="n">
        <f aca="false">_xlfn.NUMBERVALUE("" &amp; K4 &amp; "",".",",")</f>
        <v>0.27956404</v>
      </c>
      <c r="N4" s="10"/>
      <c r="O4" s="0" t="str">
        <f aca="false">VLOOKUP(C4,statusdetails!$A:$D,4,0)</f>
        <v>READY</v>
      </c>
      <c r="P4" s="0" t="str">
        <f aca="false">VLOOKUP(F4,equipment!$A:$E,4,0)</f>
        <v>DZ205</v>
      </c>
      <c r="Q4" s="0" t="str">
        <f aca="false">VLOOKUP(F4,equipment!$A:$E,5,0)</f>
        <v>DZ205 - 91</v>
      </c>
    </row>
    <row r="5" customFormat="false" ht="12.8" hidden="true" customHeight="false" outlineLevel="0" collapsed="false">
      <c r="A5" s="0" t="n">
        <v>466086</v>
      </c>
      <c r="B5" s="0" t="n">
        <v>466086</v>
      </c>
      <c r="C5" s="0" t="n">
        <v>1</v>
      </c>
      <c r="D5" s="0" t="n">
        <v>6</v>
      </c>
      <c r="E5" s="0" t="n">
        <v>586</v>
      </c>
      <c r="F5" s="0" t="n">
        <v>41</v>
      </c>
      <c r="G5" s="0" t="n">
        <v>126</v>
      </c>
      <c r="H5" s="0" t="s">
        <v>24</v>
      </c>
      <c r="I5" s="0" t="s">
        <v>25</v>
      </c>
      <c r="J5" s="9" t="n">
        <v>45901</v>
      </c>
      <c r="K5" s="0" t="s">
        <v>26</v>
      </c>
      <c r="L5" s="0" t="n">
        <v>7</v>
      </c>
      <c r="M5" s="10" t="n">
        <f aca="false">_xlfn.NUMBERVALUE("" &amp; K5 &amp; "",".",",")</f>
        <v>3.94854453555556</v>
      </c>
      <c r="N5" s="10"/>
      <c r="O5" s="0" t="str">
        <f aca="false">VLOOKUP(C5,statusdetails!$A:$D,4,0)</f>
        <v>READY</v>
      </c>
      <c r="P5" s="0" t="str">
        <f aca="false">VLOOKUP(F5,equipment!$A:$E,4,0)</f>
        <v>MO102</v>
      </c>
      <c r="Q5" s="0" t="str">
        <f aca="false">VLOOKUP(F5,equipment!$A:$E,5,0)</f>
        <v>MO102 - 41</v>
      </c>
    </row>
    <row r="6" customFormat="false" ht="12.8" hidden="true" customHeight="false" outlineLevel="0" collapsed="false">
      <c r="A6" s="0" t="n">
        <v>466087</v>
      </c>
      <c r="B6" s="0" t="n">
        <v>466087</v>
      </c>
      <c r="C6" s="0" t="n">
        <v>1</v>
      </c>
      <c r="D6" s="0" t="n">
        <v>6</v>
      </c>
      <c r="E6" s="0" t="n">
        <v>2524</v>
      </c>
      <c r="F6" s="0" t="n">
        <v>74</v>
      </c>
      <c r="G6" s="0" t="n">
        <v>0</v>
      </c>
      <c r="H6" s="0" t="s">
        <v>27</v>
      </c>
      <c r="I6" s="0" t="s">
        <v>28</v>
      </c>
      <c r="J6" s="9" t="n">
        <v>45901</v>
      </c>
      <c r="K6" s="0" t="s">
        <v>29</v>
      </c>
      <c r="L6" s="0" t="n">
        <v>7</v>
      </c>
      <c r="M6" s="10" t="n">
        <f aca="false">_xlfn.NUMBERVALUE("" &amp; K6 &amp; "",".",",")</f>
        <v>5.019587175</v>
      </c>
      <c r="N6" s="10"/>
      <c r="O6" s="0" t="str">
        <f aca="false">VLOOKUP(C6,statusdetails!$A:$D,4,0)</f>
        <v>READY</v>
      </c>
      <c r="P6" s="0" t="str">
        <f aca="false">VLOOKUP(F6,equipment!$A:$E,4,0)</f>
        <v>CR701</v>
      </c>
      <c r="Q6" s="0" t="str">
        <f aca="false">VLOOKUP(F6,equipment!$A:$E,5,0)</f>
        <v>CR701 - 74</v>
      </c>
    </row>
    <row r="7" customFormat="false" ht="12.8" hidden="true" customHeight="false" outlineLevel="0" collapsed="false">
      <c r="A7" s="0" t="n">
        <v>466088</v>
      </c>
      <c r="B7" s="0" t="n">
        <v>466088</v>
      </c>
      <c r="C7" s="0" t="n">
        <v>4</v>
      </c>
      <c r="D7" s="0" t="n">
        <v>15</v>
      </c>
      <c r="E7" s="0" t="n">
        <v>1778</v>
      </c>
      <c r="F7" s="0" t="n">
        <v>91</v>
      </c>
      <c r="G7" s="0" t="n">
        <v>64</v>
      </c>
      <c r="H7" s="0" t="s">
        <v>22</v>
      </c>
      <c r="I7" s="0" t="s">
        <v>30</v>
      </c>
      <c r="J7" s="9" t="n">
        <v>45901</v>
      </c>
      <c r="K7" s="0" t="s">
        <v>31</v>
      </c>
      <c r="L7" s="0" t="n">
        <v>7</v>
      </c>
      <c r="M7" s="10" t="n">
        <f aca="false">_xlfn.NUMBERVALUE("" &amp; K7 &amp; "",".",",")</f>
        <v>3.63433198444444</v>
      </c>
      <c r="N7" s="10" t="n">
        <f aca="false">SUM(M:M)</f>
        <v>2290.88320848278</v>
      </c>
      <c r="O7" s="0" t="str">
        <f aca="false">VLOOKUP(C7,statusdetails!$A:$D,4,0)</f>
        <v>MAINT</v>
      </c>
      <c r="P7" s="0" t="str">
        <f aca="false">VLOOKUP(F7,equipment!$A:$E,4,0)</f>
        <v>DZ205</v>
      </c>
      <c r="Q7" s="0" t="str">
        <f aca="false">VLOOKUP(F7,equipment!$A:$E,5,0)</f>
        <v>DZ205 - 91</v>
      </c>
    </row>
    <row r="8" customFormat="false" ht="12.8" hidden="true" customHeight="false" outlineLevel="0" collapsed="false">
      <c r="A8" s="0" t="n">
        <v>466089</v>
      </c>
      <c r="B8" s="0" t="n">
        <v>466089</v>
      </c>
      <c r="C8" s="0" t="n">
        <v>1</v>
      </c>
      <c r="D8" s="0" t="n">
        <v>6</v>
      </c>
      <c r="E8" s="0" t="n">
        <v>372</v>
      </c>
      <c r="F8" s="0" t="n">
        <v>37</v>
      </c>
      <c r="G8" s="0" t="n">
        <v>74</v>
      </c>
      <c r="H8" s="0" t="s">
        <v>32</v>
      </c>
      <c r="I8" s="0" t="s">
        <v>33</v>
      </c>
      <c r="J8" s="9" t="n">
        <v>45901</v>
      </c>
      <c r="K8" s="0" t="s">
        <v>34</v>
      </c>
      <c r="L8" s="0" t="n">
        <v>7</v>
      </c>
      <c r="M8" s="10" t="n">
        <f aca="false">_xlfn.NUMBERVALUE("" &amp; K8 &amp; "",".",",")</f>
        <v>4.46427012444444</v>
      </c>
      <c r="N8" s="10"/>
      <c r="O8" s="0" t="str">
        <f aca="false">VLOOKUP(C8,statusdetails!$A:$D,4,0)</f>
        <v>READY</v>
      </c>
      <c r="P8" s="0" t="str">
        <f aca="false">VLOOKUP(F8,equipment!$A:$E,4,0)</f>
        <v>DZ201</v>
      </c>
      <c r="Q8" s="0" t="str">
        <f aca="false">VLOOKUP(F8,equipment!$A:$E,5,0)</f>
        <v>DZ201 - 37</v>
      </c>
    </row>
    <row r="9" customFormat="false" ht="12.8" hidden="true" customHeight="false" outlineLevel="0" collapsed="false">
      <c r="A9" s="0" t="n">
        <v>466090</v>
      </c>
      <c r="B9" s="0" t="n">
        <v>466090</v>
      </c>
      <c r="C9" s="0" t="n">
        <v>2</v>
      </c>
      <c r="D9" s="0" t="n">
        <v>7</v>
      </c>
      <c r="E9" s="0" t="n">
        <v>821</v>
      </c>
      <c r="F9" s="0" t="n">
        <v>42</v>
      </c>
      <c r="G9" s="0" t="n">
        <v>5</v>
      </c>
      <c r="H9" s="0" t="s">
        <v>35</v>
      </c>
      <c r="I9" s="0" t="s">
        <v>36</v>
      </c>
      <c r="J9" s="9" t="n">
        <v>45901</v>
      </c>
      <c r="K9" s="0" t="s">
        <v>37</v>
      </c>
      <c r="L9" s="0" t="n">
        <v>7</v>
      </c>
      <c r="M9" s="3" t="n">
        <f aca="false">_xlfn.NUMBERVALUE("" &amp; K9 &amp; "",".",",")</f>
        <v>0.1460725</v>
      </c>
      <c r="N9" s="3" t="n">
        <f aca="false">SUM(M:M)</f>
        <v>2290.88320848278</v>
      </c>
      <c r="O9" s="0" t="str">
        <f aca="false">VLOOKUP(C9,statusdetails!$A:$D,4,0)</f>
        <v>DELAY</v>
      </c>
      <c r="P9" s="0" t="str">
        <f aca="false">VLOOKUP(F9,equipment!$A:$E,4,0)</f>
        <v>PE301</v>
      </c>
      <c r="Q9" s="0" t="str">
        <f aca="false">VLOOKUP(F9,equipment!$A:$E,5,0)</f>
        <v>PE301 - 42</v>
      </c>
    </row>
    <row r="10" customFormat="false" ht="12.8" hidden="true" customHeight="false" outlineLevel="0" collapsed="false">
      <c r="A10" s="0" t="n">
        <v>466091</v>
      </c>
      <c r="B10" s="0" t="n">
        <v>466091</v>
      </c>
      <c r="C10" s="0" t="n">
        <v>1</v>
      </c>
      <c r="D10" s="0" t="n">
        <v>6</v>
      </c>
      <c r="E10" s="0" t="n">
        <v>811</v>
      </c>
      <c r="F10" s="0" t="n">
        <v>42</v>
      </c>
      <c r="G10" s="0" t="n">
        <v>5</v>
      </c>
      <c r="H10" s="0" t="s">
        <v>36</v>
      </c>
      <c r="I10" s="0" t="s">
        <v>38</v>
      </c>
      <c r="J10" s="9" t="n">
        <v>45901</v>
      </c>
      <c r="K10" s="0" t="s">
        <v>39</v>
      </c>
      <c r="L10" s="0" t="n">
        <v>7</v>
      </c>
      <c r="M10" s="10" t="n">
        <f aca="false">_xlfn.NUMBERVALUE("" &amp; K10 &amp; "",".",",")</f>
        <v>0.977083611111111</v>
      </c>
      <c r="N10" s="10"/>
      <c r="O10" s="0" t="str">
        <f aca="false">VLOOKUP(C10,statusdetails!$A:$D,4,0)</f>
        <v>READY</v>
      </c>
      <c r="P10" s="0" t="str">
        <f aca="false">VLOOKUP(F10,equipment!$A:$E,4,0)</f>
        <v>PE301</v>
      </c>
      <c r="Q10" s="0" t="str">
        <f aca="false">VLOOKUP(F10,equipment!$A:$E,5,0)</f>
        <v>PE301 - 42</v>
      </c>
    </row>
    <row r="11" customFormat="false" ht="12.8" hidden="true" customHeight="false" outlineLevel="0" collapsed="false">
      <c r="A11" s="0" t="n">
        <v>466092</v>
      </c>
      <c r="B11" s="0" t="n">
        <v>466092</v>
      </c>
      <c r="C11" s="0" t="n">
        <v>4</v>
      </c>
      <c r="D11" s="0" t="n">
        <v>16</v>
      </c>
      <c r="E11" s="0" t="n">
        <v>368</v>
      </c>
      <c r="F11" s="0" t="n">
        <v>34</v>
      </c>
      <c r="G11" s="0" t="n">
        <v>119</v>
      </c>
      <c r="H11" s="0" t="s">
        <v>19</v>
      </c>
      <c r="I11" s="0" t="s">
        <v>40</v>
      </c>
      <c r="J11" s="9" t="n">
        <v>45901</v>
      </c>
      <c r="K11" s="0" t="s">
        <v>41</v>
      </c>
      <c r="L11" s="0" t="n">
        <v>7</v>
      </c>
      <c r="M11" s="10" t="n">
        <f aca="false">_xlfn.NUMBERVALUE("" &amp; K11 &amp; "",".",",")</f>
        <v>0.0408939444444444</v>
      </c>
      <c r="N11" s="10" t="n">
        <f aca="false">COUNT(M:M)</f>
        <v>1296</v>
      </c>
      <c r="O11" s="0" t="str">
        <f aca="false">VLOOKUP(C11,statusdetails!$A:$D,4,0)</f>
        <v>MAINT</v>
      </c>
      <c r="P11" s="0" t="str">
        <f aca="false">VLOOKUP(F11,equipment!$A:$E,4,0)</f>
        <v>CM404</v>
      </c>
      <c r="Q11" s="0" t="str">
        <f aca="false">VLOOKUP(F11,equipment!$A:$E,5,0)</f>
        <v>CM404 - 34</v>
      </c>
    </row>
    <row r="12" customFormat="false" ht="12.8" hidden="true" customHeight="false" outlineLevel="0" collapsed="false">
      <c r="A12" s="0" t="n">
        <v>466093</v>
      </c>
      <c r="B12" s="0" t="n">
        <v>466093</v>
      </c>
      <c r="C12" s="0" t="n">
        <v>1</v>
      </c>
      <c r="D12" s="0" t="n">
        <v>6</v>
      </c>
      <c r="E12" s="0" t="n">
        <v>260</v>
      </c>
      <c r="F12" s="0" t="n">
        <v>34</v>
      </c>
      <c r="G12" s="0" t="n">
        <v>119</v>
      </c>
      <c r="H12" s="0" t="s">
        <v>40</v>
      </c>
      <c r="I12" s="0" t="s">
        <v>42</v>
      </c>
      <c r="J12" s="9" t="n">
        <v>45901</v>
      </c>
      <c r="K12" s="0" t="s">
        <v>43</v>
      </c>
      <c r="L12" s="0" t="n">
        <v>7</v>
      </c>
      <c r="M12" s="10" t="n">
        <f aca="false">_xlfn.NUMBERVALUE("" &amp; K12 &amp; "",".",",")</f>
        <v>0.0479788716666667</v>
      </c>
      <c r="N12" s="10"/>
      <c r="O12" s="0" t="str">
        <f aca="false">VLOOKUP(C12,statusdetails!$A:$D,4,0)</f>
        <v>READY</v>
      </c>
      <c r="P12" s="0" t="str">
        <f aca="false">VLOOKUP(F12,equipment!$A:$E,4,0)</f>
        <v>CM404</v>
      </c>
      <c r="Q12" s="0" t="str">
        <f aca="false">VLOOKUP(F12,equipment!$A:$E,5,0)</f>
        <v>CM404 - 34</v>
      </c>
    </row>
    <row r="13" customFormat="false" ht="12.8" hidden="true" customHeight="false" outlineLevel="0" collapsed="false">
      <c r="A13" s="0" t="n">
        <v>466094</v>
      </c>
      <c r="B13" s="0" t="n">
        <v>466094</v>
      </c>
      <c r="C13" s="0" t="n">
        <v>4</v>
      </c>
      <c r="D13" s="0" t="n">
        <v>16</v>
      </c>
      <c r="E13" s="0" t="n">
        <v>368</v>
      </c>
      <c r="F13" s="0" t="n">
        <v>34</v>
      </c>
      <c r="G13" s="0" t="n">
        <v>119</v>
      </c>
      <c r="H13" s="0" t="s">
        <v>42</v>
      </c>
      <c r="I13" s="0" t="s">
        <v>44</v>
      </c>
      <c r="J13" s="9" t="n">
        <v>45901</v>
      </c>
      <c r="K13" s="0" t="s">
        <v>45</v>
      </c>
      <c r="L13" s="0" t="n">
        <v>7</v>
      </c>
      <c r="M13" s="10" t="n">
        <f aca="false">_xlfn.NUMBERVALUE("" &amp; K13 &amp; "",".",",")</f>
        <v>0.655507285555555</v>
      </c>
      <c r="N13" s="10"/>
      <c r="O13" s="0" t="str">
        <f aca="false">VLOOKUP(C13,statusdetails!$A:$D,4,0)</f>
        <v>MAINT</v>
      </c>
      <c r="P13" s="0" t="str">
        <f aca="false">VLOOKUP(F13,equipment!$A:$E,4,0)</f>
        <v>CM404</v>
      </c>
      <c r="Q13" s="0" t="str">
        <f aca="false">VLOOKUP(F13,equipment!$A:$E,5,0)</f>
        <v>CM404 - 34</v>
      </c>
    </row>
    <row r="14" customFormat="false" ht="12.8" hidden="true" customHeight="false" outlineLevel="0" collapsed="false">
      <c r="A14" s="0" t="n">
        <v>466095</v>
      </c>
      <c r="B14" s="0" t="n">
        <v>466095</v>
      </c>
      <c r="C14" s="0" t="n">
        <v>4</v>
      </c>
      <c r="D14" s="0" t="n">
        <v>16</v>
      </c>
      <c r="E14" s="0" t="n">
        <v>2459</v>
      </c>
      <c r="F14" s="0" t="n">
        <v>86</v>
      </c>
      <c r="G14" s="0" t="n">
        <v>142</v>
      </c>
      <c r="H14" s="0" t="s">
        <v>46</v>
      </c>
      <c r="I14" s="0" t="s">
        <v>47</v>
      </c>
      <c r="J14" s="9" t="n">
        <v>45901</v>
      </c>
      <c r="K14" s="0" t="s">
        <v>48</v>
      </c>
      <c r="L14" s="0" t="n">
        <v>8</v>
      </c>
      <c r="M14" s="10" t="n">
        <f aca="false">_xlfn.NUMBERVALUE("" &amp; K14 &amp; "",".",",")</f>
        <v>10.3511161083333</v>
      </c>
      <c r="N14" s="10"/>
      <c r="O14" s="0" t="str">
        <f aca="false">VLOOKUP(C14,statusdetails!$A:$D,4,0)</f>
        <v>MAINT</v>
      </c>
      <c r="P14" s="0" t="str">
        <f aca="false">VLOOKUP(F14,equipment!$A:$E,4,0)</f>
        <v>CM03</v>
      </c>
      <c r="Q14" s="0" t="str">
        <f aca="false">VLOOKUP(F14,equipment!$A:$E,5,0)</f>
        <v>CM03 - 86</v>
      </c>
    </row>
    <row r="15" customFormat="false" ht="12.8" hidden="true" customHeight="false" outlineLevel="0" collapsed="false">
      <c r="A15" s="0" t="n">
        <v>466096</v>
      </c>
      <c r="B15" s="0" t="n">
        <v>466096</v>
      </c>
      <c r="C15" s="0" t="n">
        <v>3</v>
      </c>
      <c r="D15" s="0" t="n">
        <v>12</v>
      </c>
      <c r="E15" s="0" t="n">
        <v>1012</v>
      </c>
      <c r="F15" s="0" t="n">
        <v>42</v>
      </c>
      <c r="G15" s="0" t="n">
        <v>5</v>
      </c>
      <c r="H15" s="0" t="s">
        <v>38</v>
      </c>
      <c r="I15" s="0" t="s">
        <v>49</v>
      </c>
      <c r="J15" s="9" t="n">
        <v>45901</v>
      </c>
      <c r="K15" s="0" t="s">
        <v>50</v>
      </c>
      <c r="L15" s="0" t="n">
        <v>8</v>
      </c>
      <c r="M15" s="10" t="n">
        <f aca="false">_xlfn.NUMBERVALUE("" &amp; K15 &amp; "",".",",")</f>
        <v>9.41646972222222</v>
      </c>
      <c r="N15" s="10" t="n">
        <f aca="false">SUM(M:M)</f>
        <v>2290.88320848278</v>
      </c>
      <c r="O15" s="0" t="str">
        <f aca="false">VLOOKUP(C15,statusdetails!$A:$D,4,0)</f>
        <v>STANDBY</v>
      </c>
      <c r="P15" s="0" t="str">
        <f aca="false">VLOOKUP(F15,equipment!$A:$E,4,0)</f>
        <v>PE301</v>
      </c>
      <c r="Q15" s="0" t="str">
        <f aca="false">VLOOKUP(F15,equipment!$A:$E,5,0)</f>
        <v>PE301 - 42</v>
      </c>
    </row>
    <row r="16" customFormat="false" ht="12.8" hidden="true" customHeight="false" outlineLevel="0" collapsed="false">
      <c r="A16" s="0" t="n">
        <v>466097</v>
      </c>
      <c r="B16" s="0" t="n">
        <v>466097</v>
      </c>
      <c r="C16" s="0" t="n">
        <v>4</v>
      </c>
      <c r="D16" s="0" t="n">
        <v>16</v>
      </c>
      <c r="E16" s="0" t="n">
        <v>966</v>
      </c>
      <c r="F16" s="0" t="n">
        <v>34</v>
      </c>
      <c r="G16" s="0" t="n">
        <v>119</v>
      </c>
      <c r="H16" s="0" t="s">
        <v>44</v>
      </c>
      <c r="I16" s="0" t="s">
        <v>51</v>
      </c>
      <c r="J16" s="9" t="n">
        <v>45901</v>
      </c>
      <c r="K16" s="0" t="s">
        <v>52</v>
      </c>
      <c r="L16" s="0" t="n">
        <v>8</v>
      </c>
      <c r="M16" s="10" t="n">
        <f aca="false">_xlfn.NUMBERVALUE("" &amp; K16 &amp; "",".",",")</f>
        <v>5.71618650722222</v>
      </c>
      <c r="N16" s="10"/>
      <c r="O16" s="0" t="str">
        <f aca="false">VLOOKUP(C16,statusdetails!$A:$D,4,0)</f>
        <v>MAINT</v>
      </c>
      <c r="P16" s="0" t="str">
        <f aca="false">VLOOKUP(F16,equipment!$A:$E,4,0)</f>
        <v>CM404</v>
      </c>
      <c r="Q16" s="0" t="str">
        <f aca="false">VLOOKUP(F16,equipment!$A:$E,5,0)</f>
        <v>CM404 - 34</v>
      </c>
    </row>
    <row r="17" customFormat="false" ht="12.8" hidden="true" customHeight="false" outlineLevel="0" collapsed="false">
      <c r="A17" s="0" t="n">
        <v>466098</v>
      </c>
      <c r="B17" s="0" t="n">
        <v>466098</v>
      </c>
      <c r="C17" s="0" t="n">
        <v>1</v>
      </c>
      <c r="D17" s="0" t="n">
        <v>6</v>
      </c>
      <c r="E17" s="0" t="n">
        <v>811</v>
      </c>
      <c r="F17" s="0" t="n">
        <v>43</v>
      </c>
      <c r="G17" s="0" t="n">
        <v>5</v>
      </c>
      <c r="H17" s="0" t="s">
        <v>53</v>
      </c>
      <c r="I17" s="0" t="s">
        <v>54</v>
      </c>
      <c r="J17" s="9" t="n">
        <v>45901</v>
      </c>
      <c r="K17" s="0" t="s">
        <v>55</v>
      </c>
      <c r="L17" s="0" t="n">
        <v>8</v>
      </c>
      <c r="M17" s="10" t="n">
        <f aca="false">_xlfn.NUMBERVALUE("" &amp; K17 &amp; "",".",",")</f>
        <v>0.803444765555556</v>
      </c>
      <c r="N17" s="10"/>
      <c r="O17" s="0" t="str">
        <f aca="false">VLOOKUP(C17,statusdetails!$A:$D,4,0)</f>
        <v>READY</v>
      </c>
      <c r="P17" s="0" t="str">
        <f aca="false">VLOOKUP(F17,equipment!$A:$E,4,0)</f>
        <v>PE302</v>
      </c>
      <c r="Q17" s="0" t="str">
        <f aca="false">VLOOKUP(F17,equipment!$A:$E,5,0)</f>
        <v>PE302 - 43</v>
      </c>
    </row>
    <row r="18" customFormat="false" ht="12.8" hidden="true" customHeight="false" outlineLevel="0" collapsed="false">
      <c r="A18" s="0" t="n">
        <v>466099</v>
      </c>
      <c r="B18" s="0" t="n">
        <v>466099</v>
      </c>
      <c r="C18" s="0" t="n">
        <v>4</v>
      </c>
      <c r="D18" s="0" t="n">
        <v>15</v>
      </c>
      <c r="E18" s="0" t="n">
        <v>1777</v>
      </c>
      <c r="F18" s="0" t="n">
        <v>49</v>
      </c>
      <c r="G18" s="0" t="n">
        <v>0</v>
      </c>
      <c r="H18" s="0" t="s">
        <v>56</v>
      </c>
      <c r="I18" s="0" t="s">
        <v>57</v>
      </c>
      <c r="J18" s="9" t="n">
        <v>45901</v>
      </c>
      <c r="K18" s="0" t="s">
        <v>58</v>
      </c>
      <c r="L18" s="0" t="n">
        <v>8</v>
      </c>
      <c r="M18" s="10" t="n">
        <f aca="false">_xlfn.NUMBERVALUE("" &amp; K18 &amp; "",".",",")</f>
        <v>4.33268552416667</v>
      </c>
      <c r="N18" s="10"/>
      <c r="O18" s="0" t="str">
        <f aca="false">VLOOKUP(C18,statusdetails!$A:$D,4,0)</f>
        <v>MAINT</v>
      </c>
      <c r="P18" s="0" t="str">
        <f aca="false">VLOOKUP(F18,equipment!$A:$E,4,0)</f>
        <v>CR702</v>
      </c>
      <c r="Q18" s="0" t="str">
        <f aca="false">VLOOKUP(F18,equipment!$A:$E,5,0)</f>
        <v>CR702 - 49</v>
      </c>
    </row>
    <row r="19" customFormat="false" ht="12.8" hidden="true" customHeight="false" outlineLevel="0" collapsed="false">
      <c r="A19" s="0" t="n">
        <v>466100</v>
      </c>
      <c r="B19" s="0" t="n">
        <v>466100</v>
      </c>
      <c r="C19" s="0" t="n">
        <v>2</v>
      </c>
      <c r="D19" s="0" t="n">
        <v>7</v>
      </c>
      <c r="E19" s="0" t="n">
        <v>1494</v>
      </c>
      <c r="F19" s="0" t="n">
        <v>60</v>
      </c>
      <c r="G19" s="0" t="n">
        <v>164</v>
      </c>
      <c r="H19" s="0" t="s">
        <v>59</v>
      </c>
      <c r="I19" s="0" t="s">
        <v>60</v>
      </c>
      <c r="J19" s="9" t="n">
        <v>45901</v>
      </c>
      <c r="K19" s="0" t="s">
        <v>61</v>
      </c>
      <c r="L19" s="0" t="n">
        <v>8</v>
      </c>
      <c r="M19" s="3" t="n">
        <f aca="false">_xlfn.NUMBERVALUE("" &amp; K19 &amp; "",".",",")</f>
        <v>0.168714099722222</v>
      </c>
      <c r="N19" s="3" t="n">
        <f aca="false">COUNT(M:M)</f>
        <v>1296</v>
      </c>
      <c r="O19" s="0" t="str">
        <f aca="false">VLOOKUP(C19,statusdetails!$A:$D,4,0)</f>
        <v>DELAY</v>
      </c>
      <c r="P19" s="0" t="str">
        <f aca="false">VLOOKUP(F19,equipment!$A:$E,4,0)</f>
        <v>EX802</v>
      </c>
      <c r="Q19" s="0" t="str">
        <f aca="false">VLOOKUP(F19,equipment!$A:$E,5,0)</f>
        <v>EX802 - 60</v>
      </c>
    </row>
    <row r="20" customFormat="false" ht="12.8" hidden="true" customHeight="false" outlineLevel="0" collapsed="false">
      <c r="A20" s="0" t="n">
        <v>466101</v>
      </c>
      <c r="B20" s="0" t="n">
        <v>466101</v>
      </c>
      <c r="C20" s="0" t="n">
        <v>2</v>
      </c>
      <c r="D20" s="0" t="n">
        <v>7</v>
      </c>
      <c r="E20" s="0" t="n">
        <v>1026</v>
      </c>
      <c r="F20" s="0" t="n">
        <v>32</v>
      </c>
      <c r="G20" s="0" t="n">
        <v>113</v>
      </c>
      <c r="H20" s="0" t="s">
        <v>62</v>
      </c>
      <c r="I20" s="0" t="s">
        <v>63</v>
      </c>
      <c r="J20" s="9" t="n">
        <v>45901</v>
      </c>
      <c r="K20" s="0" t="s">
        <v>64</v>
      </c>
      <c r="L20" s="0" t="n">
        <v>8</v>
      </c>
      <c r="M20" s="3" t="n">
        <f aca="false">_xlfn.NUMBERVALUE("" &amp; K20 &amp; "",".",",")</f>
        <v>0.1331425</v>
      </c>
      <c r="O20" s="0" t="str">
        <f aca="false">VLOOKUP(C20,statusdetails!$A:$D,4,0)</f>
        <v>DELAY</v>
      </c>
      <c r="P20" s="0" t="str">
        <f aca="false">VLOOKUP(F20,equipment!$A:$E,4,0)</f>
        <v>CM403</v>
      </c>
      <c r="Q20" s="0" t="str">
        <f aca="false">VLOOKUP(F20,equipment!$A:$E,5,0)</f>
        <v>CM403 - 32</v>
      </c>
    </row>
    <row r="21" customFormat="false" ht="12.8" hidden="true" customHeight="false" outlineLevel="0" collapsed="false">
      <c r="A21" s="0" t="n">
        <v>466102</v>
      </c>
      <c r="B21" s="0" t="n">
        <v>466102</v>
      </c>
      <c r="C21" s="0" t="n">
        <v>1</v>
      </c>
      <c r="D21" s="0" t="n">
        <v>6</v>
      </c>
      <c r="E21" s="0" t="n">
        <v>260</v>
      </c>
      <c r="F21" s="0" t="n">
        <v>32</v>
      </c>
      <c r="G21" s="0" t="n">
        <v>113</v>
      </c>
      <c r="H21" s="0" t="s">
        <v>63</v>
      </c>
      <c r="I21" s="0" t="s">
        <v>65</v>
      </c>
      <c r="J21" s="9" t="n">
        <v>45901</v>
      </c>
      <c r="K21" s="0" t="s">
        <v>66</v>
      </c>
      <c r="L21" s="0" t="n">
        <v>9</v>
      </c>
      <c r="M21" s="10" t="n">
        <f aca="false">_xlfn.NUMBERVALUE("" &amp; K21 &amp; "",".",",")</f>
        <v>1.58167348111111</v>
      </c>
      <c r="N21" s="10"/>
      <c r="O21" s="0" t="str">
        <f aca="false">VLOOKUP(C21,statusdetails!$A:$D,4,0)</f>
        <v>READY</v>
      </c>
      <c r="P21" s="0" t="str">
        <f aca="false">VLOOKUP(F21,equipment!$A:$E,4,0)</f>
        <v>CM403</v>
      </c>
      <c r="Q21" s="0" t="str">
        <f aca="false">VLOOKUP(F21,equipment!$A:$E,5,0)</f>
        <v>CM403 - 32</v>
      </c>
    </row>
    <row r="22" customFormat="false" ht="12.8" hidden="true" customHeight="false" outlineLevel="0" collapsed="false">
      <c r="A22" s="0" t="n">
        <v>466103</v>
      </c>
      <c r="B22" s="0" t="n">
        <v>466103</v>
      </c>
      <c r="C22" s="0" t="n">
        <v>1</v>
      </c>
      <c r="D22" s="0" t="n">
        <v>6</v>
      </c>
      <c r="E22" s="0" t="n">
        <v>1397</v>
      </c>
      <c r="F22" s="0" t="n">
        <v>60</v>
      </c>
      <c r="G22" s="0" t="n">
        <v>164</v>
      </c>
      <c r="H22" s="0" t="s">
        <v>60</v>
      </c>
      <c r="I22" s="0" t="s">
        <v>67</v>
      </c>
      <c r="J22" s="9" t="n">
        <v>45901</v>
      </c>
      <c r="K22" s="0" t="s">
        <v>68</v>
      </c>
      <c r="L22" s="0" t="n">
        <v>9</v>
      </c>
      <c r="M22" s="10" t="n">
        <f aca="false">_xlfn.NUMBERVALUE("" &amp; K22 &amp; "",".",",")</f>
        <v>1.52843031611111</v>
      </c>
      <c r="N22" s="10"/>
      <c r="O22" s="0" t="str">
        <f aca="false">VLOOKUP(C22,statusdetails!$A:$D,4,0)</f>
        <v>READY</v>
      </c>
      <c r="P22" s="0" t="str">
        <f aca="false">VLOOKUP(F22,equipment!$A:$E,4,0)</f>
        <v>EX802</v>
      </c>
      <c r="Q22" s="0" t="str">
        <f aca="false">VLOOKUP(F22,equipment!$A:$E,5,0)</f>
        <v>EX802 - 60</v>
      </c>
    </row>
    <row r="23" customFormat="false" ht="12.8" hidden="true" customHeight="false" outlineLevel="0" collapsed="false">
      <c r="A23" s="0" t="n">
        <v>466104</v>
      </c>
      <c r="B23" s="0" t="n">
        <v>466104</v>
      </c>
      <c r="C23" s="0" t="n">
        <v>2</v>
      </c>
      <c r="D23" s="0" t="n">
        <v>7</v>
      </c>
      <c r="E23" s="0" t="n">
        <v>815</v>
      </c>
      <c r="F23" s="0" t="n">
        <v>43</v>
      </c>
      <c r="G23" s="0" t="n">
        <v>5</v>
      </c>
      <c r="H23" s="0" t="s">
        <v>54</v>
      </c>
      <c r="I23" s="0" t="s">
        <v>69</v>
      </c>
      <c r="J23" s="9" t="n">
        <v>45901</v>
      </c>
      <c r="K23" s="0" t="s">
        <v>70</v>
      </c>
      <c r="L23" s="0" t="n">
        <v>9</v>
      </c>
      <c r="M23" s="3" t="n">
        <f aca="false">_xlfn.NUMBERVALUE("" &amp; K23 &amp; "",".",",")</f>
        <v>0.179916531944444</v>
      </c>
      <c r="O23" s="0" t="str">
        <f aca="false">VLOOKUP(C23,statusdetails!$A:$D,4,0)</f>
        <v>DELAY</v>
      </c>
      <c r="P23" s="0" t="str">
        <f aca="false">VLOOKUP(F23,equipment!$A:$E,4,0)</f>
        <v>PE302</v>
      </c>
      <c r="Q23" s="0" t="str">
        <f aca="false">VLOOKUP(F23,equipment!$A:$E,5,0)</f>
        <v>PE302 - 43</v>
      </c>
    </row>
    <row r="24" customFormat="false" ht="12.8" hidden="true" customHeight="false" outlineLevel="0" collapsed="false">
      <c r="A24" s="0" t="n">
        <v>466105</v>
      </c>
      <c r="B24" s="0" t="n">
        <v>466105</v>
      </c>
      <c r="C24" s="0" t="n">
        <v>1</v>
      </c>
      <c r="D24" s="0" t="n">
        <v>6</v>
      </c>
      <c r="E24" s="0" t="n">
        <v>811</v>
      </c>
      <c r="F24" s="0" t="n">
        <v>43</v>
      </c>
      <c r="G24" s="0" t="n">
        <v>5</v>
      </c>
      <c r="H24" s="0" t="s">
        <v>69</v>
      </c>
      <c r="I24" s="0" t="s">
        <v>71</v>
      </c>
      <c r="J24" s="9" t="n">
        <v>45901</v>
      </c>
      <c r="K24" s="0" t="s">
        <v>72</v>
      </c>
      <c r="L24" s="0" t="n">
        <v>9</v>
      </c>
      <c r="M24" s="10" t="n">
        <f aca="false">_xlfn.NUMBERVALUE("" &amp; K24 &amp; "",".",",")</f>
        <v>1.48478752722222</v>
      </c>
      <c r="N24" s="10"/>
      <c r="O24" s="0" t="str">
        <f aca="false">VLOOKUP(C24,statusdetails!$A:$D,4,0)</f>
        <v>READY</v>
      </c>
      <c r="P24" s="0" t="str">
        <f aca="false">VLOOKUP(F24,equipment!$A:$E,4,0)</f>
        <v>PE302</v>
      </c>
      <c r="Q24" s="0" t="str">
        <f aca="false">VLOOKUP(F24,equipment!$A:$E,5,0)</f>
        <v>PE302 - 43</v>
      </c>
    </row>
    <row r="25" customFormat="false" ht="12.8" hidden="true" customHeight="false" outlineLevel="0" collapsed="false">
      <c r="A25" s="0" t="n">
        <v>466106</v>
      </c>
      <c r="B25" s="0" t="n">
        <v>466106</v>
      </c>
      <c r="C25" s="0" t="n">
        <v>2</v>
      </c>
      <c r="D25" s="0" t="n">
        <v>9</v>
      </c>
      <c r="E25" s="0" t="n">
        <v>2515</v>
      </c>
      <c r="F25" s="0" t="n">
        <v>85</v>
      </c>
      <c r="G25" s="0" t="n">
        <v>22</v>
      </c>
      <c r="H25" s="0" t="s">
        <v>73</v>
      </c>
      <c r="I25" s="0" t="s">
        <v>74</v>
      </c>
      <c r="J25" s="9" t="n">
        <v>45901</v>
      </c>
      <c r="K25" s="0" t="s">
        <v>75</v>
      </c>
      <c r="L25" s="0" t="n">
        <v>10</v>
      </c>
      <c r="M25" s="3" t="n">
        <f aca="false">_xlfn.NUMBERVALUE("" &amp; K25 &amp; "",".",",")</f>
        <v>0.0235142780555556</v>
      </c>
      <c r="O25" s="0" t="str">
        <f aca="false">VLOOKUP(C25,statusdetails!$A:$D,4,0)</f>
        <v>DELAY</v>
      </c>
      <c r="P25" s="0" t="str">
        <f aca="false">VLOOKUP(F25,equipment!$A:$E,4,0)</f>
        <v>CM02</v>
      </c>
      <c r="Q25" s="0" t="str">
        <f aca="false">VLOOKUP(F25,equipment!$A:$E,5,0)</f>
        <v>CM02 - 85</v>
      </c>
    </row>
    <row r="26" customFormat="false" ht="12.8" hidden="true" customHeight="false" outlineLevel="0" collapsed="false">
      <c r="A26" s="0" t="n">
        <v>466107</v>
      </c>
      <c r="B26" s="0" t="n">
        <v>466107</v>
      </c>
      <c r="C26" s="0" t="n">
        <v>1</v>
      </c>
      <c r="D26" s="0" t="n">
        <v>6</v>
      </c>
      <c r="E26" s="0" t="n">
        <v>2404</v>
      </c>
      <c r="F26" s="0" t="n">
        <v>85</v>
      </c>
      <c r="G26" s="0" t="n">
        <v>22</v>
      </c>
      <c r="H26" s="0" t="s">
        <v>74</v>
      </c>
      <c r="I26" s="0" t="s">
        <v>76</v>
      </c>
      <c r="J26" s="9" t="n">
        <v>45901</v>
      </c>
      <c r="K26" s="0" t="s">
        <v>77</v>
      </c>
      <c r="L26" s="0" t="n">
        <v>10</v>
      </c>
      <c r="M26" s="10" t="n">
        <f aca="false">_xlfn.NUMBERVALUE("" &amp; K26 &amp; "",".",",")</f>
        <v>1.33439431305556</v>
      </c>
      <c r="N26" s="10"/>
      <c r="O26" s="0" t="str">
        <f aca="false">VLOOKUP(C26,statusdetails!$A:$D,4,0)</f>
        <v>READY</v>
      </c>
      <c r="P26" s="0" t="str">
        <f aca="false">VLOOKUP(F26,equipment!$A:$E,4,0)</f>
        <v>CM02</v>
      </c>
      <c r="Q26" s="0" t="str">
        <f aca="false">VLOOKUP(F26,equipment!$A:$E,5,0)</f>
        <v>CM02 - 85</v>
      </c>
    </row>
    <row r="27" customFormat="false" ht="12.8" hidden="true" customHeight="false" outlineLevel="0" collapsed="false">
      <c r="A27" s="0" t="n">
        <v>466108</v>
      </c>
      <c r="B27" s="0" t="n">
        <v>466108</v>
      </c>
      <c r="C27" s="0" t="n">
        <v>2</v>
      </c>
      <c r="D27" s="0" t="n">
        <v>9</v>
      </c>
      <c r="E27" s="0" t="n">
        <v>2512</v>
      </c>
      <c r="F27" s="0" t="n">
        <v>84</v>
      </c>
      <c r="G27" s="0" t="n">
        <v>138</v>
      </c>
      <c r="H27" s="0" t="s">
        <v>16</v>
      </c>
      <c r="I27" s="0" t="s">
        <v>78</v>
      </c>
      <c r="J27" s="9" t="n">
        <v>45901</v>
      </c>
      <c r="K27" s="0" t="s">
        <v>79</v>
      </c>
      <c r="L27" s="0" t="n">
        <v>10</v>
      </c>
      <c r="M27" s="3" t="n">
        <f aca="false">_xlfn.NUMBERVALUE("" &amp; K27 &amp; "",".",",")</f>
        <v>0.140804166666667</v>
      </c>
      <c r="O27" s="0" t="str">
        <f aca="false">VLOOKUP(C27,statusdetails!$A:$D,4,0)</f>
        <v>DELAY</v>
      </c>
      <c r="P27" s="0" t="str">
        <f aca="false">VLOOKUP(F27,equipment!$A:$E,4,0)</f>
        <v>CM01</v>
      </c>
      <c r="Q27" s="0" t="str">
        <f aca="false">VLOOKUP(F27,equipment!$A:$E,5,0)</f>
        <v>CM01 - 84</v>
      </c>
    </row>
    <row r="28" customFormat="false" ht="12.8" hidden="true" customHeight="false" outlineLevel="0" collapsed="false">
      <c r="A28" s="0" t="n">
        <v>466109</v>
      </c>
      <c r="B28" s="0" t="n">
        <v>466109</v>
      </c>
      <c r="C28" s="0" t="n">
        <v>2</v>
      </c>
      <c r="D28" s="0" t="n">
        <v>9</v>
      </c>
      <c r="E28" s="0" t="n">
        <v>1059</v>
      </c>
      <c r="F28" s="0" t="n">
        <v>35</v>
      </c>
      <c r="G28" s="0" t="n">
        <v>78</v>
      </c>
      <c r="H28" s="0" t="s">
        <v>80</v>
      </c>
      <c r="I28" s="0" t="s">
        <v>81</v>
      </c>
      <c r="J28" s="9" t="n">
        <v>45901</v>
      </c>
      <c r="K28" s="0" t="s">
        <v>82</v>
      </c>
      <c r="L28" s="0" t="n">
        <v>10</v>
      </c>
      <c r="M28" s="3" t="n">
        <f aca="false">_xlfn.NUMBERVALUE("" &amp; K28 &amp; "",".",",")</f>
        <v>0.0360026808333333</v>
      </c>
      <c r="O28" s="0" t="str">
        <f aca="false">VLOOKUP(C28,statusdetails!$A:$D,4,0)</f>
        <v>DELAY</v>
      </c>
      <c r="P28" s="0" t="str">
        <f aca="false">VLOOKUP(F28,equipment!$A:$E,4,0)</f>
        <v>CM405</v>
      </c>
      <c r="Q28" s="0" t="str">
        <f aca="false">VLOOKUP(F28,equipment!$A:$E,5,0)</f>
        <v>CM405 - 35</v>
      </c>
    </row>
    <row r="29" customFormat="false" ht="12.8" hidden="true" customHeight="false" outlineLevel="0" collapsed="false">
      <c r="A29" s="0" t="n">
        <v>466110</v>
      </c>
      <c r="B29" s="0" t="n">
        <v>466110</v>
      </c>
      <c r="C29" s="0" t="n">
        <v>1</v>
      </c>
      <c r="D29" s="0" t="n">
        <v>6</v>
      </c>
      <c r="E29" s="0" t="n">
        <v>260</v>
      </c>
      <c r="F29" s="0" t="n">
        <v>35</v>
      </c>
      <c r="G29" s="0" t="n">
        <v>78</v>
      </c>
      <c r="H29" s="0" t="s">
        <v>81</v>
      </c>
      <c r="I29" s="0" t="s">
        <v>83</v>
      </c>
      <c r="J29" s="9" t="n">
        <v>45901</v>
      </c>
      <c r="K29" s="0" t="s">
        <v>84</v>
      </c>
      <c r="L29" s="0" t="n">
        <v>10</v>
      </c>
      <c r="M29" s="10" t="n">
        <f aca="false">_xlfn.NUMBERVALUE("" &amp; K29 &amp; "",".",",")</f>
        <v>1.80890841361111</v>
      </c>
      <c r="N29" s="10"/>
      <c r="O29" s="0" t="str">
        <f aca="false">VLOOKUP(C29,statusdetails!$A:$D,4,0)</f>
        <v>READY</v>
      </c>
      <c r="P29" s="0" t="str">
        <f aca="false">VLOOKUP(F29,equipment!$A:$E,4,0)</f>
        <v>CM405</v>
      </c>
      <c r="Q29" s="0" t="str">
        <f aca="false">VLOOKUP(F29,equipment!$A:$E,5,0)</f>
        <v>CM405 - 35</v>
      </c>
    </row>
    <row r="30" customFormat="false" ht="12.8" hidden="true" customHeight="false" outlineLevel="0" collapsed="false">
      <c r="A30" s="0" t="n">
        <v>466111</v>
      </c>
      <c r="B30" s="0" t="n">
        <v>466111</v>
      </c>
      <c r="C30" s="0" t="n">
        <v>1</v>
      </c>
      <c r="D30" s="0" t="n">
        <v>6</v>
      </c>
      <c r="E30" s="0" t="n">
        <v>2404</v>
      </c>
      <c r="F30" s="0" t="n">
        <v>84</v>
      </c>
      <c r="G30" s="0" t="n">
        <v>138</v>
      </c>
      <c r="H30" s="0" t="s">
        <v>78</v>
      </c>
      <c r="I30" s="0" t="s">
        <v>85</v>
      </c>
      <c r="J30" s="9" t="n">
        <v>45901</v>
      </c>
      <c r="K30" s="0" t="s">
        <v>86</v>
      </c>
      <c r="L30" s="0" t="n">
        <v>10</v>
      </c>
      <c r="M30" s="10" t="n">
        <f aca="false">_xlfn.NUMBERVALUE("" &amp; K30 &amp; "",".",",")</f>
        <v>1.66788169444444</v>
      </c>
      <c r="N30" s="10"/>
      <c r="O30" s="0" t="str">
        <f aca="false">VLOOKUP(C30,statusdetails!$A:$D,4,0)</f>
        <v>READY</v>
      </c>
      <c r="P30" s="0" t="str">
        <f aca="false">VLOOKUP(F30,equipment!$A:$E,4,0)</f>
        <v>CM01</v>
      </c>
      <c r="Q30" s="0" t="str">
        <f aca="false">VLOOKUP(F30,equipment!$A:$E,5,0)</f>
        <v>CM01 - 84</v>
      </c>
    </row>
    <row r="31" customFormat="false" ht="12.8" hidden="true" customHeight="false" outlineLevel="0" collapsed="false">
      <c r="A31" s="0" t="n">
        <v>466112</v>
      </c>
      <c r="B31" s="0" t="n">
        <v>466112</v>
      </c>
      <c r="C31" s="0" t="n">
        <v>2</v>
      </c>
      <c r="D31" s="0" t="n">
        <v>7</v>
      </c>
      <c r="E31" s="0" t="n">
        <v>1494</v>
      </c>
      <c r="F31" s="0" t="n">
        <v>60</v>
      </c>
      <c r="G31" s="0" t="n">
        <v>164</v>
      </c>
      <c r="H31" s="0" t="s">
        <v>67</v>
      </c>
      <c r="I31" s="0" t="s">
        <v>87</v>
      </c>
      <c r="J31" s="9" t="n">
        <v>45901</v>
      </c>
      <c r="K31" s="0" t="s">
        <v>88</v>
      </c>
      <c r="L31" s="0" t="n">
        <v>10</v>
      </c>
      <c r="M31" s="3" t="n">
        <f aca="false">_xlfn.NUMBERVALUE("" &amp; K31 &amp; "",".",",")</f>
        <v>0.210098051111111</v>
      </c>
      <c r="O31" s="0" t="str">
        <f aca="false">VLOOKUP(C31,statusdetails!$A:$D,4,0)</f>
        <v>DELAY</v>
      </c>
      <c r="P31" s="0" t="str">
        <f aca="false">VLOOKUP(F31,equipment!$A:$E,4,0)</f>
        <v>EX802</v>
      </c>
      <c r="Q31" s="0" t="str">
        <f aca="false">VLOOKUP(F31,equipment!$A:$E,5,0)</f>
        <v>EX802 - 60</v>
      </c>
    </row>
    <row r="32" customFormat="false" ht="12.8" hidden="true" customHeight="false" outlineLevel="0" collapsed="false">
      <c r="A32" s="0" t="n">
        <v>466113</v>
      </c>
      <c r="B32" s="0" t="n">
        <v>466113</v>
      </c>
      <c r="C32" s="0" t="n">
        <v>4</v>
      </c>
      <c r="D32" s="0" t="n">
        <v>16</v>
      </c>
      <c r="E32" s="0" t="n">
        <v>2187</v>
      </c>
      <c r="F32" s="0" t="n">
        <v>32</v>
      </c>
      <c r="G32" s="0" t="n">
        <v>113</v>
      </c>
      <c r="H32" s="0" t="s">
        <v>65</v>
      </c>
      <c r="I32" s="0" t="s">
        <v>89</v>
      </c>
      <c r="J32" s="9" t="n">
        <v>45901</v>
      </c>
      <c r="K32" s="0" t="s">
        <v>90</v>
      </c>
      <c r="L32" s="0" t="n">
        <v>10</v>
      </c>
      <c r="M32" s="10" t="n">
        <f aca="false">_xlfn.NUMBERVALUE("" &amp; K32 &amp; "",".",",")</f>
        <v>0.148369018888889</v>
      </c>
      <c r="N32" s="10"/>
      <c r="O32" s="0" t="str">
        <f aca="false">VLOOKUP(C32,statusdetails!$A:$D,4,0)</f>
        <v>MAINT</v>
      </c>
      <c r="P32" s="0" t="str">
        <f aca="false">VLOOKUP(F32,equipment!$A:$E,4,0)</f>
        <v>CM403</v>
      </c>
      <c r="Q32" s="0" t="str">
        <f aca="false">VLOOKUP(F32,equipment!$A:$E,5,0)</f>
        <v>CM403 - 32</v>
      </c>
    </row>
    <row r="33" customFormat="false" ht="12.8" hidden="true" customHeight="false" outlineLevel="0" collapsed="false">
      <c r="A33" s="0" t="n">
        <v>466114</v>
      </c>
      <c r="B33" s="0" t="n">
        <v>466114</v>
      </c>
      <c r="C33" s="0" t="n">
        <v>2</v>
      </c>
      <c r="D33" s="0" t="n">
        <v>9</v>
      </c>
      <c r="E33" s="0" t="n">
        <v>2388</v>
      </c>
      <c r="F33" s="0" t="n">
        <v>96</v>
      </c>
      <c r="G33" s="0" t="n">
        <v>6</v>
      </c>
      <c r="H33" s="0" t="s">
        <v>91</v>
      </c>
      <c r="I33" s="0" t="s">
        <v>92</v>
      </c>
      <c r="J33" s="9" t="n">
        <v>45901</v>
      </c>
      <c r="K33" s="0" t="s">
        <v>93</v>
      </c>
      <c r="L33" s="0" t="n">
        <v>10</v>
      </c>
      <c r="M33" s="3" t="n">
        <f aca="false">_xlfn.NUMBERVALUE("" &amp; K33 &amp; "",".",",")</f>
        <v>0.0310302766666667</v>
      </c>
      <c r="O33" s="0" t="str">
        <f aca="false">VLOOKUP(C33,statusdetails!$A:$D,4,0)</f>
        <v>DELAY</v>
      </c>
      <c r="P33" s="0" t="str">
        <f aca="false">VLOOKUP(F33,equipment!$A:$E,4,0)</f>
        <v>EX503</v>
      </c>
      <c r="Q33" s="0" t="str">
        <f aca="false">VLOOKUP(F33,equipment!$A:$E,5,0)</f>
        <v>EX503 - 96</v>
      </c>
    </row>
    <row r="34" customFormat="false" ht="12.8" hidden="true" customHeight="false" outlineLevel="0" collapsed="false">
      <c r="A34" s="0" t="n">
        <v>466115</v>
      </c>
      <c r="B34" s="0" t="n">
        <v>466115</v>
      </c>
      <c r="C34" s="0" t="n">
        <v>1</v>
      </c>
      <c r="D34" s="0" t="n">
        <v>6</v>
      </c>
      <c r="E34" s="0" t="n">
        <v>2518</v>
      </c>
      <c r="F34" s="0" t="n">
        <v>96</v>
      </c>
      <c r="G34" s="0" t="n">
        <v>6</v>
      </c>
      <c r="H34" s="0" t="s">
        <v>92</v>
      </c>
      <c r="I34" s="0" t="s">
        <v>94</v>
      </c>
      <c r="J34" s="9" t="n">
        <v>45901</v>
      </c>
      <c r="K34" s="0" t="s">
        <v>95</v>
      </c>
      <c r="L34" s="0" t="n">
        <v>10</v>
      </c>
      <c r="M34" s="10" t="n">
        <f aca="false">_xlfn.NUMBERVALUE("" &amp; K34 &amp; "",".",",")</f>
        <v>1.33171423527778</v>
      </c>
      <c r="N34" s="10"/>
      <c r="O34" s="0" t="str">
        <f aca="false">VLOOKUP(C34,statusdetails!$A:$D,4,0)</f>
        <v>READY</v>
      </c>
      <c r="P34" s="0" t="str">
        <f aca="false">VLOOKUP(F34,equipment!$A:$E,4,0)</f>
        <v>EX503</v>
      </c>
      <c r="Q34" s="0" t="str">
        <f aca="false">VLOOKUP(F34,equipment!$A:$E,5,0)</f>
        <v>EX503 - 96</v>
      </c>
    </row>
    <row r="35" customFormat="false" ht="12.8" hidden="true" customHeight="false" outlineLevel="0" collapsed="false">
      <c r="A35" s="0" t="n">
        <v>466116</v>
      </c>
      <c r="B35" s="0" t="n">
        <v>466116</v>
      </c>
      <c r="C35" s="0" t="n">
        <v>2</v>
      </c>
      <c r="D35" s="0" t="n">
        <v>9</v>
      </c>
      <c r="E35" s="0" t="n">
        <v>2512</v>
      </c>
      <c r="F35" s="0" t="n">
        <v>89</v>
      </c>
      <c r="G35" s="0" t="n">
        <v>130</v>
      </c>
      <c r="H35" s="0" t="s">
        <v>96</v>
      </c>
      <c r="I35" s="0" t="s">
        <v>97</v>
      </c>
      <c r="J35" s="9" t="n">
        <v>45901</v>
      </c>
      <c r="K35" s="0" t="s">
        <v>98</v>
      </c>
      <c r="L35" s="0" t="n">
        <v>10</v>
      </c>
      <c r="M35" s="3" t="n">
        <f aca="false">_xlfn.NUMBERVALUE("" &amp; K35 &amp; "",".",",")</f>
        <v>0.0646103416666667</v>
      </c>
      <c r="O35" s="0" t="str">
        <f aca="false">VLOOKUP(C35,statusdetails!$A:$D,4,0)</f>
        <v>DELAY</v>
      </c>
      <c r="P35" s="0" t="str">
        <f aca="false">VLOOKUP(F35,equipment!$A:$E,4,0)</f>
        <v>CM06</v>
      </c>
      <c r="Q35" s="0" t="str">
        <f aca="false">VLOOKUP(F35,equipment!$A:$E,5,0)</f>
        <v>CM06 - 89</v>
      </c>
    </row>
    <row r="36" customFormat="false" ht="12.8" hidden="true" customHeight="false" outlineLevel="0" collapsed="false">
      <c r="A36" s="0" t="n">
        <v>466117</v>
      </c>
      <c r="B36" s="0" t="n">
        <v>466117</v>
      </c>
      <c r="C36" s="0" t="n">
        <v>1</v>
      </c>
      <c r="D36" s="0" t="n">
        <v>6</v>
      </c>
      <c r="E36" s="0" t="n">
        <v>260</v>
      </c>
      <c r="F36" s="0" t="n">
        <v>32</v>
      </c>
      <c r="G36" s="0" t="n">
        <v>113</v>
      </c>
      <c r="H36" s="0" t="s">
        <v>89</v>
      </c>
      <c r="I36" s="0" t="s">
        <v>99</v>
      </c>
      <c r="J36" s="9" t="n">
        <v>45901</v>
      </c>
      <c r="K36" s="0" t="s">
        <v>100</v>
      </c>
      <c r="L36" s="0" t="n">
        <v>10</v>
      </c>
      <c r="M36" s="10" t="n">
        <f aca="false">_xlfn.NUMBERVALUE("" &amp; K36 &amp; "",".",",")</f>
        <v>0.886240961111111</v>
      </c>
      <c r="N36" s="10"/>
      <c r="O36" s="0" t="str">
        <f aca="false">VLOOKUP(C36,statusdetails!$A:$D,4,0)</f>
        <v>READY</v>
      </c>
      <c r="P36" s="0" t="str">
        <f aca="false">VLOOKUP(F36,equipment!$A:$E,4,0)</f>
        <v>CM403</v>
      </c>
      <c r="Q36" s="0" t="str">
        <f aca="false">VLOOKUP(F36,equipment!$A:$E,5,0)</f>
        <v>CM403 - 32</v>
      </c>
    </row>
    <row r="37" customFormat="false" ht="12.8" hidden="true" customHeight="false" outlineLevel="0" collapsed="false">
      <c r="A37" s="0" t="n">
        <v>466118</v>
      </c>
      <c r="B37" s="0" t="n">
        <v>466118</v>
      </c>
      <c r="C37" s="0" t="n">
        <v>1</v>
      </c>
      <c r="D37" s="0" t="n">
        <v>6</v>
      </c>
      <c r="E37" s="0" t="n">
        <v>1397</v>
      </c>
      <c r="F37" s="0" t="n">
        <v>60</v>
      </c>
      <c r="G37" s="0" t="n">
        <v>164</v>
      </c>
      <c r="H37" s="0" t="s">
        <v>87</v>
      </c>
      <c r="I37" s="0" t="s">
        <v>101</v>
      </c>
      <c r="J37" s="9" t="n">
        <v>45901</v>
      </c>
      <c r="K37" s="0" t="s">
        <v>102</v>
      </c>
      <c r="L37" s="0" t="n">
        <v>10</v>
      </c>
      <c r="M37" s="10" t="n">
        <f aca="false">_xlfn.NUMBERVALUE("" &amp; K37 &amp; "",".",",")</f>
        <v>2.43269085083333</v>
      </c>
      <c r="N37" s="10"/>
      <c r="O37" s="0" t="str">
        <f aca="false">VLOOKUP(C37,statusdetails!$A:$D,4,0)</f>
        <v>READY</v>
      </c>
      <c r="P37" s="0" t="str">
        <f aca="false">VLOOKUP(F37,equipment!$A:$E,4,0)</f>
        <v>EX802</v>
      </c>
      <c r="Q37" s="0" t="str">
        <f aca="false">VLOOKUP(F37,equipment!$A:$E,5,0)</f>
        <v>EX802 - 60</v>
      </c>
    </row>
    <row r="38" customFormat="false" ht="12.8" hidden="true" customHeight="false" outlineLevel="0" collapsed="false">
      <c r="A38" s="0" t="n">
        <v>466119</v>
      </c>
      <c r="B38" s="0" t="n">
        <v>466119</v>
      </c>
      <c r="C38" s="0" t="n">
        <v>1</v>
      </c>
      <c r="D38" s="0" t="n">
        <v>6</v>
      </c>
      <c r="E38" s="0" t="n">
        <v>2404</v>
      </c>
      <c r="F38" s="0" t="n">
        <v>89</v>
      </c>
      <c r="G38" s="0" t="n">
        <v>130</v>
      </c>
      <c r="H38" s="0" t="s">
        <v>97</v>
      </c>
      <c r="I38" s="0" t="s">
        <v>103</v>
      </c>
      <c r="J38" s="9" t="n">
        <v>45901</v>
      </c>
      <c r="K38" s="0" t="s">
        <v>104</v>
      </c>
      <c r="L38" s="0" t="n">
        <v>10</v>
      </c>
      <c r="M38" s="10" t="n">
        <f aca="false">_xlfn.NUMBERVALUE("" &amp; K38 &amp; "",".",",")</f>
        <v>0.823529549444444</v>
      </c>
      <c r="N38" s="10"/>
      <c r="O38" s="0" t="str">
        <f aca="false">VLOOKUP(C38,statusdetails!$A:$D,4,0)</f>
        <v>READY</v>
      </c>
      <c r="P38" s="0" t="str">
        <f aca="false">VLOOKUP(F38,equipment!$A:$E,4,0)</f>
        <v>CM06</v>
      </c>
      <c r="Q38" s="0" t="str">
        <f aca="false">VLOOKUP(F38,equipment!$A:$E,5,0)</f>
        <v>CM06 - 89</v>
      </c>
    </row>
    <row r="39" customFormat="false" ht="12.8" hidden="true" customHeight="false" outlineLevel="0" collapsed="false">
      <c r="A39" s="0" t="n">
        <v>466120</v>
      </c>
      <c r="B39" s="0" t="n">
        <v>466120</v>
      </c>
      <c r="C39" s="0" t="n">
        <v>2</v>
      </c>
      <c r="D39" s="0" t="n">
        <v>9</v>
      </c>
      <c r="E39" s="0" t="n">
        <v>1059</v>
      </c>
      <c r="F39" s="0" t="n">
        <v>66</v>
      </c>
      <c r="G39" s="0" t="n">
        <v>94</v>
      </c>
      <c r="H39" s="0" t="s">
        <v>105</v>
      </c>
      <c r="I39" s="0" t="s">
        <v>106</v>
      </c>
      <c r="J39" s="9" t="n">
        <v>45901</v>
      </c>
      <c r="K39" s="0" t="s">
        <v>107</v>
      </c>
      <c r="L39" s="0" t="n">
        <v>10</v>
      </c>
      <c r="M39" s="3" t="n">
        <f aca="false">_xlfn.NUMBERVALUE("" &amp; K39 &amp; "",".",",")</f>
        <v>0.0494589852777778</v>
      </c>
      <c r="O39" s="0" t="str">
        <f aca="false">VLOOKUP(C39,statusdetails!$A:$D,4,0)</f>
        <v>DELAY</v>
      </c>
      <c r="P39" s="0" t="str">
        <f aca="false">VLOOKUP(F39,equipment!$A:$E,4,0)</f>
        <v>CM407</v>
      </c>
      <c r="Q39" s="0" t="str">
        <f aca="false">VLOOKUP(F39,equipment!$A:$E,5,0)</f>
        <v>CM407 - 66</v>
      </c>
    </row>
    <row r="40" customFormat="false" ht="12.8" hidden="true" customHeight="false" outlineLevel="0" collapsed="false">
      <c r="A40" s="0" t="n">
        <v>466121</v>
      </c>
      <c r="B40" s="0" t="n">
        <v>466121</v>
      </c>
      <c r="C40" s="0" t="n">
        <v>1</v>
      </c>
      <c r="D40" s="0" t="n">
        <v>6</v>
      </c>
      <c r="E40" s="0" t="n">
        <v>260</v>
      </c>
      <c r="F40" s="0" t="n">
        <v>66</v>
      </c>
      <c r="G40" s="0" t="n">
        <v>94</v>
      </c>
      <c r="H40" s="0" t="s">
        <v>106</v>
      </c>
      <c r="I40" s="0" t="s">
        <v>108</v>
      </c>
      <c r="J40" s="9" t="n">
        <v>45901</v>
      </c>
      <c r="K40" s="0" t="s">
        <v>109</v>
      </c>
      <c r="L40" s="0" t="n">
        <v>10</v>
      </c>
      <c r="M40" s="10" t="n">
        <f aca="false">_xlfn.NUMBERVALUE("" &amp; K40 &amp; "",".",",")</f>
        <v>0.978743888888889</v>
      </c>
      <c r="N40" s="10"/>
      <c r="O40" s="0" t="str">
        <f aca="false">VLOOKUP(C40,statusdetails!$A:$D,4,0)</f>
        <v>READY</v>
      </c>
      <c r="P40" s="0" t="str">
        <f aca="false">VLOOKUP(F40,equipment!$A:$E,4,0)</f>
        <v>CM407</v>
      </c>
      <c r="Q40" s="0" t="str">
        <f aca="false">VLOOKUP(F40,equipment!$A:$E,5,0)</f>
        <v>CM407 - 66</v>
      </c>
    </row>
    <row r="41" customFormat="false" ht="12.8" hidden="true" customHeight="false" outlineLevel="0" collapsed="false">
      <c r="A41" s="0" t="n">
        <v>466122</v>
      </c>
      <c r="B41" s="0" t="n">
        <v>466122</v>
      </c>
      <c r="C41" s="0" t="n">
        <v>3</v>
      </c>
      <c r="D41" s="0" t="n">
        <v>12</v>
      </c>
      <c r="E41" s="0" t="n">
        <v>394</v>
      </c>
      <c r="F41" s="0" t="n">
        <v>91</v>
      </c>
      <c r="G41" s="0" t="n">
        <v>64</v>
      </c>
      <c r="H41" s="0" t="s">
        <v>30</v>
      </c>
      <c r="I41" s="0" t="s">
        <v>110</v>
      </c>
      <c r="J41" s="9" t="n">
        <v>45901</v>
      </c>
      <c r="K41" s="0" t="s">
        <v>111</v>
      </c>
      <c r="L41" s="0" t="n">
        <v>10</v>
      </c>
      <c r="M41" s="10" t="n">
        <f aca="false">_xlfn.NUMBERVALUE("" &amp; K41 &amp; "",".",",")</f>
        <v>0.836538295833333</v>
      </c>
      <c r="N41" s="10" t="n">
        <f aca="false">COUNT(M:M)</f>
        <v>1296</v>
      </c>
      <c r="O41" s="0" t="str">
        <f aca="false">VLOOKUP(C41,statusdetails!$A:$D,4,0)</f>
        <v>STANDBY</v>
      </c>
      <c r="P41" s="0" t="str">
        <f aca="false">VLOOKUP(F41,equipment!$A:$E,4,0)</f>
        <v>DZ205</v>
      </c>
      <c r="Q41" s="0" t="str">
        <f aca="false">VLOOKUP(F41,equipment!$A:$E,5,0)</f>
        <v>DZ205 - 91</v>
      </c>
    </row>
    <row r="42" customFormat="false" ht="12.8" hidden="true" customHeight="false" outlineLevel="0" collapsed="false">
      <c r="A42" s="0" t="n">
        <v>466123</v>
      </c>
      <c r="B42" s="0" t="n">
        <v>466123</v>
      </c>
      <c r="C42" s="0" t="n">
        <v>4</v>
      </c>
      <c r="D42" s="0" t="n">
        <v>15</v>
      </c>
      <c r="E42" s="0" t="n">
        <v>630</v>
      </c>
      <c r="F42" s="0" t="n">
        <v>41</v>
      </c>
      <c r="G42" s="0" t="n">
        <v>126</v>
      </c>
      <c r="H42" s="0" t="s">
        <v>25</v>
      </c>
      <c r="I42" s="0" t="s">
        <v>112</v>
      </c>
      <c r="J42" s="9" t="n">
        <v>45901</v>
      </c>
      <c r="K42" s="0" t="s">
        <v>113</v>
      </c>
      <c r="L42" s="0" t="n">
        <v>11</v>
      </c>
      <c r="M42" s="10" t="n">
        <f aca="false">_xlfn.NUMBERVALUE("" &amp; K42 &amp; "",".",",")</f>
        <v>0.622017573333333</v>
      </c>
      <c r="N42" s="10"/>
      <c r="O42" s="0" t="str">
        <f aca="false">VLOOKUP(C42,statusdetails!$A:$D,4,0)</f>
        <v>MAINT</v>
      </c>
    </row>
    <row r="43" customFormat="false" ht="12.8" hidden="true" customHeight="false" outlineLevel="0" collapsed="false">
      <c r="A43" s="0" t="n">
        <v>466124</v>
      </c>
      <c r="B43" s="0" t="n">
        <v>466124</v>
      </c>
      <c r="C43" s="0" t="n">
        <v>3</v>
      </c>
      <c r="D43" s="0" t="n">
        <v>12</v>
      </c>
      <c r="E43" s="0" t="n">
        <v>1012</v>
      </c>
      <c r="F43" s="0" t="n">
        <v>43</v>
      </c>
      <c r="G43" s="0" t="n">
        <v>5</v>
      </c>
      <c r="H43" s="0" t="s">
        <v>71</v>
      </c>
      <c r="I43" s="0" t="s">
        <v>114</v>
      </c>
      <c r="J43" s="9" t="n">
        <v>45901</v>
      </c>
      <c r="K43" s="0" t="s">
        <v>115</v>
      </c>
      <c r="L43" s="0" t="n">
        <v>11</v>
      </c>
      <c r="M43" s="10" t="n">
        <f aca="false">_xlfn.NUMBERVALUE("" &amp; K43 &amp; "",".",",")</f>
        <v>23.3409980597222</v>
      </c>
      <c r="N43" s="10"/>
      <c r="O43" s="0" t="str">
        <f aca="false">VLOOKUP(C43,statusdetails!$A:$D,4,0)</f>
        <v>STANDBY</v>
      </c>
      <c r="P43" s="0" t="str">
        <f aca="false">VLOOKUP(F43,equipment!$A:$E,4,0)</f>
        <v>PE302</v>
      </c>
      <c r="Q43" s="0" t="str">
        <f aca="false">VLOOKUP(F43,equipment!$A:$E,5,0)</f>
        <v>PE302 - 43</v>
      </c>
    </row>
    <row r="44" customFormat="false" ht="12.8" hidden="true" customHeight="false" outlineLevel="0" collapsed="false">
      <c r="A44" s="0" t="n">
        <v>466125</v>
      </c>
      <c r="B44" s="0" t="n">
        <v>466125</v>
      </c>
      <c r="C44" s="0" t="n">
        <v>4</v>
      </c>
      <c r="D44" s="0" t="n">
        <v>15</v>
      </c>
      <c r="E44" s="0" t="n">
        <v>2396</v>
      </c>
      <c r="F44" s="0" t="n">
        <v>82</v>
      </c>
      <c r="G44" s="0" t="n">
        <v>110</v>
      </c>
      <c r="H44" s="0" t="s">
        <v>116</v>
      </c>
      <c r="I44" s="0" t="s">
        <v>117</v>
      </c>
      <c r="J44" s="9" t="n">
        <v>45901</v>
      </c>
      <c r="K44" s="0" t="s">
        <v>118</v>
      </c>
      <c r="L44" s="0" t="n">
        <v>11</v>
      </c>
      <c r="M44" s="10" t="n">
        <f aca="false">_xlfn.NUMBERVALUE("" &amp; K44 &amp; "",".",",")</f>
        <v>1.64092134638889</v>
      </c>
      <c r="N44" s="10"/>
      <c r="O44" s="0" t="str">
        <f aca="false">VLOOKUP(C44,statusdetails!$A:$D,4,0)</f>
        <v>MAINT</v>
      </c>
    </row>
    <row r="45" customFormat="false" ht="12.8" hidden="true" customHeight="false" outlineLevel="0" collapsed="false">
      <c r="A45" s="0" t="n">
        <v>466126</v>
      </c>
      <c r="B45" s="0" t="n">
        <v>466126</v>
      </c>
      <c r="C45" s="0" t="n">
        <v>3</v>
      </c>
      <c r="D45" s="0" t="n">
        <v>12</v>
      </c>
      <c r="E45" s="0" t="n">
        <v>2422</v>
      </c>
      <c r="F45" s="0" t="n">
        <v>85</v>
      </c>
      <c r="G45" s="0" t="n">
        <v>22</v>
      </c>
      <c r="H45" s="0" t="s">
        <v>76</v>
      </c>
      <c r="I45" s="0" t="s">
        <v>119</v>
      </c>
      <c r="J45" s="9" t="n">
        <v>45901</v>
      </c>
      <c r="K45" s="0" t="s">
        <v>120</v>
      </c>
      <c r="L45" s="0" t="n">
        <v>11</v>
      </c>
      <c r="M45" s="10" t="n">
        <f aca="false">_xlfn.NUMBERVALUE("" &amp; K45 &amp; "",".",",")</f>
        <v>2.02578049444444</v>
      </c>
      <c r="N45" s="10"/>
      <c r="O45" s="0" t="str">
        <f aca="false">VLOOKUP(C45,statusdetails!$A:$D,4,0)</f>
        <v>STANDBY</v>
      </c>
      <c r="P45" s="0" t="str">
        <f aca="false">VLOOKUP(F45,equipment!$A:$E,4,0)</f>
        <v>CM02</v>
      </c>
      <c r="Q45" s="0" t="str">
        <f aca="false">VLOOKUP(F45,equipment!$A:$E,5,0)</f>
        <v>CM02 - 85</v>
      </c>
    </row>
    <row r="46" customFormat="false" ht="12.8" hidden="true" customHeight="false" outlineLevel="0" collapsed="false">
      <c r="A46" s="0" t="n">
        <v>466127</v>
      </c>
      <c r="B46" s="0" t="n">
        <v>466127</v>
      </c>
      <c r="C46" s="0" t="n">
        <v>3</v>
      </c>
      <c r="D46" s="0" t="n">
        <v>14</v>
      </c>
      <c r="E46" s="0" t="n">
        <v>2555</v>
      </c>
      <c r="F46" s="0" t="n">
        <v>88</v>
      </c>
      <c r="G46" s="0" t="n">
        <v>129</v>
      </c>
      <c r="H46" s="0" t="s">
        <v>121</v>
      </c>
      <c r="I46" s="0" t="s">
        <v>122</v>
      </c>
      <c r="J46" s="9" t="n">
        <v>45901</v>
      </c>
      <c r="K46" s="0" t="s">
        <v>123</v>
      </c>
      <c r="L46" s="0" t="n">
        <v>11</v>
      </c>
      <c r="M46" s="10" t="n">
        <f aca="false">_xlfn.NUMBERVALUE("" &amp; K46 &amp; "",".",",")</f>
        <v>0.106393059722222</v>
      </c>
      <c r="N46" s="10"/>
      <c r="O46" s="0" t="str">
        <f aca="false">VLOOKUP(C46,statusdetails!$A:$D,4,0)</f>
        <v>STANDBY</v>
      </c>
      <c r="P46" s="0" t="str">
        <f aca="false">VLOOKUP(F46,equipment!$A:$E,4,0)</f>
        <v>CM05</v>
      </c>
      <c r="Q46" s="0" t="str">
        <f aca="false">VLOOKUP(F46,equipment!$A:$E,5,0)</f>
        <v>CM05 - 88</v>
      </c>
    </row>
    <row r="47" customFormat="false" ht="12.8" hidden="true" customHeight="false" outlineLevel="0" collapsed="false">
      <c r="A47" s="0" t="n">
        <v>466128</v>
      </c>
      <c r="B47" s="0" t="n">
        <v>466128</v>
      </c>
      <c r="C47" s="0" t="n">
        <v>3</v>
      </c>
      <c r="D47" s="0" t="n">
        <v>12</v>
      </c>
      <c r="E47" s="0" t="n">
        <v>2422</v>
      </c>
      <c r="F47" s="0" t="n">
        <v>88</v>
      </c>
      <c r="G47" s="0" t="n">
        <v>129</v>
      </c>
      <c r="H47" s="0" t="s">
        <v>122</v>
      </c>
      <c r="I47" s="0" t="s">
        <v>124</v>
      </c>
      <c r="J47" s="9" t="n">
        <v>45901</v>
      </c>
      <c r="K47" s="0" t="s">
        <v>125</v>
      </c>
      <c r="L47" s="0" t="n">
        <v>11</v>
      </c>
      <c r="M47" s="10" t="n">
        <f aca="false">_xlfn.NUMBERVALUE("" &amp; K47 &amp; "",".",",")</f>
        <v>1.88439925</v>
      </c>
      <c r="N47" s="10"/>
      <c r="O47" s="0" t="str">
        <f aca="false">VLOOKUP(C47,statusdetails!$A:$D,4,0)</f>
        <v>STANDBY</v>
      </c>
      <c r="P47" s="0" t="str">
        <f aca="false">VLOOKUP(F47,equipment!$A:$E,4,0)</f>
        <v>CM05</v>
      </c>
      <c r="Q47" s="0" t="str">
        <f aca="false">VLOOKUP(F47,equipment!$A:$E,5,0)</f>
        <v>CM05 - 88</v>
      </c>
    </row>
    <row r="48" customFormat="false" ht="12.8" hidden="true" customHeight="false" outlineLevel="0" collapsed="false">
      <c r="A48" s="0" t="n">
        <v>466129</v>
      </c>
      <c r="B48" s="0" t="n">
        <v>466129</v>
      </c>
      <c r="C48" s="0" t="n">
        <v>1</v>
      </c>
      <c r="D48" s="0" t="n">
        <v>6</v>
      </c>
      <c r="E48" s="0" t="n">
        <v>586</v>
      </c>
      <c r="F48" s="0" t="n">
        <v>41</v>
      </c>
      <c r="G48" s="0" t="n">
        <v>126</v>
      </c>
      <c r="H48" s="0" t="s">
        <v>112</v>
      </c>
      <c r="I48" s="0" t="s">
        <v>126</v>
      </c>
      <c r="J48" s="9" t="n">
        <v>45901</v>
      </c>
      <c r="K48" s="0" t="s">
        <v>127</v>
      </c>
      <c r="L48" s="0" t="n">
        <v>11</v>
      </c>
      <c r="M48" s="10" t="n">
        <f aca="false">_xlfn.NUMBERVALUE("" &amp; K48 &amp; "",".",",")</f>
        <v>7.18361331027778</v>
      </c>
      <c r="N48" s="10"/>
      <c r="O48" s="0" t="str">
        <f aca="false">VLOOKUP(C48,statusdetails!$A:$D,4,0)</f>
        <v>READY</v>
      </c>
    </row>
    <row r="49" customFormat="false" ht="12.8" hidden="true" customHeight="false" outlineLevel="0" collapsed="false">
      <c r="A49" s="0" t="n">
        <v>466130</v>
      </c>
      <c r="B49" s="0" t="n">
        <v>466130</v>
      </c>
      <c r="C49" s="0" t="n">
        <v>3</v>
      </c>
      <c r="D49" s="0" t="n">
        <v>12</v>
      </c>
      <c r="E49" s="0" t="n">
        <v>2422</v>
      </c>
      <c r="F49" s="0" t="n">
        <v>87</v>
      </c>
      <c r="G49" s="0" t="n">
        <v>143</v>
      </c>
      <c r="H49" s="0" t="s">
        <v>128</v>
      </c>
      <c r="I49" s="0" t="s">
        <v>129</v>
      </c>
      <c r="J49" s="9" t="n">
        <v>45901</v>
      </c>
      <c r="K49" s="0" t="s">
        <v>130</v>
      </c>
      <c r="L49" s="0" t="n">
        <v>11</v>
      </c>
      <c r="M49" s="10" t="n">
        <f aca="false">_xlfn.NUMBERVALUE("" &amp; K49 &amp; "",".",",")</f>
        <v>1.87777358638889</v>
      </c>
      <c r="N49" s="10"/>
      <c r="O49" s="0" t="str">
        <f aca="false">VLOOKUP(C49,statusdetails!$A:$D,4,0)</f>
        <v>STANDBY</v>
      </c>
      <c r="P49" s="0" t="str">
        <f aca="false">VLOOKUP(F49,equipment!$A:$E,4,0)</f>
        <v>CM04</v>
      </c>
      <c r="Q49" s="0" t="str">
        <f aca="false">VLOOKUP(F49,equipment!$A:$E,5,0)</f>
        <v>CM04 - 87</v>
      </c>
    </row>
    <row r="50" customFormat="false" ht="12.8" hidden="true" customHeight="false" outlineLevel="0" collapsed="false">
      <c r="A50" s="0" t="n">
        <v>466131</v>
      </c>
      <c r="B50" s="0" t="n">
        <v>466131</v>
      </c>
      <c r="C50" s="0" t="n">
        <v>2</v>
      </c>
      <c r="D50" s="0" t="n">
        <v>9</v>
      </c>
      <c r="E50" s="0" t="n">
        <v>2580</v>
      </c>
      <c r="F50" s="0" t="n">
        <v>89</v>
      </c>
      <c r="G50" s="0" t="n">
        <v>130</v>
      </c>
      <c r="H50" s="0" t="s">
        <v>103</v>
      </c>
      <c r="I50" s="0" t="s">
        <v>131</v>
      </c>
      <c r="J50" s="9" t="n">
        <v>45901</v>
      </c>
      <c r="K50" s="0" t="s">
        <v>132</v>
      </c>
      <c r="L50" s="0" t="n">
        <v>11</v>
      </c>
      <c r="M50" s="3" t="n">
        <f aca="false">_xlfn.NUMBERVALUE("" &amp; K50 &amp; "",".",",")</f>
        <v>0.0478481425</v>
      </c>
      <c r="O50" s="0" t="str">
        <f aca="false">VLOOKUP(C50,statusdetails!$A:$D,4,0)</f>
        <v>DELAY</v>
      </c>
    </row>
    <row r="51" customFormat="false" ht="12.8" hidden="true" customHeight="false" outlineLevel="0" collapsed="false">
      <c r="A51" s="0" t="n">
        <v>466132</v>
      </c>
      <c r="B51" s="0" t="n">
        <v>466132</v>
      </c>
      <c r="C51" s="0" t="n">
        <v>2</v>
      </c>
      <c r="D51" s="0" t="n">
        <v>9</v>
      </c>
      <c r="E51" s="0" t="n">
        <v>1347</v>
      </c>
      <c r="F51" s="0" t="n">
        <v>32</v>
      </c>
      <c r="G51" s="0" t="n">
        <v>113</v>
      </c>
      <c r="H51" s="0" t="s">
        <v>99</v>
      </c>
      <c r="I51" s="0" t="s">
        <v>133</v>
      </c>
      <c r="J51" s="9" t="n">
        <v>45901</v>
      </c>
      <c r="K51" s="0" t="s">
        <v>134</v>
      </c>
      <c r="L51" s="0" t="n">
        <v>11</v>
      </c>
      <c r="M51" s="3" t="n">
        <f aca="false">_xlfn.NUMBERVALUE("" &amp; K51 &amp; "",".",",")</f>
        <v>0.0301639180555556</v>
      </c>
      <c r="O51" s="0" t="str">
        <f aca="false">VLOOKUP(C51,statusdetails!$A:$D,4,0)</f>
        <v>DELAY</v>
      </c>
    </row>
    <row r="52" customFormat="false" ht="12.8" hidden="true" customHeight="false" outlineLevel="0" collapsed="false">
      <c r="A52" s="0" t="n">
        <v>466133</v>
      </c>
      <c r="B52" s="0" t="n">
        <v>466133</v>
      </c>
      <c r="C52" s="0" t="n">
        <v>1</v>
      </c>
      <c r="D52" s="0" t="n">
        <v>6</v>
      </c>
      <c r="E52" s="0" t="n">
        <v>2404</v>
      </c>
      <c r="F52" s="0" t="n">
        <v>89</v>
      </c>
      <c r="G52" s="0" t="n">
        <v>130</v>
      </c>
      <c r="H52" s="0" t="s">
        <v>131</v>
      </c>
      <c r="I52" s="0" t="s">
        <v>135</v>
      </c>
      <c r="J52" s="9" t="n">
        <v>45901</v>
      </c>
      <c r="K52" s="0" t="s">
        <v>136</v>
      </c>
      <c r="L52" s="0" t="n">
        <v>11</v>
      </c>
      <c r="M52" s="10" t="n">
        <f aca="false">_xlfn.NUMBERVALUE("" &amp; K52 &amp; "",".",",")</f>
        <v>0.212668533888889</v>
      </c>
      <c r="N52" s="10"/>
      <c r="O52" s="0" t="str">
        <f aca="false">VLOOKUP(C52,statusdetails!$A:$D,4,0)</f>
        <v>READY</v>
      </c>
    </row>
    <row r="53" customFormat="false" ht="12.8" hidden="true" customHeight="false" outlineLevel="0" collapsed="false">
      <c r="A53" s="0" t="n">
        <v>466134</v>
      </c>
      <c r="B53" s="0" t="n">
        <v>466134</v>
      </c>
      <c r="C53" s="0" t="n">
        <v>1</v>
      </c>
      <c r="D53" s="0" t="n">
        <v>6</v>
      </c>
      <c r="E53" s="0" t="n">
        <v>260</v>
      </c>
      <c r="F53" s="0" t="n">
        <v>32</v>
      </c>
      <c r="G53" s="0" t="n">
        <v>113</v>
      </c>
      <c r="H53" s="0" t="s">
        <v>133</v>
      </c>
      <c r="I53" s="0" t="s">
        <v>137</v>
      </c>
      <c r="J53" s="9" t="n">
        <v>45901</v>
      </c>
      <c r="K53" s="0" t="s">
        <v>138</v>
      </c>
      <c r="L53" s="0" t="n">
        <v>11</v>
      </c>
      <c r="M53" s="10" t="n">
        <f aca="false">_xlfn.NUMBERVALUE("" &amp; K53 &amp; "",".",",")</f>
        <v>0.745732898611111</v>
      </c>
      <c r="N53" s="10"/>
      <c r="O53" s="0" t="str">
        <f aca="false">VLOOKUP(C53,statusdetails!$A:$D,4,0)</f>
        <v>READY</v>
      </c>
    </row>
    <row r="54" customFormat="false" ht="12.8" hidden="true" customHeight="false" outlineLevel="0" collapsed="false">
      <c r="A54" s="0" t="n">
        <v>466135</v>
      </c>
      <c r="B54" s="0" t="n">
        <v>466135</v>
      </c>
      <c r="C54" s="0" t="n">
        <v>3</v>
      </c>
      <c r="D54" s="0" t="n">
        <v>12</v>
      </c>
      <c r="E54" s="0" t="n">
        <v>394</v>
      </c>
      <c r="F54" s="0" t="n">
        <v>37</v>
      </c>
      <c r="G54" s="0" t="n">
        <v>74</v>
      </c>
      <c r="H54" s="0" t="s">
        <v>33</v>
      </c>
      <c r="I54" s="0" t="s">
        <v>139</v>
      </c>
      <c r="J54" s="9" t="n">
        <v>45901</v>
      </c>
      <c r="K54" s="0" t="s">
        <v>140</v>
      </c>
      <c r="L54" s="0" t="n">
        <v>11</v>
      </c>
      <c r="M54" s="10" t="n">
        <f aca="false">_xlfn.NUMBERVALUE("" &amp; K54 &amp; "",".",",")</f>
        <v>2.95958570888889</v>
      </c>
      <c r="N54" s="10"/>
      <c r="O54" s="0" t="str">
        <f aca="false">VLOOKUP(C54,statusdetails!$A:$D,4,0)</f>
        <v>STANDBY</v>
      </c>
      <c r="P54" s="0" t="str">
        <f aca="false">VLOOKUP(F54,equipment!$A:$E,4,0)</f>
        <v>DZ201</v>
      </c>
      <c r="Q54" s="0" t="str">
        <f aca="false">VLOOKUP(F54,equipment!$A:$E,5,0)</f>
        <v>DZ201 - 37</v>
      </c>
    </row>
    <row r="55" customFormat="false" ht="12.8" hidden="true" customHeight="false" outlineLevel="0" collapsed="false">
      <c r="A55" s="0" t="n">
        <v>466136</v>
      </c>
      <c r="B55" s="0" t="n">
        <v>466136</v>
      </c>
      <c r="C55" s="0" t="n">
        <v>1</v>
      </c>
      <c r="D55" s="0" t="n">
        <v>6</v>
      </c>
      <c r="E55" s="0" t="n">
        <v>372</v>
      </c>
      <c r="F55" s="0" t="n">
        <v>91</v>
      </c>
      <c r="G55" s="0" t="n">
        <v>64</v>
      </c>
      <c r="H55" s="0" t="s">
        <v>110</v>
      </c>
      <c r="I55" s="0" t="s">
        <v>141</v>
      </c>
      <c r="J55" s="9" t="n">
        <v>45901</v>
      </c>
      <c r="K55" s="0" t="s">
        <v>142</v>
      </c>
      <c r="L55" s="0" t="n">
        <v>11</v>
      </c>
      <c r="M55" s="10" t="n">
        <f aca="false">_xlfn.NUMBERVALUE("" &amp; K55 &amp; "",".",",")</f>
        <v>7.00741887722222</v>
      </c>
      <c r="N55" s="10"/>
      <c r="O55" s="0" t="str">
        <f aca="false">VLOOKUP(C55,statusdetails!$A:$D,4,0)</f>
        <v>READY</v>
      </c>
    </row>
    <row r="56" customFormat="false" ht="12.8" hidden="true" customHeight="false" outlineLevel="0" collapsed="false">
      <c r="A56" s="0" t="n">
        <v>466137</v>
      </c>
      <c r="B56" s="0" t="n">
        <v>466137</v>
      </c>
      <c r="C56" s="0" t="n">
        <v>3</v>
      </c>
      <c r="D56" s="0" t="n">
        <v>12</v>
      </c>
      <c r="E56" s="0" t="n">
        <v>1011</v>
      </c>
      <c r="F56" s="0" t="n">
        <v>66</v>
      </c>
      <c r="G56" s="0" t="n">
        <v>94</v>
      </c>
      <c r="H56" s="0" t="s">
        <v>108</v>
      </c>
      <c r="I56" s="0" t="s">
        <v>143</v>
      </c>
      <c r="J56" s="9" t="n">
        <v>45901</v>
      </c>
      <c r="K56" s="0" t="s">
        <v>144</v>
      </c>
      <c r="L56" s="0" t="n">
        <v>11</v>
      </c>
      <c r="M56" s="10" t="n">
        <f aca="false">_xlfn.NUMBERVALUE("" &amp; K56 &amp; "",".",",")</f>
        <v>0.00979729777777778</v>
      </c>
      <c r="N56" s="10"/>
      <c r="O56" s="0" t="str">
        <f aca="false">VLOOKUP(C56,statusdetails!$A:$D,4,0)</f>
        <v>STANDBY</v>
      </c>
      <c r="P56" s="0" t="str">
        <f aca="false">VLOOKUP(F56,equipment!$A:$E,4,0)</f>
        <v>CM407</v>
      </c>
      <c r="Q56" s="0" t="str">
        <f aca="false">VLOOKUP(F56,equipment!$A:$E,5,0)</f>
        <v>CM407 - 66</v>
      </c>
    </row>
    <row r="57" customFormat="false" ht="12.8" hidden="true" customHeight="false" outlineLevel="0" collapsed="false">
      <c r="A57" s="0" t="n">
        <v>466138</v>
      </c>
      <c r="B57" s="0" t="n">
        <v>466138</v>
      </c>
      <c r="C57" s="0" t="n">
        <v>4</v>
      </c>
      <c r="D57" s="0" t="n">
        <v>16</v>
      </c>
      <c r="E57" s="0" t="n">
        <v>1459</v>
      </c>
      <c r="F57" s="0" t="n">
        <v>90</v>
      </c>
      <c r="G57" s="0" t="n">
        <v>10</v>
      </c>
      <c r="H57" s="0" t="s">
        <v>145</v>
      </c>
      <c r="I57" s="0" t="s">
        <v>146</v>
      </c>
      <c r="J57" s="9" t="n">
        <v>45901</v>
      </c>
      <c r="K57" s="0" t="s">
        <v>147</v>
      </c>
      <c r="L57" s="0" t="n">
        <v>11</v>
      </c>
      <c r="M57" s="10" t="n">
        <f aca="false">_xlfn.NUMBERVALUE("" &amp; K57 &amp; "",".",",")</f>
        <v>0.381782753055556</v>
      </c>
      <c r="N57" s="10"/>
      <c r="O57" s="0" t="str">
        <f aca="false">VLOOKUP(C57,statusdetails!$A:$D,4,0)</f>
        <v>MAINT</v>
      </c>
    </row>
    <row r="58" customFormat="false" ht="12.8" hidden="true" customHeight="false" outlineLevel="0" collapsed="false">
      <c r="A58" s="0" t="n">
        <v>466139</v>
      </c>
      <c r="B58" s="0" t="n">
        <v>466139</v>
      </c>
      <c r="C58" s="0" t="n">
        <v>3</v>
      </c>
      <c r="D58" s="0" t="n">
        <v>12</v>
      </c>
      <c r="E58" s="0" t="n">
        <v>2422</v>
      </c>
      <c r="F58" s="0" t="n">
        <v>89</v>
      </c>
      <c r="G58" s="0" t="n">
        <v>130</v>
      </c>
      <c r="H58" s="0" t="s">
        <v>135</v>
      </c>
      <c r="I58" s="0" t="s">
        <v>148</v>
      </c>
      <c r="J58" s="9" t="n">
        <v>45901</v>
      </c>
      <c r="K58" s="0" t="s">
        <v>149</v>
      </c>
      <c r="L58" s="0" t="n">
        <v>11</v>
      </c>
      <c r="M58" s="10" t="n">
        <f aca="false">_xlfn.NUMBERVALUE("" &amp; K58 &amp; "",".",",")</f>
        <v>1.29717640416667</v>
      </c>
      <c r="N58" s="10"/>
      <c r="O58" s="0" t="str">
        <f aca="false">VLOOKUP(C58,statusdetails!$A:$D,4,0)</f>
        <v>STANDBY</v>
      </c>
      <c r="P58" s="0" t="str">
        <f aca="false">VLOOKUP(F58,equipment!$A:$E,4,0)</f>
        <v>CM06</v>
      </c>
      <c r="Q58" s="0" t="str">
        <f aca="false">VLOOKUP(F58,equipment!$A:$E,5,0)</f>
        <v>CM06 - 89</v>
      </c>
    </row>
    <row r="59" customFormat="false" ht="12.8" hidden="true" customHeight="false" outlineLevel="0" collapsed="false">
      <c r="A59" s="0" t="n">
        <v>466140</v>
      </c>
      <c r="B59" s="0" t="n">
        <v>466140</v>
      </c>
      <c r="C59" s="0" t="n">
        <v>1</v>
      </c>
      <c r="D59" s="0" t="n">
        <v>6</v>
      </c>
      <c r="E59" s="0" t="n">
        <v>260</v>
      </c>
      <c r="F59" s="0" t="n">
        <v>66</v>
      </c>
      <c r="G59" s="0" t="n">
        <v>94</v>
      </c>
      <c r="H59" s="0" t="s">
        <v>143</v>
      </c>
      <c r="I59" s="0" t="s">
        <v>150</v>
      </c>
      <c r="J59" s="9" t="n">
        <v>45901</v>
      </c>
      <c r="K59" s="0" t="s">
        <v>151</v>
      </c>
      <c r="L59" s="0" t="n">
        <v>11</v>
      </c>
      <c r="M59" s="10" t="n">
        <f aca="false">_xlfn.NUMBERVALUE("" &amp; K59 &amp; "",".",",")</f>
        <v>0.293728257777778</v>
      </c>
      <c r="N59" s="10"/>
      <c r="O59" s="0" t="str">
        <f aca="false">VLOOKUP(C59,statusdetails!$A:$D,4,0)</f>
        <v>READY</v>
      </c>
    </row>
    <row r="60" customFormat="false" ht="12.8" hidden="true" customHeight="false" outlineLevel="0" collapsed="false">
      <c r="A60" s="0" t="n">
        <v>466141</v>
      </c>
      <c r="B60" s="0" t="n">
        <v>466141</v>
      </c>
      <c r="C60" s="0" t="n">
        <v>3</v>
      </c>
      <c r="D60" s="0" t="n">
        <v>14</v>
      </c>
      <c r="E60" s="0" t="n">
        <v>1198</v>
      </c>
      <c r="F60" s="0" t="n">
        <v>33</v>
      </c>
      <c r="G60" s="0" t="n">
        <v>53</v>
      </c>
      <c r="H60" s="0" t="s">
        <v>152</v>
      </c>
      <c r="I60" s="0" t="s">
        <v>153</v>
      </c>
      <c r="J60" s="9" t="n">
        <v>45901</v>
      </c>
      <c r="K60" s="0" t="s">
        <v>154</v>
      </c>
      <c r="L60" s="0" t="n">
        <v>11</v>
      </c>
      <c r="M60" s="10" t="n">
        <f aca="false">_xlfn.NUMBERVALUE("" &amp; K60 &amp; "",".",",")</f>
        <v>0.0960315183333333</v>
      </c>
      <c r="N60" s="10"/>
      <c r="O60" s="0" t="str">
        <f aca="false">VLOOKUP(C60,statusdetails!$A:$D,4,0)</f>
        <v>STANDBY</v>
      </c>
      <c r="P60" s="0" t="str">
        <f aca="false">VLOOKUP(F60,equipment!$A:$E,4,0)</f>
        <v>CM406</v>
      </c>
      <c r="Q60" s="0" t="str">
        <f aca="false">VLOOKUP(F60,equipment!$A:$E,5,0)</f>
        <v>CM406 - 33</v>
      </c>
    </row>
    <row r="61" customFormat="false" ht="12.8" hidden="true" customHeight="false" outlineLevel="0" collapsed="false">
      <c r="A61" s="0" t="n">
        <v>466142</v>
      </c>
      <c r="B61" s="0" t="n">
        <v>466142</v>
      </c>
      <c r="C61" s="0" t="n">
        <v>3</v>
      </c>
      <c r="D61" s="0" t="n">
        <v>12</v>
      </c>
      <c r="E61" s="0" t="n">
        <v>2422</v>
      </c>
      <c r="F61" s="0" t="n">
        <v>84</v>
      </c>
      <c r="G61" s="0" t="n">
        <v>138</v>
      </c>
      <c r="H61" s="0" t="s">
        <v>85</v>
      </c>
      <c r="I61" s="0" t="s">
        <v>155</v>
      </c>
      <c r="J61" s="9" t="n">
        <v>45901</v>
      </c>
      <c r="K61" s="0" t="s">
        <v>156</v>
      </c>
      <c r="L61" s="0" t="n">
        <v>12</v>
      </c>
      <c r="M61" s="10" t="n">
        <f aca="false">_xlfn.NUMBERVALUE("" &amp; K61 &amp; "",".",",")</f>
        <v>1.35328913888889</v>
      </c>
      <c r="N61" s="10"/>
      <c r="O61" s="0" t="str">
        <f aca="false">VLOOKUP(C61,statusdetails!$A:$D,4,0)</f>
        <v>STANDBY</v>
      </c>
      <c r="P61" s="0" t="str">
        <f aca="false">VLOOKUP(F61,equipment!$A:$E,4,0)</f>
        <v>CM01</v>
      </c>
      <c r="Q61" s="0" t="str">
        <f aca="false">VLOOKUP(F61,equipment!$A:$E,5,0)</f>
        <v>CM01 - 84</v>
      </c>
    </row>
    <row r="62" customFormat="false" ht="12.8" hidden="true" customHeight="false" outlineLevel="0" collapsed="false">
      <c r="A62" s="0" t="n">
        <v>466143</v>
      </c>
      <c r="B62" s="0" t="n">
        <v>466143</v>
      </c>
      <c r="C62" s="0" t="n">
        <v>2</v>
      </c>
      <c r="D62" s="0" t="n">
        <v>7</v>
      </c>
      <c r="E62" s="0" t="n">
        <v>2385</v>
      </c>
      <c r="F62" s="0" t="n">
        <v>96</v>
      </c>
      <c r="G62" s="0" t="n">
        <v>6</v>
      </c>
      <c r="H62" s="0" t="s">
        <v>94</v>
      </c>
      <c r="I62" s="0" t="s">
        <v>157</v>
      </c>
      <c r="J62" s="9" t="n">
        <v>45901</v>
      </c>
      <c r="K62" s="0" t="s">
        <v>158</v>
      </c>
      <c r="L62" s="0" t="n">
        <v>12</v>
      </c>
      <c r="M62" s="3" t="n">
        <f aca="false">_xlfn.NUMBERVALUE("" &amp; K62 &amp; "",".",",")</f>
        <v>0.0964609861111111</v>
      </c>
      <c r="O62" s="0" t="str">
        <f aca="false">VLOOKUP(C62,statusdetails!$A:$D,4,0)</f>
        <v>DELAY</v>
      </c>
    </row>
    <row r="63" customFormat="false" ht="12.8" hidden="true" customHeight="false" outlineLevel="0" collapsed="false">
      <c r="A63" s="0" t="n">
        <v>466144</v>
      </c>
      <c r="B63" s="0" t="n">
        <v>466144</v>
      </c>
      <c r="C63" s="0" t="n">
        <v>3</v>
      </c>
      <c r="D63" s="0" t="n">
        <v>14</v>
      </c>
      <c r="E63" s="0" t="n">
        <v>1142</v>
      </c>
      <c r="F63" s="0" t="n">
        <v>33</v>
      </c>
      <c r="G63" s="0" t="n">
        <v>53</v>
      </c>
      <c r="H63" s="0" t="s">
        <v>153</v>
      </c>
      <c r="I63" s="0" t="s">
        <v>159</v>
      </c>
      <c r="J63" s="9" t="n">
        <v>45901</v>
      </c>
      <c r="K63" s="0" t="s">
        <v>160</v>
      </c>
      <c r="L63" s="0" t="n">
        <v>12</v>
      </c>
      <c r="M63" s="10" t="n">
        <f aca="false">_xlfn.NUMBERVALUE("" &amp; K63 &amp; "",".",",")</f>
        <v>1.30777212694444</v>
      </c>
      <c r="N63" s="10"/>
      <c r="O63" s="0" t="str">
        <f aca="false">VLOOKUP(C63,statusdetails!$A:$D,4,0)</f>
        <v>STANDBY</v>
      </c>
      <c r="P63" s="0" t="str">
        <f aca="false">VLOOKUP(F63,equipment!$A:$E,4,0)</f>
        <v>CM406</v>
      </c>
      <c r="Q63" s="0" t="str">
        <f aca="false">VLOOKUP(F63,equipment!$A:$E,5,0)</f>
        <v>CM406 - 33</v>
      </c>
    </row>
    <row r="64" customFormat="false" ht="12.8" hidden="true" customHeight="false" outlineLevel="0" collapsed="false">
      <c r="A64" s="0" t="n">
        <v>466145</v>
      </c>
      <c r="B64" s="0" t="n">
        <v>466145</v>
      </c>
      <c r="C64" s="0" t="n">
        <v>4</v>
      </c>
      <c r="D64" s="0" t="n">
        <v>16</v>
      </c>
      <c r="E64" s="0" t="n">
        <v>1345</v>
      </c>
      <c r="F64" s="0" t="n">
        <v>74</v>
      </c>
      <c r="G64" s="0" t="n">
        <v>58</v>
      </c>
      <c r="H64" s="0" t="s">
        <v>28</v>
      </c>
      <c r="I64" s="0" t="s">
        <v>161</v>
      </c>
      <c r="J64" s="9" t="n">
        <v>45901</v>
      </c>
      <c r="K64" s="0" t="s">
        <v>162</v>
      </c>
      <c r="L64" s="0" t="n">
        <v>12</v>
      </c>
      <c r="M64" s="10" t="n">
        <f aca="false">_xlfn.NUMBERVALUE("" &amp; K64 &amp; "",".",",")</f>
        <v>0.889377210833333</v>
      </c>
      <c r="N64" s="10"/>
      <c r="O64" s="0" t="str">
        <f aca="false">VLOOKUP(C64,statusdetails!$A:$D,4,0)</f>
        <v>MAINT</v>
      </c>
    </row>
    <row r="65" customFormat="false" ht="12.8" hidden="true" customHeight="false" outlineLevel="0" collapsed="false">
      <c r="A65" s="0" t="n">
        <v>466146</v>
      </c>
      <c r="B65" s="0" t="n">
        <v>466146</v>
      </c>
      <c r="C65" s="0" t="n">
        <v>3</v>
      </c>
      <c r="D65" s="0" t="n">
        <v>14</v>
      </c>
      <c r="E65" s="0" t="n">
        <v>1142</v>
      </c>
      <c r="F65" s="0" t="n">
        <v>35</v>
      </c>
      <c r="G65" s="0" t="n">
        <v>119</v>
      </c>
      <c r="H65" s="0" t="s">
        <v>83</v>
      </c>
      <c r="I65" s="0" t="s">
        <v>163</v>
      </c>
      <c r="J65" s="9" t="n">
        <v>45901</v>
      </c>
      <c r="K65" s="0" t="s">
        <v>164</v>
      </c>
      <c r="L65" s="0" t="n">
        <v>12</v>
      </c>
      <c r="M65" s="10" t="n">
        <f aca="false">_xlfn.NUMBERVALUE("" &amp; K65 &amp; "",".",",")</f>
        <v>1.25601493055556</v>
      </c>
      <c r="N65" s="10"/>
      <c r="O65" s="0" t="str">
        <f aca="false">VLOOKUP(C65,statusdetails!$A:$D,4,0)</f>
        <v>STANDBY</v>
      </c>
      <c r="P65" s="0" t="str">
        <f aca="false">VLOOKUP(F65,equipment!$A:$E,4,0)</f>
        <v>CM405</v>
      </c>
      <c r="Q65" s="0" t="str">
        <f aca="false">VLOOKUP(F65,equipment!$A:$E,5,0)</f>
        <v>CM405 - 35</v>
      </c>
    </row>
    <row r="66" customFormat="false" ht="12.8" hidden="true" customHeight="false" outlineLevel="0" collapsed="false">
      <c r="A66" s="0" t="n">
        <v>466147</v>
      </c>
      <c r="B66" s="0" t="n">
        <v>466147</v>
      </c>
      <c r="C66" s="0" t="n">
        <v>3</v>
      </c>
      <c r="D66" s="0" t="n">
        <v>14</v>
      </c>
      <c r="E66" s="0" t="n">
        <v>2386</v>
      </c>
      <c r="F66" s="0" t="n">
        <v>96</v>
      </c>
      <c r="G66" s="0" t="n">
        <v>6</v>
      </c>
      <c r="H66" s="0" t="s">
        <v>157</v>
      </c>
      <c r="I66" s="0" t="s">
        <v>165</v>
      </c>
      <c r="J66" s="9" t="n">
        <v>45901</v>
      </c>
      <c r="K66" s="0" t="s">
        <v>166</v>
      </c>
      <c r="L66" s="0" t="n">
        <v>12</v>
      </c>
      <c r="M66" s="10" t="n">
        <f aca="false">_xlfn.NUMBERVALUE("" &amp; K66 &amp; "",".",",")</f>
        <v>0.935189432777778</v>
      </c>
      <c r="N66" s="10"/>
      <c r="O66" s="0" t="str">
        <f aca="false">VLOOKUP(C66,statusdetails!$A:$D,4,0)</f>
        <v>STANDBY</v>
      </c>
      <c r="P66" s="0" t="str">
        <f aca="false">VLOOKUP(F66,equipment!$A:$E,4,0)</f>
        <v>EX503</v>
      </c>
      <c r="Q66" s="0" t="str">
        <f aca="false">VLOOKUP(F66,equipment!$A:$E,5,0)</f>
        <v>EX503 - 96</v>
      </c>
    </row>
    <row r="67" customFormat="false" ht="12.8" hidden="true" customHeight="false" outlineLevel="0" collapsed="false">
      <c r="A67" s="0" t="n">
        <v>466148</v>
      </c>
      <c r="B67" s="0" t="n">
        <v>466148</v>
      </c>
      <c r="C67" s="0" t="n">
        <v>3</v>
      </c>
      <c r="D67" s="0" t="n">
        <v>14</v>
      </c>
      <c r="E67" s="0" t="n">
        <v>1162</v>
      </c>
      <c r="F67" s="0" t="n">
        <v>66</v>
      </c>
      <c r="G67" s="0" t="n">
        <v>94</v>
      </c>
      <c r="H67" s="0" t="s">
        <v>150</v>
      </c>
      <c r="I67" s="0" t="s">
        <v>167</v>
      </c>
      <c r="J67" s="9" t="n">
        <v>45901</v>
      </c>
      <c r="K67" s="0" t="s">
        <v>168</v>
      </c>
      <c r="L67" s="0" t="n">
        <v>12</v>
      </c>
      <c r="M67" s="10" t="n">
        <f aca="false">_xlfn.NUMBERVALUE("" &amp; K67 &amp; "",".",",")</f>
        <v>0.0758419908333333</v>
      </c>
      <c r="N67" s="10"/>
      <c r="O67" s="0" t="str">
        <f aca="false">VLOOKUP(C67,statusdetails!$A:$D,4,0)</f>
        <v>STANDBY</v>
      </c>
      <c r="P67" s="0" t="str">
        <f aca="false">VLOOKUP(F67,equipment!$A:$E,4,0)</f>
        <v>CM407</v>
      </c>
      <c r="Q67" s="0" t="str">
        <f aca="false">VLOOKUP(F67,equipment!$A:$E,5,0)</f>
        <v>CM407 - 66</v>
      </c>
    </row>
    <row r="68" customFormat="false" ht="12.8" hidden="true" customHeight="false" outlineLevel="0" collapsed="false">
      <c r="A68" s="0" t="n">
        <v>466149</v>
      </c>
      <c r="B68" s="0" t="n">
        <v>466149</v>
      </c>
      <c r="C68" s="0" t="n">
        <v>1</v>
      </c>
      <c r="D68" s="0" t="n">
        <v>6</v>
      </c>
      <c r="E68" s="0" t="n">
        <v>260</v>
      </c>
      <c r="F68" s="0" t="n">
        <v>66</v>
      </c>
      <c r="G68" s="0" t="n">
        <v>94</v>
      </c>
      <c r="H68" s="0" t="s">
        <v>167</v>
      </c>
      <c r="I68" s="0" t="s">
        <v>169</v>
      </c>
      <c r="J68" s="9" t="n">
        <v>45901</v>
      </c>
      <c r="K68" s="0" t="s">
        <v>170</v>
      </c>
      <c r="L68" s="0" t="n">
        <v>12</v>
      </c>
      <c r="M68" s="10" t="n">
        <f aca="false">_xlfn.NUMBERVALUE("" &amp; K68 &amp; "",".",",")</f>
        <v>3.05796740027778</v>
      </c>
      <c r="N68" s="10"/>
      <c r="O68" s="0" t="str">
        <f aca="false">VLOOKUP(C68,statusdetails!$A:$D,4,0)</f>
        <v>READY</v>
      </c>
    </row>
    <row r="69" customFormat="false" ht="12.8" hidden="true" customHeight="false" outlineLevel="0" collapsed="false">
      <c r="A69" s="0" t="n">
        <v>466150</v>
      </c>
      <c r="B69" s="0" t="n">
        <v>466150</v>
      </c>
      <c r="C69" s="0" t="n">
        <v>1</v>
      </c>
      <c r="D69" s="0" t="n">
        <v>6</v>
      </c>
      <c r="E69" s="0" t="n">
        <v>1397</v>
      </c>
      <c r="F69" s="0" t="n">
        <v>90</v>
      </c>
      <c r="G69" s="0" t="n">
        <v>10</v>
      </c>
      <c r="H69" s="0" t="s">
        <v>146</v>
      </c>
      <c r="I69" s="0" t="s">
        <v>171</v>
      </c>
      <c r="J69" s="9" t="n">
        <v>45901</v>
      </c>
      <c r="K69" s="0" t="s">
        <v>172</v>
      </c>
      <c r="L69" s="0" t="n">
        <v>12</v>
      </c>
      <c r="M69" s="10" t="n">
        <f aca="false">_xlfn.NUMBERVALUE("" &amp; K69 &amp; "",".",",")</f>
        <v>0.201575597777778</v>
      </c>
      <c r="N69" s="10"/>
      <c r="O69" s="0" t="str">
        <f aca="false">VLOOKUP(C69,statusdetails!$A:$D,4,0)</f>
        <v>READY</v>
      </c>
    </row>
    <row r="70" customFormat="false" ht="12.8" hidden="true" customHeight="false" outlineLevel="0" collapsed="false">
      <c r="A70" s="0" t="n">
        <v>466151</v>
      </c>
      <c r="B70" s="0" t="n">
        <v>466151</v>
      </c>
      <c r="C70" s="0" t="n">
        <v>2</v>
      </c>
      <c r="D70" s="0" t="n">
        <v>9</v>
      </c>
      <c r="E70" s="0" t="n">
        <v>2568</v>
      </c>
      <c r="F70" s="0" t="n">
        <v>32</v>
      </c>
      <c r="G70" s="0" t="n">
        <v>113</v>
      </c>
      <c r="H70" s="0" t="s">
        <v>137</v>
      </c>
      <c r="I70" s="0" t="s">
        <v>173</v>
      </c>
      <c r="J70" s="9" t="n">
        <v>45901</v>
      </c>
      <c r="K70" s="0" t="s">
        <v>174</v>
      </c>
      <c r="L70" s="0" t="n">
        <v>12</v>
      </c>
      <c r="M70" s="3" t="n">
        <f aca="false">_xlfn.NUMBERVALUE("" &amp; K70 &amp; "",".",",")</f>
        <v>0.0628926086111111</v>
      </c>
      <c r="O70" s="0" t="str">
        <f aca="false">VLOOKUP(C70,statusdetails!$A:$D,4,0)</f>
        <v>DELAY</v>
      </c>
    </row>
    <row r="71" customFormat="false" ht="12.8" hidden="true" customHeight="false" outlineLevel="0" collapsed="false">
      <c r="A71" s="0" t="n">
        <v>466152</v>
      </c>
      <c r="B71" s="0" t="n">
        <v>466152</v>
      </c>
      <c r="C71" s="0" t="n">
        <v>3</v>
      </c>
      <c r="D71" s="0" t="n">
        <v>14</v>
      </c>
      <c r="E71" s="0" t="n">
        <v>1512</v>
      </c>
      <c r="F71" s="0" t="n">
        <v>90</v>
      </c>
      <c r="G71" s="0" t="n">
        <v>10</v>
      </c>
      <c r="H71" s="0" t="s">
        <v>171</v>
      </c>
      <c r="I71" s="0" t="s">
        <v>175</v>
      </c>
      <c r="J71" s="9" t="n">
        <v>45901</v>
      </c>
      <c r="K71" s="0" t="s">
        <v>176</v>
      </c>
      <c r="L71" s="0" t="n">
        <v>12</v>
      </c>
      <c r="M71" s="10" t="n">
        <f aca="false">_xlfn.NUMBERVALUE("" &amp; K71 &amp; "",".",",")</f>
        <v>0.372830854444444</v>
      </c>
      <c r="N71" s="10"/>
      <c r="O71" s="0" t="str">
        <f aca="false">VLOOKUP(C71,statusdetails!$A:$D,4,0)</f>
        <v>STANDBY</v>
      </c>
      <c r="P71" s="0" t="str">
        <f aca="false">VLOOKUP(F71,equipment!$A:$E,4,0)</f>
        <v>EX803</v>
      </c>
      <c r="Q71" s="0" t="str">
        <f aca="false">VLOOKUP(F71,equipment!$A:$E,5,0)</f>
        <v>EX803 - 90</v>
      </c>
    </row>
    <row r="72" customFormat="false" ht="12.8" hidden="true" customHeight="false" outlineLevel="0" collapsed="false">
      <c r="A72" s="0" t="n">
        <v>466153</v>
      </c>
      <c r="B72" s="0" t="n">
        <v>466153</v>
      </c>
      <c r="C72" s="0" t="n">
        <v>1</v>
      </c>
      <c r="D72" s="0" t="n">
        <v>6</v>
      </c>
      <c r="E72" s="0" t="n">
        <v>260</v>
      </c>
      <c r="F72" s="0" t="n">
        <v>32</v>
      </c>
      <c r="G72" s="0" t="n">
        <v>113</v>
      </c>
      <c r="H72" s="0" t="s">
        <v>173</v>
      </c>
      <c r="I72" s="0" t="s">
        <v>177</v>
      </c>
      <c r="J72" s="9" t="n">
        <v>45901</v>
      </c>
      <c r="K72" s="0" t="s">
        <v>178</v>
      </c>
      <c r="L72" s="0" t="n">
        <v>12</v>
      </c>
      <c r="M72" s="10" t="n">
        <f aca="false">_xlfn.NUMBERVALUE("" &amp; K72 &amp; "",".",",")</f>
        <v>0.718836835833333</v>
      </c>
      <c r="N72" s="10"/>
      <c r="O72" s="0" t="str">
        <f aca="false">VLOOKUP(C72,statusdetails!$A:$D,4,0)</f>
        <v>READY</v>
      </c>
    </row>
    <row r="73" customFormat="false" ht="12.8" hidden="true" customHeight="false" outlineLevel="0" collapsed="false">
      <c r="A73" s="0" t="n">
        <v>466154</v>
      </c>
      <c r="B73" s="0" t="n">
        <v>466154</v>
      </c>
      <c r="C73" s="0" t="n">
        <v>2</v>
      </c>
      <c r="D73" s="0" t="n">
        <v>7</v>
      </c>
      <c r="E73" s="0" t="n">
        <v>1494</v>
      </c>
      <c r="F73" s="0" t="n">
        <v>90</v>
      </c>
      <c r="G73" s="0" t="n">
        <v>10</v>
      </c>
      <c r="H73" s="0" t="s">
        <v>175</v>
      </c>
      <c r="I73" s="0" t="s">
        <v>179</v>
      </c>
      <c r="J73" s="9" t="n">
        <v>45901</v>
      </c>
      <c r="K73" s="0" t="s">
        <v>180</v>
      </c>
      <c r="L73" s="0" t="n">
        <v>12</v>
      </c>
      <c r="M73" s="3" t="n">
        <f aca="false">_xlfn.NUMBERVALUE("" &amp; K73 &amp; "",".",",")</f>
        <v>0.0403341155555556</v>
      </c>
      <c r="O73" s="0" t="str">
        <f aca="false">VLOOKUP(C73,statusdetails!$A:$D,4,0)</f>
        <v>DELAY</v>
      </c>
    </row>
    <row r="74" customFormat="false" ht="12.8" hidden="true" customHeight="false" outlineLevel="0" collapsed="false">
      <c r="A74" s="0" t="n">
        <v>466155</v>
      </c>
      <c r="B74" s="0" t="n">
        <v>466155</v>
      </c>
      <c r="C74" s="0" t="n">
        <v>1</v>
      </c>
      <c r="D74" s="0" t="n">
        <v>6</v>
      </c>
      <c r="E74" s="0" t="n">
        <v>1397</v>
      </c>
      <c r="F74" s="0" t="n">
        <v>90</v>
      </c>
      <c r="G74" s="0" t="n">
        <v>10</v>
      </c>
      <c r="H74" s="0" t="s">
        <v>179</v>
      </c>
      <c r="I74" s="0" t="s">
        <v>181</v>
      </c>
      <c r="J74" s="9" t="n">
        <v>45901</v>
      </c>
      <c r="K74" s="0" t="s">
        <v>182</v>
      </c>
      <c r="L74" s="0" t="n">
        <v>12</v>
      </c>
      <c r="M74" s="10" t="n">
        <f aca="false">_xlfn.NUMBERVALUE("" &amp; K74 &amp; "",".",",")</f>
        <v>2.44062274638889</v>
      </c>
      <c r="N74" s="10"/>
      <c r="O74" s="0" t="str">
        <f aca="false">VLOOKUP(C74,statusdetails!$A:$D,4,0)</f>
        <v>READY</v>
      </c>
    </row>
    <row r="75" customFormat="false" ht="12.8" hidden="true" customHeight="false" outlineLevel="0" collapsed="false">
      <c r="A75" s="0" t="n">
        <v>466156</v>
      </c>
      <c r="B75" s="0" t="n">
        <v>466156</v>
      </c>
      <c r="C75" s="0" t="n">
        <v>3</v>
      </c>
      <c r="D75" s="0" t="n">
        <v>12</v>
      </c>
      <c r="E75" s="0" t="n">
        <v>1175</v>
      </c>
      <c r="F75" s="0" t="n">
        <v>74</v>
      </c>
      <c r="G75" s="0" t="n">
        <v>58</v>
      </c>
      <c r="H75" s="0" t="s">
        <v>161</v>
      </c>
      <c r="I75" s="0" t="s">
        <v>183</v>
      </c>
      <c r="J75" s="9" t="n">
        <v>45901</v>
      </c>
      <c r="K75" s="0" t="s">
        <v>184</v>
      </c>
      <c r="L75" s="0" t="n">
        <v>12</v>
      </c>
      <c r="M75" s="10" t="n">
        <f aca="false">_xlfn.NUMBERVALUE("" &amp; K75 &amp; "",".",",")</f>
        <v>6.810187055</v>
      </c>
      <c r="N75" s="10"/>
      <c r="O75" s="0" t="str">
        <f aca="false">VLOOKUP(C75,statusdetails!$A:$D,4,0)</f>
        <v>STANDBY</v>
      </c>
      <c r="P75" s="0" t="str">
        <f aca="false">VLOOKUP(F75,equipment!$A:$E,4,0)</f>
        <v>CR701</v>
      </c>
      <c r="Q75" s="0" t="str">
        <f aca="false">VLOOKUP(F75,equipment!$A:$E,5,0)</f>
        <v>CR701 - 74</v>
      </c>
    </row>
    <row r="76" customFormat="false" ht="12.8" hidden="true" customHeight="false" outlineLevel="0" collapsed="false">
      <c r="A76" s="0" t="n">
        <v>466157</v>
      </c>
      <c r="B76" s="0" t="n">
        <v>466157</v>
      </c>
      <c r="C76" s="0" t="n">
        <v>4</v>
      </c>
      <c r="D76" s="0" t="n">
        <v>15</v>
      </c>
      <c r="E76" s="0" t="n">
        <v>2396</v>
      </c>
      <c r="F76" s="0" t="n">
        <v>96</v>
      </c>
      <c r="G76" s="0" t="n">
        <v>6</v>
      </c>
      <c r="H76" s="0" t="s">
        <v>165</v>
      </c>
      <c r="I76" s="0" t="s">
        <v>185</v>
      </c>
      <c r="J76" s="9" t="n">
        <v>45901</v>
      </c>
      <c r="K76" s="0" t="s">
        <v>186</v>
      </c>
      <c r="L76" s="0" t="n">
        <v>13</v>
      </c>
      <c r="M76" s="10" t="n">
        <f aca="false">_xlfn.NUMBERVALUE("" &amp; K76 &amp; "",".",",")</f>
        <v>0.316691432222222</v>
      </c>
      <c r="N76" s="10"/>
      <c r="O76" s="0" t="str">
        <f aca="false">VLOOKUP(C76,statusdetails!$A:$D,4,0)</f>
        <v>MAINT</v>
      </c>
    </row>
    <row r="77" customFormat="false" ht="12.8" hidden="true" customHeight="false" outlineLevel="0" collapsed="false">
      <c r="A77" s="0" t="n">
        <v>466158</v>
      </c>
      <c r="B77" s="0" t="n">
        <v>466158</v>
      </c>
      <c r="C77" s="0" t="n">
        <v>4</v>
      </c>
      <c r="D77" s="0" t="n">
        <v>16</v>
      </c>
      <c r="E77" s="0" t="n">
        <v>2520</v>
      </c>
      <c r="F77" s="0" t="n">
        <v>82</v>
      </c>
      <c r="G77" s="0" t="n">
        <v>110</v>
      </c>
      <c r="H77" s="0" t="s">
        <v>117</v>
      </c>
      <c r="I77" s="0" t="s">
        <v>187</v>
      </c>
      <c r="J77" s="9" t="n">
        <v>45901</v>
      </c>
      <c r="K77" s="0" t="s">
        <v>188</v>
      </c>
      <c r="L77" s="0" t="n">
        <v>13</v>
      </c>
      <c r="M77" s="10" t="n">
        <f aca="false">_xlfn.NUMBERVALUE("" &amp; K77 &amp; "",".",",")</f>
        <v>0.396774612777778</v>
      </c>
      <c r="N77" s="10"/>
      <c r="O77" s="0" t="str">
        <f aca="false">VLOOKUP(C77,statusdetails!$A:$D,4,0)</f>
        <v>MAINT</v>
      </c>
    </row>
    <row r="78" customFormat="false" ht="12.8" hidden="true" customHeight="false" outlineLevel="0" collapsed="false">
      <c r="A78" s="0" t="n">
        <v>466159</v>
      </c>
      <c r="B78" s="0" t="n">
        <v>466159</v>
      </c>
      <c r="C78" s="0" t="n">
        <v>3</v>
      </c>
      <c r="D78" s="0" t="n">
        <v>12</v>
      </c>
      <c r="E78" s="0" t="n">
        <v>1175</v>
      </c>
      <c r="F78" s="0" t="n">
        <v>49</v>
      </c>
      <c r="G78" s="0" t="n">
        <v>0</v>
      </c>
      <c r="H78" s="0" t="s">
        <v>57</v>
      </c>
      <c r="I78" s="0" t="s">
        <v>189</v>
      </c>
      <c r="J78" s="9" t="n">
        <v>45901</v>
      </c>
      <c r="K78" s="0" t="s">
        <v>190</v>
      </c>
      <c r="L78" s="0" t="n">
        <v>13</v>
      </c>
      <c r="M78" s="10" t="n">
        <f aca="false">_xlfn.NUMBERVALUE("" &amp; K78 &amp; "",".",",")</f>
        <v>0.672570911388889</v>
      </c>
      <c r="N78" s="10"/>
      <c r="O78" s="0" t="str">
        <f aca="false">VLOOKUP(C78,statusdetails!$A:$D,4,0)</f>
        <v>STANDBY</v>
      </c>
      <c r="P78" s="0" t="str">
        <f aca="false">VLOOKUP(F78,equipment!$A:$E,4,0)</f>
        <v>CR702</v>
      </c>
      <c r="Q78" s="0" t="str">
        <f aca="false">VLOOKUP(F78,equipment!$A:$E,5,0)</f>
        <v>CR702 - 49</v>
      </c>
    </row>
    <row r="79" customFormat="false" ht="12.8" hidden="true" customHeight="false" outlineLevel="0" collapsed="false">
      <c r="A79" s="0" t="n">
        <v>466160</v>
      </c>
      <c r="B79" s="0" t="n">
        <v>466160</v>
      </c>
      <c r="C79" s="0" t="n">
        <v>1</v>
      </c>
      <c r="D79" s="0" t="n">
        <v>6</v>
      </c>
      <c r="E79" s="0" t="n">
        <v>2404</v>
      </c>
      <c r="F79" s="0" t="n">
        <v>89</v>
      </c>
      <c r="G79" s="0" t="n">
        <v>130</v>
      </c>
      <c r="H79" s="0" t="s">
        <v>148</v>
      </c>
      <c r="I79" s="0" t="s">
        <v>191</v>
      </c>
      <c r="J79" s="9" t="n">
        <v>45901</v>
      </c>
      <c r="K79" s="0" t="s">
        <v>192</v>
      </c>
      <c r="L79" s="0" t="n">
        <v>13</v>
      </c>
      <c r="M79" s="10" t="n">
        <f aca="false">_xlfn.NUMBERVALUE("" &amp; K79 &amp; "",".",",")</f>
        <v>6.77254271361111</v>
      </c>
      <c r="N79" s="10"/>
      <c r="O79" s="0" t="str">
        <f aca="false">VLOOKUP(C79,statusdetails!$A:$D,4,0)</f>
        <v>READY</v>
      </c>
    </row>
    <row r="80" customFormat="false" ht="12.8" hidden="true" customHeight="false" outlineLevel="0" collapsed="false">
      <c r="A80" s="0" t="n">
        <v>466161</v>
      </c>
      <c r="B80" s="0" t="n">
        <v>466161</v>
      </c>
      <c r="C80" s="0" t="n">
        <v>2</v>
      </c>
      <c r="D80" s="0" t="n">
        <v>9</v>
      </c>
      <c r="E80" s="0" t="n">
        <v>1004</v>
      </c>
      <c r="F80" s="0" t="n">
        <v>32</v>
      </c>
      <c r="G80" s="0" t="n">
        <v>113</v>
      </c>
      <c r="H80" s="0" t="s">
        <v>177</v>
      </c>
      <c r="I80" s="0" t="s">
        <v>193</v>
      </c>
      <c r="J80" s="9" t="n">
        <v>45901</v>
      </c>
      <c r="K80" s="0" t="s">
        <v>194</v>
      </c>
      <c r="L80" s="0" t="n">
        <v>13</v>
      </c>
      <c r="M80" s="3" t="n">
        <f aca="false">_xlfn.NUMBERVALUE("" &amp; K80 &amp; "",".",",")</f>
        <v>0.0553590286111111</v>
      </c>
      <c r="O80" s="0" t="str">
        <f aca="false">VLOOKUP(C80,statusdetails!$A:$D,4,0)</f>
        <v>DELAY</v>
      </c>
    </row>
    <row r="81" customFormat="false" ht="12.8" hidden="true" customHeight="false" outlineLevel="0" collapsed="false">
      <c r="A81" s="0" t="n">
        <v>466162</v>
      </c>
      <c r="B81" s="0" t="n">
        <v>466162</v>
      </c>
      <c r="C81" s="0" t="n">
        <v>3</v>
      </c>
      <c r="D81" s="0" t="n">
        <v>14</v>
      </c>
      <c r="E81" s="0" t="n">
        <v>1511</v>
      </c>
      <c r="F81" s="0" t="n">
        <v>60</v>
      </c>
      <c r="G81" s="0" t="n">
        <v>164</v>
      </c>
      <c r="H81" s="0" t="s">
        <v>101</v>
      </c>
      <c r="I81" s="0" t="s">
        <v>195</v>
      </c>
      <c r="J81" s="9" t="n">
        <v>45901</v>
      </c>
      <c r="K81" s="0" t="s">
        <v>196</v>
      </c>
      <c r="L81" s="0" t="n">
        <v>13</v>
      </c>
      <c r="M81" s="10" t="n">
        <f aca="false">_xlfn.NUMBERVALUE("" &amp; K81 &amp; "",".",",")</f>
        <v>0.116429528333333</v>
      </c>
      <c r="N81" s="10"/>
      <c r="O81" s="0" t="str">
        <f aca="false">VLOOKUP(C81,statusdetails!$A:$D,4,0)</f>
        <v>STANDBY</v>
      </c>
      <c r="P81" s="0" t="str">
        <f aca="false">VLOOKUP(F81,equipment!$A:$E,4,0)</f>
        <v>EX802</v>
      </c>
      <c r="Q81" s="0" t="str">
        <f aca="false">VLOOKUP(F81,equipment!$A:$E,5,0)</f>
        <v>EX802 - 60</v>
      </c>
    </row>
    <row r="82" customFormat="false" ht="12.8" hidden="true" customHeight="false" outlineLevel="0" collapsed="false">
      <c r="A82" s="0" t="n">
        <v>466163</v>
      </c>
      <c r="B82" s="0" t="n">
        <v>466163</v>
      </c>
      <c r="C82" s="0" t="n">
        <v>3</v>
      </c>
      <c r="D82" s="0" t="n">
        <v>14</v>
      </c>
      <c r="E82" s="0" t="n">
        <v>1162</v>
      </c>
      <c r="F82" s="0" t="n">
        <v>32</v>
      </c>
      <c r="G82" s="0" t="n">
        <v>78</v>
      </c>
      <c r="H82" s="0" t="s">
        <v>193</v>
      </c>
      <c r="I82" s="0" t="s">
        <v>197</v>
      </c>
      <c r="J82" s="9" t="n">
        <v>45901</v>
      </c>
      <c r="K82" s="0" t="s">
        <v>198</v>
      </c>
      <c r="L82" s="0" t="n">
        <v>13</v>
      </c>
      <c r="M82" s="10" t="n">
        <f aca="false">_xlfn.NUMBERVALUE("" &amp; K82 &amp; "",".",",")</f>
        <v>0.0533699797222222</v>
      </c>
      <c r="N82" s="10"/>
      <c r="O82" s="0" t="str">
        <f aca="false">VLOOKUP(C82,statusdetails!$A:$D,4,0)</f>
        <v>STANDBY</v>
      </c>
      <c r="P82" s="0" t="str">
        <f aca="false">VLOOKUP(F82,equipment!$A:$E,4,0)</f>
        <v>CM403</v>
      </c>
      <c r="Q82" s="0" t="str">
        <f aca="false">VLOOKUP(F82,equipment!$A:$E,5,0)</f>
        <v>CM403 - 32</v>
      </c>
    </row>
    <row r="83" customFormat="false" ht="12.8" hidden="true" customHeight="false" outlineLevel="0" collapsed="false">
      <c r="A83" s="0" t="n">
        <v>466164</v>
      </c>
      <c r="B83" s="0" t="n">
        <v>466164</v>
      </c>
      <c r="C83" s="0" t="n">
        <v>1</v>
      </c>
      <c r="D83" s="0" t="n">
        <v>6</v>
      </c>
      <c r="E83" s="0" t="n">
        <v>260</v>
      </c>
      <c r="F83" s="0" t="n">
        <v>32</v>
      </c>
      <c r="G83" s="0" t="n">
        <v>78</v>
      </c>
      <c r="H83" s="0" t="s">
        <v>197</v>
      </c>
      <c r="I83" s="0" t="s">
        <v>199</v>
      </c>
      <c r="J83" s="9" t="n">
        <v>45901</v>
      </c>
      <c r="K83" s="0" t="s">
        <v>200</v>
      </c>
      <c r="L83" s="0" t="n">
        <v>13</v>
      </c>
      <c r="M83" s="10" t="n">
        <f aca="false">_xlfn.NUMBERVALUE("" &amp; K83 &amp; "",".",",")</f>
        <v>1.81941948111111</v>
      </c>
      <c r="N83" s="10"/>
      <c r="O83" s="0" t="str">
        <f aca="false">VLOOKUP(C83,statusdetails!$A:$D,4,0)</f>
        <v>READY</v>
      </c>
    </row>
    <row r="84" customFormat="false" ht="12.8" hidden="true" customHeight="false" outlineLevel="0" collapsed="false">
      <c r="A84" s="0" t="n">
        <v>466165</v>
      </c>
      <c r="B84" s="0" t="n">
        <v>466165</v>
      </c>
      <c r="C84" s="0" t="n">
        <v>1</v>
      </c>
      <c r="D84" s="0" t="n">
        <v>6</v>
      </c>
      <c r="E84" s="0" t="n">
        <v>260</v>
      </c>
      <c r="F84" s="0" t="n">
        <v>33</v>
      </c>
      <c r="G84" s="0" t="n">
        <v>53</v>
      </c>
      <c r="H84" s="0" t="s">
        <v>159</v>
      </c>
      <c r="I84" s="0" t="s">
        <v>201</v>
      </c>
      <c r="J84" s="9" t="n">
        <v>45901</v>
      </c>
      <c r="K84" s="0" t="s">
        <v>202</v>
      </c>
      <c r="L84" s="0" t="n">
        <v>13</v>
      </c>
      <c r="M84" s="10" t="n">
        <f aca="false">_xlfn.NUMBERVALUE("" &amp; K84 &amp; "",".",",")</f>
        <v>0.590048888888889</v>
      </c>
      <c r="N84" s="10"/>
      <c r="O84" s="0" t="str">
        <f aca="false">VLOOKUP(C84,statusdetails!$A:$D,4,0)</f>
        <v>READY</v>
      </c>
    </row>
    <row r="85" customFormat="false" ht="12.8" hidden="true" customHeight="false" outlineLevel="0" collapsed="false">
      <c r="A85" s="0" t="n">
        <v>466166</v>
      </c>
      <c r="B85" s="0" t="n">
        <v>466166</v>
      </c>
      <c r="C85" s="0" t="n">
        <v>1</v>
      </c>
      <c r="D85" s="0" t="n">
        <v>6</v>
      </c>
      <c r="E85" s="0" t="n">
        <v>1397</v>
      </c>
      <c r="F85" s="0" t="n">
        <v>60</v>
      </c>
      <c r="G85" s="0" t="n">
        <v>164</v>
      </c>
      <c r="H85" s="0" t="s">
        <v>195</v>
      </c>
      <c r="I85" s="0" t="s">
        <v>203</v>
      </c>
      <c r="J85" s="9" t="n">
        <v>45901</v>
      </c>
      <c r="K85" s="0" t="s">
        <v>204</v>
      </c>
      <c r="L85" s="0" t="n">
        <v>13</v>
      </c>
      <c r="M85" s="10" t="n">
        <f aca="false">_xlfn.NUMBERVALUE("" &amp; K85 &amp; "",".",",")</f>
        <v>2.05927223444444</v>
      </c>
      <c r="N85" s="10"/>
      <c r="O85" s="0" t="str">
        <f aca="false">VLOOKUP(C85,statusdetails!$A:$D,4,0)</f>
        <v>READY</v>
      </c>
    </row>
    <row r="86" customFormat="false" ht="12.8" hidden="true" customHeight="false" outlineLevel="0" collapsed="false">
      <c r="A86" s="0" t="n">
        <v>466167</v>
      </c>
      <c r="B86" s="0" t="n">
        <v>466167</v>
      </c>
      <c r="C86" s="0" t="n">
        <v>1</v>
      </c>
      <c r="D86" s="0" t="n">
        <v>6</v>
      </c>
      <c r="E86" s="0" t="n">
        <v>2518</v>
      </c>
      <c r="F86" s="0" t="n">
        <v>96</v>
      </c>
      <c r="G86" s="0" t="n">
        <v>6</v>
      </c>
      <c r="H86" s="0" t="s">
        <v>185</v>
      </c>
      <c r="I86" s="0" t="s">
        <v>205</v>
      </c>
      <c r="J86" s="9" t="n">
        <v>45901</v>
      </c>
      <c r="K86" s="0" t="s">
        <v>206</v>
      </c>
      <c r="L86" s="0" t="n">
        <v>13</v>
      </c>
      <c r="M86" s="10" t="n">
        <f aca="false">_xlfn.NUMBERVALUE("" &amp; K86 &amp; "",".",",")</f>
        <v>0.605526643888889</v>
      </c>
      <c r="N86" s="10"/>
      <c r="O86" s="0" t="str">
        <f aca="false">VLOOKUP(C86,statusdetails!$A:$D,4,0)</f>
        <v>READY</v>
      </c>
    </row>
    <row r="87" customFormat="false" ht="12.8" hidden="true" customHeight="false" outlineLevel="0" collapsed="false">
      <c r="A87" s="0" t="n">
        <v>466168</v>
      </c>
      <c r="B87" s="0" t="n">
        <v>466168</v>
      </c>
      <c r="C87" s="0" t="n">
        <v>1</v>
      </c>
      <c r="D87" s="0" t="n">
        <v>6</v>
      </c>
      <c r="E87" s="0" t="n">
        <v>260</v>
      </c>
      <c r="F87" s="0" t="n">
        <v>35</v>
      </c>
      <c r="G87" s="0" t="n">
        <v>119</v>
      </c>
      <c r="H87" s="0" t="s">
        <v>163</v>
      </c>
      <c r="I87" s="0" t="s">
        <v>207</v>
      </c>
      <c r="J87" s="9" t="n">
        <v>45901</v>
      </c>
      <c r="K87" s="0" t="s">
        <v>208</v>
      </c>
      <c r="L87" s="0" t="n">
        <v>13</v>
      </c>
      <c r="M87" s="10" t="n">
        <f aca="false">_xlfn.NUMBERVALUE("" &amp; K87 &amp; "",".",",")</f>
        <v>0.483723034166667</v>
      </c>
      <c r="N87" s="10"/>
      <c r="O87" s="0" t="str">
        <f aca="false">VLOOKUP(C87,statusdetails!$A:$D,4,0)</f>
        <v>READY</v>
      </c>
    </row>
    <row r="88" customFormat="false" ht="12.8" hidden="true" customHeight="false" outlineLevel="0" collapsed="false">
      <c r="A88" s="0" t="n">
        <v>466169</v>
      </c>
      <c r="B88" s="0" t="n">
        <v>466169</v>
      </c>
      <c r="C88" s="0" t="n">
        <v>1</v>
      </c>
      <c r="D88" s="0" t="n">
        <v>6</v>
      </c>
      <c r="E88" s="0" t="n">
        <v>2404</v>
      </c>
      <c r="F88" s="0" t="n">
        <v>84</v>
      </c>
      <c r="G88" s="0" t="n">
        <v>138</v>
      </c>
      <c r="H88" s="0" t="s">
        <v>155</v>
      </c>
      <c r="I88" s="0" t="s">
        <v>209</v>
      </c>
      <c r="J88" s="9" t="n">
        <v>45901</v>
      </c>
      <c r="K88" s="0" t="s">
        <v>210</v>
      </c>
      <c r="L88" s="0" t="n">
        <v>13</v>
      </c>
      <c r="M88" s="10" t="n">
        <f aca="false">_xlfn.NUMBERVALUE("" &amp; K88 &amp; "",".",",")</f>
        <v>0.608857268333333</v>
      </c>
      <c r="N88" s="10"/>
      <c r="O88" s="0" t="str">
        <f aca="false">VLOOKUP(C88,statusdetails!$A:$D,4,0)</f>
        <v>READY</v>
      </c>
    </row>
    <row r="89" customFormat="false" ht="12.8" hidden="true" customHeight="false" outlineLevel="0" collapsed="false">
      <c r="A89" s="0" t="n">
        <v>466170</v>
      </c>
      <c r="B89" s="0" t="n">
        <v>466170</v>
      </c>
      <c r="C89" s="0" t="n">
        <v>1</v>
      </c>
      <c r="D89" s="0" t="n">
        <v>6</v>
      </c>
      <c r="E89" s="0" t="n">
        <v>2404</v>
      </c>
      <c r="F89" s="0" t="n">
        <v>85</v>
      </c>
      <c r="G89" s="0" t="n">
        <v>22</v>
      </c>
      <c r="H89" s="0" t="s">
        <v>119</v>
      </c>
      <c r="I89" s="0" t="s">
        <v>211</v>
      </c>
      <c r="J89" s="9" t="n">
        <v>45901</v>
      </c>
      <c r="K89" s="0" t="s">
        <v>212</v>
      </c>
      <c r="L89" s="0" t="n">
        <v>13</v>
      </c>
      <c r="M89" s="10" t="n">
        <f aca="false">_xlfn.NUMBERVALUE("" &amp; K89 &amp; "",".",",")</f>
        <v>0.49796518</v>
      </c>
      <c r="N89" s="10"/>
      <c r="O89" s="0" t="str">
        <f aca="false">VLOOKUP(C89,statusdetails!$A:$D,4,0)</f>
        <v>READY</v>
      </c>
    </row>
    <row r="90" customFormat="false" ht="12.8" hidden="true" customHeight="false" outlineLevel="0" collapsed="false">
      <c r="A90" s="0" t="n">
        <v>466171</v>
      </c>
      <c r="B90" s="0" t="n">
        <v>466171</v>
      </c>
      <c r="C90" s="0" t="n">
        <v>2</v>
      </c>
      <c r="D90" s="0" t="n">
        <v>7</v>
      </c>
      <c r="E90" s="0" t="n">
        <v>2385</v>
      </c>
      <c r="F90" s="0" t="n">
        <v>82</v>
      </c>
      <c r="G90" s="0" t="n">
        <v>110</v>
      </c>
      <c r="H90" s="0" t="s">
        <v>187</v>
      </c>
      <c r="I90" s="11" t="n">
        <v>45901.5669791667</v>
      </c>
      <c r="J90" s="9" t="n">
        <v>45901</v>
      </c>
      <c r="K90" s="0" t="s">
        <v>213</v>
      </c>
      <c r="L90" s="0" t="n">
        <v>13</v>
      </c>
      <c r="M90" s="3" t="n">
        <f aca="false">_xlfn.NUMBERVALUE("" &amp; K90 &amp; "",".",",")</f>
        <v>0.0972992461111111</v>
      </c>
      <c r="O90" s="0" t="str">
        <f aca="false">VLOOKUP(C90,statusdetails!$A:$D,4,0)</f>
        <v>DELAY</v>
      </c>
    </row>
    <row r="91" customFormat="false" ht="12.8" hidden="true" customHeight="false" outlineLevel="0" collapsed="false">
      <c r="A91" s="0" t="n">
        <v>466172</v>
      </c>
      <c r="B91" s="0" t="n">
        <v>466172</v>
      </c>
      <c r="C91" s="0" t="n">
        <v>1</v>
      </c>
      <c r="D91" s="0" t="n">
        <v>6</v>
      </c>
      <c r="E91" s="0" t="n">
        <v>2404</v>
      </c>
      <c r="F91" s="0" t="n">
        <v>88</v>
      </c>
      <c r="G91" s="0" t="n">
        <v>129</v>
      </c>
      <c r="H91" s="0" t="s">
        <v>124</v>
      </c>
      <c r="I91" s="0" t="s">
        <v>214</v>
      </c>
      <c r="J91" s="9" t="n">
        <v>45901</v>
      </c>
      <c r="K91" s="0" t="s">
        <v>215</v>
      </c>
      <c r="L91" s="0" t="n">
        <v>13</v>
      </c>
      <c r="M91" s="10" t="n">
        <f aca="false">_xlfn.NUMBERVALUE("" &amp; K91 &amp; "",".",",")</f>
        <v>0.541273347222222</v>
      </c>
      <c r="N91" s="10"/>
      <c r="O91" s="0" t="str">
        <f aca="false">VLOOKUP(C91,statusdetails!$A:$D,4,0)</f>
        <v>READY</v>
      </c>
    </row>
    <row r="92" customFormat="false" ht="12.8" hidden="true" customHeight="false" outlineLevel="0" collapsed="false">
      <c r="A92" s="0" t="n">
        <v>466173</v>
      </c>
      <c r="B92" s="0" t="n">
        <v>466173</v>
      </c>
      <c r="C92" s="0" t="n">
        <v>1</v>
      </c>
      <c r="D92" s="0" t="n">
        <v>6</v>
      </c>
      <c r="E92" s="0" t="n">
        <v>2404</v>
      </c>
      <c r="F92" s="0" t="n">
        <v>87</v>
      </c>
      <c r="G92" s="0" t="n">
        <v>143</v>
      </c>
      <c r="H92" s="0" t="s">
        <v>129</v>
      </c>
      <c r="I92" s="0" t="s">
        <v>216</v>
      </c>
      <c r="J92" s="9" t="n">
        <v>45901</v>
      </c>
      <c r="K92" s="0" t="s">
        <v>217</v>
      </c>
      <c r="L92" s="0" t="n">
        <v>13</v>
      </c>
      <c r="M92" s="10" t="n">
        <f aca="false">_xlfn.NUMBERVALUE("" &amp; K92 &amp; "",".",",")</f>
        <v>3.89713161805556</v>
      </c>
      <c r="N92" s="10"/>
      <c r="O92" s="0" t="str">
        <f aca="false">VLOOKUP(C92,statusdetails!$A:$D,4,0)</f>
        <v>READY</v>
      </c>
    </row>
    <row r="93" customFormat="false" ht="12.8" hidden="true" customHeight="false" outlineLevel="0" collapsed="false">
      <c r="A93" s="0" t="n">
        <v>466175</v>
      </c>
      <c r="B93" s="0" t="n">
        <v>466174</v>
      </c>
      <c r="C93" s="0" t="n">
        <v>1</v>
      </c>
      <c r="D93" s="0" t="n">
        <v>6</v>
      </c>
      <c r="E93" s="0" t="n">
        <v>2518</v>
      </c>
      <c r="F93" s="0" t="n">
        <v>82</v>
      </c>
      <c r="G93" s="0" t="n">
        <v>110</v>
      </c>
      <c r="H93" s="11" t="n">
        <v>45901.5669791667</v>
      </c>
      <c r="I93" s="0" t="s">
        <v>218</v>
      </c>
      <c r="J93" s="9" t="n">
        <v>45901</v>
      </c>
      <c r="K93" s="0" t="s">
        <v>219</v>
      </c>
      <c r="L93" s="0" t="n">
        <v>13</v>
      </c>
      <c r="M93" s="10" t="n">
        <f aca="false">_xlfn.NUMBERVALUE("" &amp; K93 &amp; "",".",",")</f>
        <v>0.280088344166667</v>
      </c>
      <c r="N93" s="10"/>
      <c r="O93" s="0" t="str">
        <f aca="false">VLOOKUP(C93,statusdetails!$A:$D,4,0)</f>
        <v>READY</v>
      </c>
    </row>
    <row r="94" customFormat="false" ht="12.8" hidden="true" customHeight="false" outlineLevel="0" collapsed="false">
      <c r="A94" s="0" t="n">
        <v>466176</v>
      </c>
      <c r="B94" s="0" t="n">
        <v>466176</v>
      </c>
      <c r="C94" s="0" t="n">
        <v>1</v>
      </c>
      <c r="D94" s="0" t="n">
        <v>6</v>
      </c>
      <c r="E94" s="0" t="n">
        <v>2524</v>
      </c>
      <c r="F94" s="0" t="n">
        <v>49</v>
      </c>
      <c r="G94" s="0" t="n">
        <v>0</v>
      </c>
      <c r="H94" s="0" t="s">
        <v>189</v>
      </c>
      <c r="I94" s="0" t="s">
        <v>220</v>
      </c>
      <c r="J94" s="9" t="n">
        <v>45901</v>
      </c>
      <c r="K94" s="0" t="s">
        <v>221</v>
      </c>
      <c r="L94" s="0" t="n">
        <v>13</v>
      </c>
      <c r="M94" s="10" t="n">
        <f aca="false">_xlfn.NUMBERVALUE("" &amp; K94 &amp; "",".",",")</f>
        <v>5.02782512055556</v>
      </c>
      <c r="N94" s="10"/>
      <c r="O94" s="0" t="str">
        <f aca="false">VLOOKUP(C94,statusdetails!$A:$D,4,0)</f>
        <v>READY</v>
      </c>
    </row>
    <row r="95" customFormat="false" ht="12.8" hidden="true" customHeight="false" outlineLevel="0" collapsed="false">
      <c r="A95" s="0" t="n">
        <v>466177</v>
      </c>
      <c r="B95" s="0" t="n">
        <v>466177</v>
      </c>
      <c r="C95" s="0" t="n">
        <v>3</v>
      </c>
      <c r="D95" s="0" t="n">
        <v>12</v>
      </c>
      <c r="E95" s="0" t="n">
        <v>1011</v>
      </c>
      <c r="F95" s="0" t="n">
        <v>35</v>
      </c>
      <c r="G95" s="0" t="n">
        <v>119</v>
      </c>
      <c r="H95" s="0" t="s">
        <v>207</v>
      </c>
      <c r="I95" s="0" t="s">
        <v>222</v>
      </c>
      <c r="J95" s="9" t="n">
        <v>45901</v>
      </c>
      <c r="K95" s="0" t="s">
        <v>223</v>
      </c>
      <c r="L95" s="0" t="n">
        <v>13</v>
      </c>
      <c r="M95" s="10" t="n">
        <f aca="false">_xlfn.NUMBERVALUE("" &amp; K95 &amp; "",".",",")</f>
        <v>2.98918246361111</v>
      </c>
      <c r="N95" s="10"/>
      <c r="O95" s="0" t="str">
        <f aca="false">VLOOKUP(C95,statusdetails!$A:$D,4,0)</f>
        <v>STANDBY</v>
      </c>
      <c r="P95" s="0" t="str">
        <f aca="false">VLOOKUP(F95,equipment!$A:$E,4,0)</f>
        <v>CM405</v>
      </c>
      <c r="Q95" s="0" t="str">
        <f aca="false">VLOOKUP(F95,equipment!$A:$E,5,0)</f>
        <v>CM405 - 35</v>
      </c>
    </row>
    <row r="96" customFormat="false" ht="12.8" hidden="true" customHeight="false" outlineLevel="0" collapsed="false">
      <c r="A96" s="0" t="n">
        <v>466178</v>
      </c>
      <c r="B96" s="0" t="n">
        <v>466178</v>
      </c>
      <c r="C96" s="0" t="n">
        <v>2</v>
      </c>
      <c r="D96" s="0" t="n">
        <v>7</v>
      </c>
      <c r="E96" s="0" t="n">
        <v>2385</v>
      </c>
      <c r="F96" s="0" t="n">
        <v>82</v>
      </c>
      <c r="G96" s="0" t="n">
        <v>110</v>
      </c>
      <c r="H96" s="0" t="s">
        <v>218</v>
      </c>
      <c r="I96" s="0" t="s">
        <v>224</v>
      </c>
      <c r="J96" s="9" t="n">
        <v>45901</v>
      </c>
      <c r="K96" s="0" t="s">
        <v>225</v>
      </c>
      <c r="L96" s="0" t="n">
        <v>13</v>
      </c>
      <c r="M96" s="3" t="n">
        <f aca="false">_xlfn.NUMBERVALUE("" &amp; K96 &amp; "",".",",")</f>
        <v>0.460177385555556</v>
      </c>
      <c r="O96" s="0" t="str">
        <f aca="false">VLOOKUP(C96,statusdetails!$A:$D,4,0)</f>
        <v>DELAY</v>
      </c>
    </row>
    <row r="97" customFormat="false" ht="12.8" hidden="true" customHeight="false" outlineLevel="0" collapsed="false">
      <c r="A97" s="0" t="n">
        <v>466179</v>
      </c>
      <c r="B97" s="0" t="n">
        <v>466179</v>
      </c>
      <c r="C97" s="0" t="n">
        <v>4</v>
      </c>
      <c r="D97" s="0" t="n">
        <v>15</v>
      </c>
      <c r="E97" s="0" t="n">
        <v>1781</v>
      </c>
      <c r="F97" s="0" t="n">
        <v>33</v>
      </c>
      <c r="G97" s="0" t="n">
        <v>53</v>
      </c>
      <c r="H97" s="0" t="s">
        <v>201</v>
      </c>
      <c r="I97" s="0" t="s">
        <v>226</v>
      </c>
      <c r="J97" s="9" t="n">
        <v>45901</v>
      </c>
      <c r="K97" s="0" t="s">
        <v>227</v>
      </c>
      <c r="L97" s="0" t="n">
        <v>13</v>
      </c>
      <c r="M97" s="10" t="n">
        <f aca="false">_xlfn.NUMBERVALUE("" &amp; K97 &amp; "",".",",")</f>
        <v>0.843843301944444</v>
      </c>
      <c r="N97" s="10"/>
      <c r="O97" s="0" t="str">
        <f aca="false">VLOOKUP(C97,statusdetails!$A:$D,4,0)</f>
        <v>MAINT</v>
      </c>
    </row>
    <row r="98" customFormat="false" ht="12.8" hidden="true" customHeight="false" outlineLevel="0" collapsed="false">
      <c r="A98" s="0" t="n">
        <v>466180</v>
      </c>
      <c r="B98" s="0" t="n">
        <v>466180</v>
      </c>
      <c r="C98" s="0" t="n">
        <v>3</v>
      </c>
      <c r="D98" s="0" t="n">
        <v>14</v>
      </c>
      <c r="E98" s="0" t="n">
        <v>2387</v>
      </c>
      <c r="F98" s="0" t="n">
        <v>96</v>
      </c>
      <c r="G98" s="0" t="n">
        <v>6</v>
      </c>
      <c r="H98" s="0" t="s">
        <v>205</v>
      </c>
      <c r="I98" s="0" t="s">
        <v>228</v>
      </c>
      <c r="J98" s="9" t="n">
        <v>45901</v>
      </c>
      <c r="K98" s="0" t="s">
        <v>229</v>
      </c>
      <c r="L98" s="0" t="n">
        <v>14</v>
      </c>
      <c r="M98" s="10" t="n">
        <f aca="false">_xlfn.NUMBERVALUE("" &amp; K98 &amp; "",".",",")</f>
        <v>0.150731009722222</v>
      </c>
      <c r="N98" s="10"/>
      <c r="O98" s="0" t="str">
        <f aca="false">VLOOKUP(C98,statusdetails!$A:$D,4,0)</f>
        <v>STANDBY</v>
      </c>
      <c r="P98" s="0" t="str">
        <f aca="false">VLOOKUP(F98,equipment!$A:$E,4,0)</f>
        <v>EX503</v>
      </c>
      <c r="Q98" s="0" t="str">
        <f aca="false">VLOOKUP(F98,equipment!$A:$E,5,0)</f>
        <v>EX503 - 96</v>
      </c>
    </row>
    <row r="99" customFormat="false" ht="12.8" hidden="true" customHeight="false" outlineLevel="0" collapsed="false">
      <c r="A99" s="0" t="n">
        <v>466181</v>
      </c>
      <c r="B99" s="0" t="n">
        <v>466181</v>
      </c>
      <c r="C99" s="0" t="n">
        <v>2</v>
      </c>
      <c r="D99" s="0" t="n">
        <v>9</v>
      </c>
      <c r="E99" s="0" t="n">
        <v>2448</v>
      </c>
      <c r="F99" s="0" t="n">
        <v>85</v>
      </c>
      <c r="G99" s="0" t="n">
        <v>22</v>
      </c>
      <c r="H99" s="0" t="s">
        <v>211</v>
      </c>
      <c r="I99" s="0" t="s">
        <v>230</v>
      </c>
      <c r="J99" s="9" t="n">
        <v>45901</v>
      </c>
      <c r="K99" s="0" t="s">
        <v>231</v>
      </c>
      <c r="L99" s="0" t="n">
        <v>14</v>
      </c>
      <c r="M99" s="3" t="n">
        <f aca="false">_xlfn.NUMBERVALUE("" &amp; K99 &amp; "",".",",")</f>
        <v>0.149210984166667</v>
      </c>
      <c r="O99" s="0" t="str">
        <f aca="false">VLOOKUP(C99,statusdetails!$A:$D,4,0)</f>
        <v>DELAY</v>
      </c>
    </row>
    <row r="100" customFormat="false" ht="12.8" hidden="true" customHeight="false" outlineLevel="0" collapsed="false">
      <c r="A100" s="0" t="n">
        <v>466182</v>
      </c>
      <c r="B100" s="0" t="n">
        <v>466182</v>
      </c>
      <c r="C100" s="0" t="n">
        <v>2</v>
      </c>
      <c r="D100" s="0" t="n">
        <v>9</v>
      </c>
      <c r="E100" s="0" t="n">
        <v>2448</v>
      </c>
      <c r="F100" s="0" t="n">
        <v>84</v>
      </c>
      <c r="G100" s="0" t="n">
        <v>138</v>
      </c>
      <c r="H100" s="0" t="s">
        <v>209</v>
      </c>
      <c r="I100" s="0" t="s">
        <v>232</v>
      </c>
      <c r="J100" s="9" t="n">
        <v>45901</v>
      </c>
      <c r="K100" s="0" t="s">
        <v>233</v>
      </c>
      <c r="L100" s="0" t="n">
        <v>14</v>
      </c>
      <c r="M100" s="3" t="n">
        <f aca="false">_xlfn.NUMBERVALUE("" &amp; K100 &amp; "",".",",")</f>
        <v>0.165563287222222</v>
      </c>
      <c r="O100" s="0" t="str">
        <f aca="false">VLOOKUP(C100,statusdetails!$A:$D,4,0)</f>
        <v>DELAY</v>
      </c>
    </row>
    <row r="101" customFormat="false" ht="12.8" hidden="true" customHeight="false" outlineLevel="0" collapsed="false">
      <c r="A101" s="0" t="n">
        <v>466183</v>
      </c>
      <c r="B101" s="0" t="n">
        <v>466183</v>
      </c>
      <c r="C101" s="0" t="n">
        <v>2</v>
      </c>
      <c r="D101" s="0" t="n">
        <v>9</v>
      </c>
      <c r="E101" s="0" t="n">
        <v>2448</v>
      </c>
      <c r="F101" s="0" t="n">
        <v>88</v>
      </c>
      <c r="G101" s="0" t="n">
        <v>129</v>
      </c>
      <c r="H101" s="0" t="s">
        <v>214</v>
      </c>
      <c r="I101" s="0" t="s">
        <v>234</v>
      </c>
      <c r="J101" s="9" t="n">
        <v>45901</v>
      </c>
      <c r="K101" s="0" t="s">
        <v>235</v>
      </c>
      <c r="L101" s="0" t="n">
        <v>14</v>
      </c>
      <c r="M101" s="3" t="n">
        <f aca="false">_xlfn.NUMBERVALUE("" &amp; K101 &amp; "",".",",")</f>
        <v>0.187532817222222</v>
      </c>
      <c r="O101" s="0" t="str">
        <f aca="false">VLOOKUP(C101,statusdetails!$A:$D,4,0)</f>
        <v>DELAY</v>
      </c>
    </row>
    <row r="102" customFormat="false" ht="12.8" hidden="true" customHeight="false" outlineLevel="0" collapsed="false">
      <c r="A102" s="0" t="n">
        <v>466184</v>
      </c>
      <c r="B102" s="0" t="n">
        <v>466184</v>
      </c>
      <c r="C102" s="0" t="n">
        <v>1</v>
      </c>
      <c r="D102" s="0" t="n">
        <v>6</v>
      </c>
      <c r="E102" s="0" t="n">
        <v>2518</v>
      </c>
      <c r="F102" s="0" t="n">
        <v>96</v>
      </c>
      <c r="G102" s="0" t="n">
        <v>6</v>
      </c>
      <c r="H102" s="0" t="s">
        <v>228</v>
      </c>
      <c r="I102" s="0" t="s">
        <v>236</v>
      </c>
      <c r="J102" s="9" t="n">
        <v>45901</v>
      </c>
      <c r="K102" s="0" t="s">
        <v>237</v>
      </c>
      <c r="L102" s="0" t="n">
        <v>14</v>
      </c>
      <c r="M102" s="10" t="n">
        <f aca="false">_xlfn.NUMBERVALUE("" &amp; K102 &amp; "",".",",")</f>
        <v>3.33528339083333</v>
      </c>
      <c r="N102" s="10"/>
      <c r="O102" s="0" t="str">
        <f aca="false">VLOOKUP(C102,statusdetails!$A:$D,4,0)</f>
        <v>READY</v>
      </c>
    </row>
    <row r="103" customFormat="false" ht="12.8" hidden="true" customHeight="false" outlineLevel="0" collapsed="false">
      <c r="A103" s="0" t="n">
        <v>466185</v>
      </c>
      <c r="B103" s="0" t="n">
        <v>466185</v>
      </c>
      <c r="C103" s="0" t="n">
        <v>1</v>
      </c>
      <c r="D103" s="0" t="n">
        <v>6</v>
      </c>
      <c r="E103" s="0" t="n">
        <v>2404</v>
      </c>
      <c r="F103" s="0" t="n">
        <v>85</v>
      </c>
      <c r="G103" s="0" t="n">
        <v>22</v>
      </c>
      <c r="H103" s="0" t="s">
        <v>230</v>
      </c>
      <c r="I103" s="0" t="s">
        <v>238</v>
      </c>
      <c r="J103" s="9" t="n">
        <v>45901</v>
      </c>
      <c r="K103" s="0" t="s">
        <v>239</v>
      </c>
      <c r="L103" s="0" t="n">
        <v>14</v>
      </c>
      <c r="M103" s="10" t="n">
        <f aca="false">_xlfn.NUMBERVALUE("" &amp; K103 &amp; "",".",",")</f>
        <v>2.75740806694444</v>
      </c>
      <c r="N103" s="10"/>
      <c r="O103" s="0" t="str">
        <f aca="false">VLOOKUP(C103,statusdetails!$A:$D,4,0)</f>
        <v>READY</v>
      </c>
    </row>
    <row r="104" customFormat="false" ht="12.8" hidden="true" customHeight="false" outlineLevel="0" collapsed="false">
      <c r="A104" s="0" t="n">
        <v>466186</v>
      </c>
      <c r="B104" s="0" t="n">
        <v>466186</v>
      </c>
      <c r="C104" s="0" t="n">
        <v>1</v>
      </c>
      <c r="D104" s="0" t="n">
        <v>6</v>
      </c>
      <c r="E104" s="0" t="n">
        <v>2404</v>
      </c>
      <c r="F104" s="0" t="n">
        <v>84</v>
      </c>
      <c r="G104" s="0" t="n">
        <v>138</v>
      </c>
      <c r="H104" s="0" t="s">
        <v>232</v>
      </c>
      <c r="I104" s="0" t="s">
        <v>240</v>
      </c>
      <c r="J104" s="9" t="n">
        <v>45901</v>
      </c>
      <c r="K104" s="0" t="s">
        <v>241</v>
      </c>
      <c r="L104" s="0" t="n">
        <v>14</v>
      </c>
      <c r="M104" s="10" t="n">
        <f aca="false">_xlfn.NUMBERVALUE("" &amp; K104 &amp; "",".",",")</f>
        <v>3.30671944444444</v>
      </c>
      <c r="N104" s="10"/>
      <c r="O104" s="0" t="str">
        <f aca="false">VLOOKUP(C104,statusdetails!$A:$D,4,0)</f>
        <v>READY</v>
      </c>
    </row>
    <row r="105" customFormat="false" ht="12.8" hidden="true" customHeight="false" outlineLevel="0" collapsed="false">
      <c r="A105" s="0" t="n">
        <v>466187</v>
      </c>
      <c r="B105" s="0" t="n">
        <v>466187</v>
      </c>
      <c r="C105" s="0" t="n">
        <v>1</v>
      </c>
      <c r="D105" s="0" t="n">
        <v>6</v>
      </c>
      <c r="E105" s="0" t="n">
        <v>2404</v>
      </c>
      <c r="F105" s="0" t="n">
        <v>88</v>
      </c>
      <c r="G105" s="0" t="n">
        <v>129</v>
      </c>
      <c r="H105" s="0" t="s">
        <v>234</v>
      </c>
      <c r="I105" s="0" t="s">
        <v>242</v>
      </c>
      <c r="J105" s="9" t="n">
        <v>45901</v>
      </c>
      <c r="K105" s="0" t="s">
        <v>243</v>
      </c>
      <c r="L105" s="0" t="n">
        <v>14</v>
      </c>
      <c r="M105" s="10" t="n">
        <f aca="false">_xlfn.NUMBERVALUE("" &amp; K105 &amp; "",".",",")</f>
        <v>1.80927597027778</v>
      </c>
      <c r="N105" s="10"/>
      <c r="O105" s="0" t="str">
        <f aca="false">VLOOKUP(C105,statusdetails!$A:$D,4,0)</f>
        <v>READY</v>
      </c>
    </row>
    <row r="106" customFormat="false" ht="12.8" hidden="true" customHeight="false" outlineLevel="0" collapsed="false">
      <c r="A106" s="0" t="n">
        <v>466188</v>
      </c>
      <c r="B106" s="0" t="n">
        <v>466188</v>
      </c>
      <c r="C106" s="0" t="n">
        <v>3</v>
      </c>
      <c r="D106" s="0" t="n">
        <v>12</v>
      </c>
      <c r="E106" s="0" t="n">
        <v>1011</v>
      </c>
      <c r="F106" s="0" t="n">
        <v>34</v>
      </c>
      <c r="G106" s="0" t="n">
        <v>0</v>
      </c>
      <c r="H106" s="0" t="s">
        <v>51</v>
      </c>
      <c r="I106" s="0" t="s">
        <v>244</v>
      </c>
      <c r="J106" s="9" t="n">
        <v>45901</v>
      </c>
      <c r="K106" s="0" t="s">
        <v>245</v>
      </c>
      <c r="L106" s="0" t="n">
        <v>14</v>
      </c>
      <c r="M106" s="10" t="n">
        <f aca="false">_xlfn.NUMBERVALUE("" &amp; K106 &amp; "",".",",")</f>
        <v>5.04464888861111</v>
      </c>
      <c r="N106" s="10"/>
      <c r="O106" s="0" t="str">
        <f aca="false">VLOOKUP(C106,statusdetails!$A:$D,4,0)</f>
        <v>STANDBY</v>
      </c>
      <c r="P106" s="0" t="str">
        <f aca="false">VLOOKUP(F106,equipment!$A:$E,4,0)</f>
        <v>CM404</v>
      </c>
      <c r="Q106" s="0" t="str">
        <f aca="false">VLOOKUP(F106,equipment!$A:$E,5,0)</f>
        <v>CM404 - 34</v>
      </c>
    </row>
    <row r="107" customFormat="false" ht="12.8" hidden="true" customHeight="false" outlineLevel="0" collapsed="false">
      <c r="A107" s="0" t="n">
        <v>466189</v>
      </c>
      <c r="B107" s="0" t="n">
        <v>466189</v>
      </c>
      <c r="C107" s="0" t="n">
        <v>1</v>
      </c>
      <c r="D107" s="0" t="n">
        <v>2303</v>
      </c>
      <c r="E107" s="0" t="n">
        <v>2591</v>
      </c>
      <c r="F107" s="0" t="n">
        <v>82</v>
      </c>
      <c r="G107" s="0" t="n">
        <v>110</v>
      </c>
      <c r="H107" s="0" t="s">
        <v>224</v>
      </c>
      <c r="I107" s="0" t="s">
        <v>246</v>
      </c>
      <c r="J107" s="9" t="n">
        <v>45901</v>
      </c>
      <c r="K107" s="0" t="s">
        <v>247</v>
      </c>
      <c r="L107" s="0" t="n">
        <v>14</v>
      </c>
      <c r="M107" s="10" t="n">
        <f aca="false">_xlfn.NUMBERVALUE("" &amp; K107 &amp; "",".",",")</f>
        <v>4.48759376472222</v>
      </c>
      <c r="N107" s="10"/>
      <c r="O107" s="0" t="str">
        <f aca="false">VLOOKUP(C107,statusdetails!$A:$D,4,0)</f>
        <v>READY</v>
      </c>
    </row>
    <row r="108" customFormat="false" ht="12.8" hidden="true" customHeight="false" outlineLevel="0" collapsed="false">
      <c r="A108" s="0" t="n">
        <v>466190</v>
      </c>
      <c r="B108" s="0" t="n">
        <v>466190</v>
      </c>
      <c r="C108" s="0" t="n">
        <v>1</v>
      </c>
      <c r="D108" s="0" t="n">
        <v>6</v>
      </c>
      <c r="E108" s="0" t="n">
        <v>372</v>
      </c>
      <c r="F108" s="0" t="n">
        <v>37</v>
      </c>
      <c r="G108" s="0" t="n">
        <v>74</v>
      </c>
      <c r="H108" s="0" t="s">
        <v>139</v>
      </c>
      <c r="I108" s="0" t="s">
        <v>248</v>
      </c>
      <c r="J108" s="9" t="n">
        <v>45901</v>
      </c>
      <c r="K108" s="0" t="s">
        <v>249</v>
      </c>
      <c r="L108" s="0" t="n">
        <v>14</v>
      </c>
      <c r="M108" s="10" t="n">
        <f aca="false">_xlfn.NUMBERVALUE("" &amp; K108 &amp; "",".",",")</f>
        <v>4.04767479305556</v>
      </c>
      <c r="N108" s="10"/>
      <c r="O108" s="0" t="str">
        <f aca="false">VLOOKUP(C108,statusdetails!$A:$D,4,0)</f>
        <v>READY</v>
      </c>
    </row>
    <row r="109" customFormat="false" ht="12.8" hidden="true" customHeight="false" outlineLevel="0" collapsed="false">
      <c r="A109" s="0" t="n">
        <v>466191</v>
      </c>
      <c r="B109" s="0" t="n">
        <v>466191</v>
      </c>
      <c r="C109" s="0" t="n">
        <v>3</v>
      </c>
      <c r="D109" s="0" t="n">
        <v>12</v>
      </c>
      <c r="E109" s="0" t="n">
        <v>289</v>
      </c>
      <c r="F109" s="0" t="n">
        <v>33</v>
      </c>
      <c r="G109" s="0" t="n">
        <v>53</v>
      </c>
      <c r="H109" s="0" t="s">
        <v>226</v>
      </c>
      <c r="I109" s="0" t="s">
        <v>250</v>
      </c>
      <c r="J109" s="9" t="n">
        <v>45901</v>
      </c>
      <c r="K109" s="0" t="s">
        <v>251</v>
      </c>
      <c r="L109" s="0" t="n">
        <v>14</v>
      </c>
      <c r="M109" s="10" t="n">
        <f aca="false">_xlfn.NUMBERVALUE("" &amp; K109 &amp; "",".",",")</f>
        <v>2.072868925</v>
      </c>
      <c r="N109" s="10"/>
      <c r="O109" s="0" t="str">
        <f aca="false">VLOOKUP(C109,statusdetails!$A:$D,4,0)</f>
        <v>STANDBY</v>
      </c>
      <c r="P109" s="0" t="str">
        <f aca="false">VLOOKUP(F109,equipment!$A:$E,4,0)</f>
        <v>CM406</v>
      </c>
      <c r="Q109" s="0" t="str">
        <f aca="false">VLOOKUP(F109,equipment!$A:$E,5,0)</f>
        <v>CM406 - 33</v>
      </c>
    </row>
    <row r="110" customFormat="false" ht="12.8" hidden="true" customHeight="false" outlineLevel="0" collapsed="false">
      <c r="A110" s="0" t="n">
        <v>466192</v>
      </c>
      <c r="B110" s="0" t="n">
        <v>466192</v>
      </c>
      <c r="C110" s="0" t="n">
        <v>2</v>
      </c>
      <c r="D110" s="0" t="n">
        <v>9</v>
      </c>
      <c r="E110" s="0" t="n">
        <v>2568</v>
      </c>
      <c r="F110" s="0" t="n">
        <v>32</v>
      </c>
      <c r="G110" s="0" t="n">
        <v>113</v>
      </c>
      <c r="H110" s="0" t="s">
        <v>199</v>
      </c>
      <c r="I110" s="0" t="s">
        <v>252</v>
      </c>
      <c r="J110" s="9" t="n">
        <v>45901</v>
      </c>
      <c r="K110" s="0" t="s">
        <v>253</v>
      </c>
      <c r="L110" s="0" t="n">
        <v>15</v>
      </c>
      <c r="M110" s="3" t="n">
        <f aca="false">_xlfn.NUMBERVALUE("" &amp; K110 &amp; "",".",",")</f>
        <v>0.0183185202777778</v>
      </c>
      <c r="O110" s="0" t="str">
        <f aca="false">VLOOKUP(C110,statusdetails!$A:$D,4,0)</f>
        <v>DELAY</v>
      </c>
    </row>
    <row r="111" customFormat="false" ht="12.8" hidden="true" customHeight="false" outlineLevel="0" collapsed="false">
      <c r="A111" s="0" t="n">
        <v>466193</v>
      </c>
      <c r="B111" s="0" t="n">
        <v>466193</v>
      </c>
      <c r="C111" s="0" t="n">
        <v>1</v>
      </c>
      <c r="D111" s="0" t="n">
        <v>6</v>
      </c>
      <c r="E111" s="0" t="n">
        <v>260</v>
      </c>
      <c r="F111" s="0" t="n">
        <v>32</v>
      </c>
      <c r="G111" s="0" t="n">
        <v>113</v>
      </c>
      <c r="H111" s="0" t="s">
        <v>252</v>
      </c>
      <c r="I111" s="0" t="s">
        <v>254</v>
      </c>
      <c r="J111" s="9" t="n">
        <v>45901</v>
      </c>
      <c r="K111" s="0" t="s">
        <v>255</v>
      </c>
      <c r="L111" s="0" t="n">
        <v>15</v>
      </c>
      <c r="M111" s="10" t="n">
        <f aca="false">_xlfn.NUMBERVALUE("" &amp; K111 &amp; "",".",",")</f>
        <v>0.2268377125</v>
      </c>
      <c r="N111" s="10"/>
      <c r="O111" s="0" t="str">
        <f aca="false">VLOOKUP(C111,statusdetails!$A:$D,4,0)</f>
        <v>READY</v>
      </c>
    </row>
    <row r="112" customFormat="false" ht="12.8" hidden="true" customHeight="false" outlineLevel="0" collapsed="false">
      <c r="A112" s="0" t="n">
        <v>466194</v>
      </c>
      <c r="B112" s="0" t="n">
        <v>466194</v>
      </c>
      <c r="C112" s="0" t="n">
        <v>2</v>
      </c>
      <c r="D112" s="0" t="n">
        <v>9</v>
      </c>
      <c r="E112" s="0" t="n">
        <v>2568</v>
      </c>
      <c r="F112" s="0" t="n">
        <v>66</v>
      </c>
      <c r="G112" s="0" t="n">
        <v>94</v>
      </c>
      <c r="H112" s="0" t="s">
        <v>169</v>
      </c>
      <c r="I112" s="0" t="s">
        <v>256</v>
      </c>
      <c r="J112" s="9" t="n">
        <v>45901</v>
      </c>
      <c r="K112" s="0" t="s">
        <v>257</v>
      </c>
      <c r="L112" s="0" t="n">
        <v>15</v>
      </c>
      <c r="M112" s="3" t="n">
        <f aca="false">_xlfn.NUMBERVALUE("" &amp; K112 &amp; "",".",",")</f>
        <v>0.220870331111111</v>
      </c>
      <c r="O112" s="0" t="str">
        <f aca="false">VLOOKUP(C112,statusdetails!$A:$D,4,0)</f>
        <v>DELAY</v>
      </c>
    </row>
    <row r="113" customFormat="false" ht="12.8" hidden="true" customHeight="false" outlineLevel="0" collapsed="false">
      <c r="A113" s="0" t="n">
        <v>466195</v>
      </c>
      <c r="B113" s="0" t="n">
        <v>466195</v>
      </c>
      <c r="C113" s="0" t="n">
        <v>2</v>
      </c>
      <c r="D113" s="0" t="n">
        <v>9</v>
      </c>
      <c r="E113" s="0" t="n">
        <v>2304</v>
      </c>
      <c r="F113" s="0" t="n">
        <v>90</v>
      </c>
      <c r="G113" s="0" t="n">
        <v>10</v>
      </c>
      <c r="H113" s="0" t="s">
        <v>181</v>
      </c>
      <c r="I113" s="0" t="s">
        <v>258</v>
      </c>
      <c r="J113" s="9" t="n">
        <v>45901</v>
      </c>
      <c r="K113" s="0" t="s">
        <v>259</v>
      </c>
      <c r="L113" s="0" t="n">
        <v>15</v>
      </c>
      <c r="M113" s="3" t="n">
        <f aca="false">_xlfn.NUMBERVALUE("" &amp; K113 &amp; "",".",",")</f>
        <v>0.263846260555556</v>
      </c>
      <c r="O113" s="0" t="str">
        <f aca="false">VLOOKUP(C113,statusdetails!$A:$D,4,0)</f>
        <v>DELAY</v>
      </c>
    </row>
    <row r="114" customFormat="false" ht="12.8" hidden="true" customHeight="false" outlineLevel="0" collapsed="false">
      <c r="A114" s="0" t="n">
        <v>466196</v>
      </c>
      <c r="B114" s="0" t="n">
        <v>466196</v>
      </c>
      <c r="C114" s="0" t="n">
        <v>2</v>
      </c>
      <c r="D114" s="0" t="n">
        <v>9</v>
      </c>
      <c r="E114" s="0" t="n">
        <v>2568</v>
      </c>
      <c r="F114" s="0" t="n">
        <v>32</v>
      </c>
      <c r="G114" s="0" t="n">
        <v>113</v>
      </c>
      <c r="H114" s="0" t="s">
        <v>254</v>
      </c>
      <c r="I114" s="0" t="s">
        <v>260</v>
      </c>
      <c r="J114" s="9" t="n">
        <v>45901</v>
      </c>
      <c r="K114" s="0" t="s">
        <v>261</v>
      </c>
      <c r="L114" s="0" t="n">
        <v>15</v>
      </c>
      <c r="M114" s="3" t="n">
        <f aca="false">_xlfn.NUMBERVALUE("" &amp; K114 &amp; "",".",",")</f>
        <v>0.167393045</v>
      </c>
      <c r="O114" s="0" t="str">
        <f aca="false">VLOOKUP(C114,statusdetails!$A:$D,4,0)</f>
        <v>DELAY</v>
      </c>
    </row>
    <row r="115" customFormat="false" ht="12.8" hidden="true" customHeight="false" outlineLevel="0" collapsed="false">
      <c r="A115" s="0" t="n">
        <v>466197</v>
      </c>
      <c r="B115" s="0" t="n">
        <v>466197</v>
      </c>
      <c r="C115" s="0" t="n">
        <v>2</v>
      </c>
      <c r="D115" s="0" t="n">
        <v>9</v>
      </c>
      <c r="E115" s="0" t="n">
        <v>2567</v>
      </c>
      <c r="F115" s="0" t="n">
        <v>60</v>
      </c>
      <c r="G115" s="0" t="n">
        <v>164</v>
      </c>
      <c r="H115" s="0" t="s">
        <v>203</v>
      </c>
      <c r="I115" s="0" t="s">
        <v>262</v>
      </c>
      <c r="J115" s="9" t="n">
        <v>45901</v>
      </c>
      <c r="K115" s="0" t="s">
        <v>263</v>
      </c>
      <c r="L115" s="0" t="n">
        <v>15</v>
      </c>
      <c r="M115" s="3" t="n">
        <f aca="false">_xlfn.NUMBERVALUE("" &amp; K115 &amp; "",".",",")</f>
        <v>0.189144053055556</v>
      </c>
      <c r="O115" s="0" t="str">
        <f aca="false">VLOOKUP(C115,statusdetails!$A:$D,4,0)</f>
        <v>DELAY</v>
      </c>
    </row>
    <row r="116" customFormat="false" ht="12.8" hidden="true" customHeight="false" outlineLevel="0" collapsed="false">
      <c r="A116" s="0" t="n">
        <v>466198</v>
      </c>
      <c r="B116" s="0" t="n">
        <v>466198</v>
      </c>
      <c r="C116" s="0" t="n">
        <v>1</v>
      </c>
      <c r="D116" s="0" t="n">
        <v>6</v>
      </c>
      <c r="E116" s="0" t="n">
        <v>260</v>
      </c>
      <c r="F116" s="0" t="n">
        <v>66</v>
      </c>
      <c r="G116" s="0" t="n">
        <v>94</v>
      </c>
      <c r="H116" s="0" t="s">
        <v>256</v>
      </c>
      <c r="I116" s="0" t="s">
        <v>264</v>
      </c>
      <c r="J116" s="9" t="n">
        <v>45901</v>
      </c>
      <c r="K116" s="0" t="s">
        <v>265</v>
      </c>
      <c r="L116" s="0" t="n">
        <v>15</v>
      </c>
      <c r="M116" s="10" t="n">
        <f aca="false">_xlfn.NUMBERVALUE("" &amp; K116 &amp; "",".",",")</f>
        <v>2.26099071</v>
      </c>
      <c r="N116" s="10"/>
      <c r="O116" s="0" t="str">
        <f aca="false">VLOOKUP(C116,statusdetails!$A:$D,4,0)</f>
        <v>READY</v>
      </c>
    </row>
    <row r="117" customFormat="false" ht="12.8" hidden="true" customHeight="false" outlineLevel="0" collapsed="false">
      <c r="A117" s="0" t="n">
        <v>466199</v>
      </c>
      <c r="B117" s="0" t="n">
        <v>466199</v>
      </c>
      <c r="C117" s="0" t="n">
        <v>1</v>
      </c>
      <c r="D117" s="0" t="n">
        <v>6</v>
      </c>
      <c r="E117" s="0" t="n">
        <v>260</v>
      </c>
      <c r="F117" s="0" t="n">
        <v>32</v>
      </c>
      <c r="G117" s="0" t="n">
        <v>113</v>
      </c>
      <c r="H117" s="0" t="s">
        <v>260</v>
      </c>
      <c r="I117" s="0" t="s">
        <v>266</v>
      </c>
      <c r="J117" s="9" t="n">
        <v>45901</v>
      </c>
      <c r="K117" s="0" t="s">
        <v>267</v>
      </c>
      <c r="L117" s="0" t="n">
        <v>15</v>
      </c>
      <c r="M117" s="10" t="n">
        <f aca="false">_xlfn.NUMBERVALUE("" &amp; K117 &amp; "",".",",")</f>
        <v>2.23520230444444</v>
      </c>
      <c r="N117" s="10"/>
      <c r="O117" s="0" t="str">
        <f aca="false">VLOOKUP(C117,statusdetails!$A:$D,4,0)</f>
        <v>READY</v>
      </c>
    </row>
    <row r="118" customFormat="false" ht="12.8" hidden="true" customHeight="false" outlineLevel="0" collapsed="false">
      <c r="A118" s="0" t="n">
        <v>466200</v>
      </c>
      <c r="B118" s="0" t="n">
        <v>466200</v>
      </c>
      <c r="C118" s="0" t="n">
        <v>1</v>
      </c>
      <c r="D118" s="0" t="n">
        <v>6</v>
      </c>
      <c r="E118" s="0" t="n">
        <v>1397</v>
      </c>
      <c r="F118" s="0" t="n">
        <v>90</v>
      </c>
      <c r="G118" s="0" t="n">
        <v>10</v>
      </c>
      <c r="H118" s="0" t="s">
        <v>258</v>
      </c>
      <c r="I118" s="0" t="s">
        <v>268</v>
      </c>
      <c r="J118" s="9" t="n">
        <v>45901</v>
      </c>
      <c r="K118" s="0" t="s">
        <v>269</v>
      </c>
      <c r="L118" s="0" t="n">
        <v>15</v>
      </c>
      <c r="M118" s="10" t="n">
        <f aca="false">_xlfn.NUMBERVALUE("" &amp; K118 &amp; "",".",",")</f>
        <v>3.97556667083333</v>
      </c>
      <c r="N118" s="10"/>
      <c r="O118" s="0" t="str">
        <f aca="false">VLOOKUP(C118,statusdetails!$A:$D,4,0)</f>
        <v>READY</v>
      </c>
    </row>
    <row r="119" customFormat="false" ht="12.8" hidden="true" customHeight="false" outlineLevel="0" collapsed="false">
      <c r="A119" s="0" t="n">
        <v>466201</v>
      </c>
      <c r="B119" s="0" t="n">
        <v>466201</v>
      </c>
      <c r="C119" s="0" t="n">
        <v>1</v>
      </c>
      <c r="D119" s="0" t="n">
        <v>6</v>
      </c>
      <c r="E119" s="0" t="n">
        <v>1397</v>
      </c>
      <c r="F119" s="0" t="n">
        <v>60</v>
      </c>
      <c r="G119" s="0" t="n">
        <v>164</v>
      </c>
      <c r="H119" s="0" t="s">
        <v>262</v>
      </c>
      <c r="I119" s="0" t="s">
        <v>270</v>
      </c>
      <c r="J119" s="9" t="n">
        <v>45901</v>
      </c>
      <c r="K119" s="0" t="s">
        <v>271</v>
      </c>
      <c r="L119" s="0" t="n">
        <v>15</v>
      </c>
      <c r="M119" s="10" t="n">
        <f aca="false">_xlfn.NUMBERVALUE("" &amp; K119 &amp; "",".",",")</f>
        <v>2.21236239583333</v>
      </c>
      <c r="N119" s="10"/>
      <c r="O119" s="0" t="str">
        <f aca="false">VLOOKUP(C119,statusdetails!$A:$D,4,0)</f>
        <v>READY</v>
      </c>
    </row>
    <row r="120" customFormat="false" ht="12.8" hidden="true" customHeight="false" outlineLevel="0" collapsed="false">
      <c r="A120" s="0" t="n">
        <v>466202</v>
      </c>
      <c r="B120" s="0" t="n">
        <v>466202</v>
      </c>
      <c r="C120" s="0" t="n">
        <v>2</v>
      </c>
      <c r="D120" s="0" t="n">
        <v>9</v>
      </c>
      <c r="E120" s="0" t="n">
        <v>2450</v>
      </c>
      <c r="F120" s="0" t="n">
        <v>88</v>
      </c>
      <c r="G120" s="0" t="n">
        <v>129</v>
      </c>
      <c r="H120" s="0" t="s">
        <v>242</v>
      </c>
      <c r="I120" s="0" t="s">
        <v>272</v>
      </c>
      <c r="J120" s="9" t="n">
        <v>45901</v>
      </c>
      <c r="K120" s="0" t="s">
        <v>273</v>
      </c>
      <c r="L120" s="0" t="n">
        <v>16</v>
      </c>
      <c r="M120" s="3" t="n">
        <f aca="false">_xlfn.NUMBERVALUE("" &amp; K120 &amp; "",".",",")</f>
        <v>0.0218138888888889</v>
      </c>
      <c r="O120" s="0" t="str">
        <f aca="false">VLOOKUP(C120,statusdetails!$A:$D,4,0)</f>
        <v>DELAY</v>
      </c>
    </row>
    <row r="121" customFormat="false" ht="12.8" hidden="true" customHeight="false" outlineLevel="0" collapsed="false">
      <c r="A121" s="0" t="n">
        <v>466203</v>
      </c>
      <c r="B121" s="0" t="n">
        <v>466203</v>
      </c>
      <c r="C121" s="0" t="n">
        <v>1</v>
      </c>
      <c r="D121" s="0" t="n">
        <v>6</v>
      </c>
      <c r="E121" s="0" t="n">
        <v>2404</v>
      </c>
      <c r="F121" s="0" t="n">
        <v>88</v>
      </c>
      <c r="G121" s="0" t="n">
        <v>129</v>
      </c>
      <c r="H121" s="0" t="s">
        <v>272</v>
      </c>
      <c r="I121" s="0" t="s">
        <v>274</v>
      </c>
      <c r="J121" s="9" t="n">
        <v>45901</v>
      </c>
      <c r="K121" s="0" t="s">
        <v>275</v>
      </c>
      <c r="L121" s="0" t="n">
        <v>16</v>
      </c>
      <c r="M121" s="10" t="n">
        <f aca="false">_xlfn.NUMBERVALUE("" &amp; K121 &amp; "",".",",")</f>
        <v>0.819895393333333</v>
      </c>
      <c r="N121" s="10"/>
      <c r="O121" s="0" t="str">
        <f aca="false">VLOOKUP(C121,statusdetails!$A:$D,4,0)</f>
        <v>READY</v>
      </c>
    </row>
    <row r="122" customFormat="false" ht="12.8" hidden="true" customHeight="false" outlineLevel="0" collapsed="false">
      <c r="A122" s="0" t="n">
        <v>466204</v>
      </c>
      <c r="B122" s="0" t="n">
        <v>466204</v>
      </c>
      <c r="C122" s="0" t="n">
        <v>1</v>
      </c>
      <c r="D122" s="0" t="n">
        <v>6</v>
      </c>
      <c r="E122" s="0" t="n">
        <v>260</v>
      </c>
      <c r="F122" s="0" t="n">
        <v>35</v>
      </c>
      <c r="G122" s="0" t="n">
        <v>119</v>
      </c>
      <c r="H122" s="0" t="s">
        <v>222</v>
      </c>
      <c r="I122" s="0" t="s">
        <v>276</v>
      </c>
      <c r="J122" s="9" t="n">
        <v>45901</v>
      </c>
      <c r="K122" s="0" t="s">
        <v>277</v>
      </c>
      <c r="L122" s="0" t="n">
        <v>16</v>
      </c>
      <c r="M122" s="10" t="n">
        <f aca="false">_xlfn.NUMBERVALUE("" &amp; K122 &amp; "",".",",")</f>
        <v>1.95825422138889</v>
      </c>
      <c r="N122" s="10"/>
      <c r="O122" s="0" t="str">
        <f aca="false">VLOOKUP(C122,statusdetails!$A:$D,4,0)</f>
        <v>READY</v>
      </c>
    </row>
    <row r="123" customFormat="false" ht="12.8" hidden="true" customHeight="false" outlineLevel="0" collapsed="false">
      <c r="A123" s="0" t="n">
        <v>466205</v>
      </c>
      <c r="B123" s="0" t="n">
        <v>466205</v>
      </c>
      <c r="C123" s="0" t="n">
        <v>1</v>
      </c>
      <c r="D123" s="0" t="n">
        <v>6</v>
      </c>
      <c r="E123" s="0" t="n">
        <v>260</v>
      </c>
      <c r="F123" s="0" t="n">
        <v>33</v>
      </c>
      <c r="G123" s="0" t="n">
        <v>53</v>
      </c>
      <c r="H123" s="0" t="s">
        <v>250</v>
      </c>
      <c r="I123" s="0" t="s">
        <v>278</v>
      </c>
      <c r="J123" s="9" t="n">
        <v>45901</v>
      </c>
      <c r="K123" s="0" t="s">
        <v>279</v>
      </c>
      <c r="L123" s="0" t="n">
        <v>16</v>
      </c>
      <c r="M123" s="10" t="n">
        <f aca="false">_xlfn.NUMBERVALUE("" &amp; K123 &amp; "",".",",")</f>
        <v>0.623940188888889</v>
      </c>
      <c r="N123" s="10"/>
      <c r="O123" s="0" t="str">
        <f aca="false">VLOOKUP(C123,statusdetails!$A:$D,4,0)</f>
        <v>READY</v>
      </c>
    </row>
    <row r="124" customFormat="false" ht="12.8" hidden="true" customHeight="false" outlineLevel="0" collapsed="false">
      <c r="A124" s="0" t="n">
        <v>466206</v>
      </c>
      <c r="B124" s="0" t="n">
        <v>466206</v>
      </c>
      <c r="C124" s="0" t="n">
        <v>3</v>
      </c>
      <c r="D124" s="0" t="n">
        <v>12</v>
      </c>
      <c r="E124" s="0" t="n">
        <v>2422</v>
      </c>
      <c r="F124" s="0" t="n">
        <v>88</v>
      </c>
      <c r="G124" s="0" t="n">
        <v>129</v>
      </c>
      <c r="H124" s="0" t="s">
        <v>274</v>
      </c>
      <c r="I124" s="0" t="s">
        <v>280</v>
      </c>
      <c r="J124" s="9" t="n">
        <v>45901</v>
      </c>
      <c r="K124" s="0" t="s">
        <v>281</v>
      </c>
      <c r="L124" s="0" t="n">
        <v>16</v>
      </c>
      <c r="M124" s="10" t="n">
        <f aca="false">_xlfn.NUMBERVALUE("" &amp; K124 &amp; "",".",",")</f>
        <v>2.32762021611111</v>
      </c>
      <c r="N124" s="10"/>
      <c r="O124" s="0" t="str">
        <f aca="false">VLOOKUP(C124,statusdetails!$A:$D,4,0)</f>
        <v>STANDBY</v>
      </c>
      <c r="P124" s="0" t="str">
        <f aca="false">VLOOKUP(F124,equipment!$A:$E,4,0)</f>
        <v>CM05</v>
      </c>
      <c r="Q124" s="0" t="str">
        <f aca="false">VLOOKUP(F124,equipment!$A:$E,5,0)</f>
        <v>CM05 - 88</v>
      </c>
    </row>
    <row r="125" customFormat="false" ht="12.8" hidden="true" customHeight="false" outlineLevel="0" collapsed="false">
      <c r="A125" s="0" t="n">
        <v>466207</v>
      </c>
      <c r="B125" s="0" t="n">
        <v>466207</v>
      </c>
      <c r="C125" s="0" t="n">
        <v>3</v>
      </c>
      <c r="D125" s="0" t="n">
        <v>12</v>
      </c>
      <c r="E125" s="0" t="n">
        <v>2422</v>
      </c>
      <c r="F125" s="0" t="n">
        <v>85</v>
      </c>
      <c r="G125" s="0" t="n">
        <v>22</v>
      </c>
      <c r="H125" s="0" t="s">
        <v>238</v>
      </c>
      <c r="I125" s="0" t="s">
        <v>282</v>
      </c>
      <c r="J125" s="9" t="n">
        <v>45901</v>
      </c>
      <c r="K125" s="0" t="s">
        <v>283</v>
      </c>
      <c r="L125" s="0" t="n">
        <v>16</v>
      </c>
      <c r="M125" s="10" t="n">
        <f aca="false">_xlfn.NUMBERVALUE("" &amp; K125 &amp; "",".",",")</f>
        <v>2.29421290583333</v>
      </c>
      <c r="N125" s="10"/>
      <c r="O125" s="0" t="str">
        <f aca="false">VLOOKUP(C125,statusdetails!$A:$D,4,0)</f>
        <v>STANDBY</v>
      </c>
      <c r="P125" s="0" t="str">
        <f aca="false">VLOOKUP(F125,equipment!$A:$E,4,0)</f>
        <v>CM02</v>
      </c>
      <c r="Q125" s="0" t="str">
        <f aca="false">VLOOKUP(F125,equipment!$A:$E,5,0)</f>
        <v>CM02 - 85</v>
      </c>
    </row>
    <row r="126" customFormat="false" ht="12.8" hidden="true" customHeight="false" outlineLevel="0" collapsed="false">
      <c r="A126" s="0" t="n">
        <v>466208</v>
      </c>
      <c r="B126" s="0" t="n">
        <v>466208</v>
      </c>
      <c r="C126" s="0" t="n">
        <v>3</v>
      </c>
      <c r="D126" s="0" t="n">
        <v>12</v>
      </c>
      <c r="E126" s="0" t="n">
        <v>2422</v>
      </c>
      <c r="F126" s="0" t="n">
        <v>87</v>
      </c>
      <c r="G126" s="0" t="n">
        <v>143</v>
      </c>
      <c r="H126" s="0" t="s">
        <v>216</v>
      </c>
      <c r="I126" s="0" t="s">
        <v>284</v>
      </c>
      <c r="J126" s="9" t="n">
        <v>45901</v>
      </c>
      <c r="K126" s="0" t="s">
        <v>285</v>
      </c>
      <c r="L126" s="0" t="n">
        <v>17</v>
      </c>
      <c r="M126" s="10" t="n">
        <f aca="false">_xlfn.NUMBERVALUE("" &amp; K126 &amp; "",".",",")</f>
        <v>0.335546581666667</v>
      </c>
      <c r="N126" s="10"/>
      <c r="O126" s="0" t="str">
        <f aca="false">VLOOKUP(C126,statusdetails!$A:$D,4,0)</f>
        <v>STANDBY</v>
      </c>
      <c r="P126" s="0" t="str">
        <f aca="false">VLOOKUP(F126,equipment!$A:$E,4,0)</f>
        <v>CM04</v>
      </c>
      <c r="Q126" s="0" t="str">
        <f aca="false">VLOOKUP(F126,equipment!$A:$E,5,0)</f>
        <v>CM04 - 87</v>
      </c>
    </row>
    <row r="127" customFormat="false" ht="12.8" hidden="true" customHeight="false" outlineLevel="0" collapsed="false">
      <c r="A127" s="0" t="n">
        <v>466209</v>
      </c>
      <c r="B127" s="0" t="n">
        <v>466209</v>
      </c>
      <c r="C127" s="0" t="n">
        <v>2</v>
      </c>
      <c r="D127" s="0" t="n">
        <v>9</v>
      </c>
      <c r="E127" s="0" t="n">
        <v>2512</v>
      </c>
      <c r="F127" s="0" t="n">
        <v>84</v>
      </c>
      <c r="G127" s="0" t="n">
        <v>138</v>
      </c>
      <c r="H127" s="0" t="s">
        <v>240</v>
      </c>
      <c r="I127" s="0" t="s">
        <v>286</v>
      </c>
      <c r="J127" s="9" t="n">
        <v>45901</v>
      </c>
      <c r="K127" s="0" t="s">
        <v>287</v>
      </c>
      <c r="L127" s="0" t="n">
        <v>17</v>
      </c>
      <c r="M127" s="3" t="n">
        <f aca="false">_xlfn.NUMBERVALUE("" &amp; K127 &amp; "",".",",")</f>
        <v>0.0504744444444444</v>
      </c>
      <c r="O127" s="0" t="str">
        <f aca="false">VLOOKUP(C127,statusdetails!$A:$D,4,0)</f>
        <v>DELAY</v>
      </c>
    </row>
    <row r="128" customFormat="false" ht="12.8" hidden="true" customHeight="false" outlineLevel="0" collapsed="false">
      <c r="A128" s="0" t="n">
        <v>466210</v>
      </c>
      <c r="B128" s="0" t="n">
        <v>466210</v>
      </c>
      <c r="C128" s="0" t="n">
        <v>2</v>
      </c>
      <c r="D128" s="0" t="n">
        <v>9</v>
      </c>
      <c r="E128" s="0" t="n">
        <v>2511</v>
      </c>
      <c r="F128" s="0" t="n">
        <v>96</v>
      </c>
      <c r="G128" s="0" t="n">
        <v>6</v>
      </c>
      <c r="H128" s="0" t="s">
        <v>236</v>
      </c>
      <c r="I128" s="0" t="s">
        <v>288</v>
      </c>
      <c r="J128" s="9" t="n">
        <v>45901</v>
      </c>
      <c r="K128" s="0" t="s">
        <v>289</v>
      </c>
      <c r="L128" s="0" t="n">
        <v>17</v>
      </c>
      <c r="M128" s="3" t="n">
        <f aca="false">_xlfn.NUMBERVALUE("" &amp; K128 &amp; "",".",",")</f>
        <v>0.04421268</v>
      </c>
      <c r="O128" s="0" t="str">
        <f aca="false">VLOOKUP(C128,statusdetails!$A:$D,4,0)</f>
        <v>DELAY</v>
      </c>
    </row>
    <row r="129" customFormat="false" ht="12.8" hidden="true" customHeight="false" outlineLevel="0" collapsed="false">
      <c r="A129" s="0" t="n">
        <v>466211</v>
      </c>
      <c r="B129" s="0" t="n">
        <v>466211</v>
      </c>
      <c r="C129" s="0" t="n">
        <v>2</v>
      </c>
      <c r="D129" s="0" t="n">
        <v>9</v>
      </c>
      <c r="E129" s="0" t="n">
        <v>1059</v>
      </c>
      <c r="F129" s="0" t="n">
        <v>33</v>
      </c>
      <c r="G129" s="0" t="n">
        <v>53</v>
      </c>
      <c r="H129" s="0" t="s">
        <v>278</v>
      </c>
      <c r="I129" s="0" t="s">
        <v>290</v>
      </c>
      <c r="J129" s="9" t="n">
        <v>45901</v>
      </c>
      <c r="K129" s="0" t="s">
        <v>291</v>
      </c>
      <c r="L129" s="0" t="n">
        <v>17</v>
      </c>
      <c r="M129" s="3" t="n">
        <f aca="false">_xlfn.NUMBERVALUE("" &amp; K129 &amp; "",".",",")</f>
        <v>0.0644848619444444</v>
      </c>
      <c r="O129" s="0" t="str">
        <f aca="false">VLOOKUP(C129,statusdetails!$A:$D,4,0)</f>
        <v>DELAY</v>
      </c>
    </row>
    <row r="130" customFormat="false" ht="12.8" hidden="true" customHeight="false" outlineLevel="0" collapsed="false">
      <c r="A130" s="0" t="n">
        <v>466212</v>
      </c>
      <c r="B130" s="0" t="n">
        <v>466212</v>
      </c>
      <c r="C130" s="0" t="n">
        <v>1</v>
      </c>
      <c r="D130" s="0" t="n">
        <v>6</v>
      </c>
      <c r="E130" s="0" t="n">
        <v>2518</v>
      </c>
      <c r="F130" s="0" t="n">
        <v>96</v>
      </c>
      <c r="G130" s="0" t="n">
        <v>6</v>
      </c>
      <c r="H130" s="0" t="s">
        <v>288</v>
      </c>
      <c r="I130" s="0" t="s">
        <v>292</v>
      </c>
      <c r="J130" s="9" t="n">
        <v>45901</v>
      </c>
      <c r="K130" s="0" t="s">
        <v>293</v>
      </c>
      <c r="L130" s="0" t="n">
        <v>17</v>
      </c>
      <c r="M130" s="10" t="n">
        <f aca="false">_xlfn.NUMBERVALUE("" &amp; K130 &amp; "",".",",")</f>
        <v>1.2929482025</v>
      </c>
      <c r="N130" s="10"/>
      <c r="O130" s="0" t="str">
        <f aca="false">VLOOKUP(C130,statusdetails!$A:$D,4,0)</f>
        <v>READY</v>
      </c>
    </row>
    <row r="131" customFormat="false" ht="12.8" hidden="true" customHeight="false" outlineLevel="0" collapsed="false">
      <c r="A131" s="0" t="n">
        <v>466213</v>
      </c>
      <c r="B131" s="0" t="n">
        <v>466213</v>
      </c>
      <c r="C131" s="0" t="n">
        <v>1</v>
      </c>
      <c r="D131" s="0" t="n">
        <v>6</v>
      </c>
      <c r="E131" s="0" t="n">
        <v>2404</v>
      </c>
      <c r="F131" s="0" t="n">
        <v>84</v>
      </c>
      <c r="G131" s="0" t="n">
        <v>138</v>
      </c>
      <c r="H131" s="0" t="s">
        <v>286</v>
      </c>
      <c r="I131" s="0" t="s">
        <v>294</v>
      </c>
      <c r="J131" s="9" t="n">
        <v>45901</v>
      </c>
      <c r="K131" s="0" t="s">
        <v>295</v>
      </c>
      <c r="L131" s="0" t="n">
        <v>17</v>
      </c>
      <c r="M131" s="10" t="n">
        <f aca="false">_xlfn.NUMBERVALUE("" &amp; K131 &amp; "",".",",")</f>
        <v>1.29890332555556</v>
      </c>
      <c r="N131" s="10"/>
      <c r="O131" s="0" t="str">
        <f aca="false">VLOOKUP(C131,statusdetails!$A:$D,4,0)</f>
        <v>READY</v>
      </c>
    </row>
    <row r="132" customFormat="false" ht="12.8" hidden="true" customHeight="false" outlineLevel="0" collapsed="false">
      <c r="A132" s="0" t="n">
        <v>466214</v>
      </c>
      <c r="B132" s="0" t="n">
        <v>466214</v>
      </c>
      <c r="C132" s="0" t="n">
        <v>1</v>
      </c>
      <c r="D132" s="0" t="n">
        <v>6</v>
      </c>
      <c r="E132" s="0" t="n">
        <v>260</v>
      </c>
      <c r="F132" s="0" t="n">
        <v>33</v>
      </c>
      <c r="G132" s="0" t="n">
        <v>53</v>
      </c>
      <c r="H132" s="0" t="s">
        <v>290</v>
      </c>
      <c r="I132" s="0" t="s">
        <v>296</v>
      </c>
      <c r="J132" s="9" t="n">
        <v>45901</v>
      </c>
      <c r="K132" s="0" t="s">
        <v>297</v>
      </c>
      <c r="L132" s="0" t="n">
        <v>17</v>
      </c>
      <c r="M132" s="10" t="n">
        <f aca="false">_xlfn.NUMBERVALUE("" &amp; K132 &amp; "",".",",")</f>
        <v>1.26160119166667</v>
      </c>
      <c r="N132" s="10"/>
      <c r="O132" s="0" t="str">
        <f aca="false">VLOOKUP(C132,statusdetails!$A:$D,4,0)</f>
        <v>READY</v>
      </c>
    </row>
    <row r="133" customFormat="false" ht="12.8" hidden="true" customHeight="false" outlineLevel="0" collapsed="false">
      <c r="A133" s="0" t="n">
        <v>466215</v>
      </c>
      <c r="B133" s="0" t="n">
        <v>466215</v>
      </c>
      <c r="C133" s="0" t="n">
        <v>4</v>
      </c>
      <c r="D133" s="0" t="n">
        <v>16</v>
      </c>
      <c r="E133" s="0" t="n">
        <v>2459</v>
      </c>
      <c r="F133" s="0" t="n">
        <v>87</v>
      </c>
      <c r="G133" s="0" t="n">
        <v>143</v>
      </c>
      <c r="H133" s="0" t="s">
        <v>284</v>
      </c>
      <c r="I133" s="0" t="s">
        <v>298</v>
      </c>
      <c r="J133" s="9" t="n">
        <v>45901</v>
      </c>
      <c r="K133" s="0" t="s">
        <v>299</v>
      </c>
      <c r="L133" s="0" t="n">
        <v>17</v>
      </c>
      <c r="M133" s="10" t="n">
        <f aca="false">_xlfn.NUMBERVALUE("" &amp; K133 &amp; "",".",",")</f>
        <v>2.26352645916667</v>
      </c>
      <c r="N133" s="10"/>
      <c r="O133" s="0" t="str">
        <f aca="false">VLOOKUP(C133,statusdetails!$A:$D,4,0)</f>
        <v>MAINT</v>
      </c>
    </row>
    <row r="134" customFormat="false" ht="12.8" hidden="true" customHeight="false" outlineLevel="0" collapsed="false">
      <c r="A134" s="0" t="n">
        <v>466216</v>
      </c>
      <c r="B134" s="0" t="n">
        <v>466216</v>
      </c>
      <c r="C134" s="0" t="n">
        <v>2</v>
      </c>
      <c r="D134" s="0" t="n">
        <v>9</v>
      </c>
      <c r="E134" s="0" t="n">
        <v>2568</v>
      </c>
      <c r="F134" s="0" t="n">
        <v>32</v>
      </c>
      <c r="G134" s="0" t="n">
        <v>113</v>
      </c>
      <c r="H134" s="0" t="s">
        <v>266</v>
      </c>
      <c r="I134" s="0" t="s">
        <v>300</v>
      </c>
      <c r="J134" s="9" t="n">
        <v>45901</v>
      </c>
      <c r="K134" s="0" t="s">
        <v>301</v>
      </c>
      <c r="L134" s="0" t="n">
        <v>17</v>
      </c>
      <c r="M134" s="3" t="n">
        <f aca="false">_xlfn.NUMBERVALUE("" &amp; K134 &amp; "",".",",")</f>
        <v>0.105771317222222</v>
      </c>
      <c r="O134" s="0" t="str">
        <f aca="false">VLOOKUP(C134,statusdetails!$A:$D,4,0)</f>
        <v>DELAY</v>
      </c>
    </row>
    <row r="135" customFormat="false" ht="12.8" hidden="true" customHeight="false" outlineLevel="0" collapsed="false">
      <c r="A135" s="0" t="n">
        <v>466217</v>
      </c>
      <c r="B135" s="0" t="n">
        <v>466217</v>
      </c>
      <c r="C135" s="0" t="n">
        <v>2</v>
      </c>
      <c r="D135" s="0" t="n">
        <v>9</v>
      </c>
      <c r="E135" s="0" t="n">
        <v>2568</v>
      </c>
      <c r="F135" s="0" t="n">
        <v>66</v>
      </c>
      <c r="G135" s="0" t="n">
        <v>94</v>
      </c>
      <c r="H135" s="0" t="s">
        <v>264</v>
      </c>
      <c r="I135" s="0" t="s">
        <v>302</v>
      </c>
      <c r="J135" s="9" t="n">
        <v>45901</v>
      </c>
      <c r="K135" s="0" t="s">
        <v>303</v>
      </c>
      <c r="L135" s="0" t="n">
        <v>17</v>
      </c>
      <c r="M135" s="3" t="n">
        <f aca="false">_xlfn.NUMBERVALUE("" &amp; K135 &amp; "",".",",")</f>
        <v>0.105372345555556</v>
      </c>
      <c r="O135" s="0" t="str">
        <f aca="false">VLOOKUP(C135,statusdetails!$A:$D,4,0)</f>
        <v>DELAY</v>
      </c>
    </row>
    <row r="136" customFormat="false" ht="12.8" hidden="true" customHeight="false" outlineLevel="0" collapsed="false">
      <c r="A136" s="0" t="n">
        <v>466218</v>
      </c>
      <c r="B136" s="0" t="n">
        <v>466218</v>
      </c>
      <c r="C136" s="0" t="n">
        <v>2</v>
      </c>
      <c r="D136" s="0" t="n">
        <v>9</v>
      </c>
      <c r="E136" s="0" t="n">
        <v>2304</v>
      </c>
      <c r="F136" s="0" t="n">
        <v>60</v>
      </c>
      <c r="G136" s="0" t="n">
        <v>164</v>
      </c>
      <c r="H136" s="0" t="s">
        <v>270</v>
      </c>
      <c r="I136" s="0" t="s">
        <v>304</v>
      </c>
      <c r="J136" s="9" t="n">
        <v>45901</v>
      </c>
      <c r="K136" s="0" t="s">
        <v>305</v>
      </c>
      <c r="L136" s="0" t="n">
        <v>17</v>
      </c>
      <c r="M136" s="3" t="n">
        <f aca="false">_xlfn.NUMBERVALUE("" &amp; K136 &amp; "",".",",")</f>
        <v>0.130530256111111</v>
      </c>
      <c r="O136" s="0" t="str">
        <f aca="false">VLOOKUP(C136,statusdetails!$A:$D,4,0)</f>
        <v>DELAY</v>
      </c>
    </row>
    <row r="137" customFormat="false" ht="12.8" hidden="true" customHeight="false" outlineLevel="0" collapsed="false">
      <c r="A137" s="0" t="n">
        <v>466219</v>
      </c>
      <c r="B137" s="0" t="n">
        <v>466219</v>
      </c>
      <c r="C137" s="0" t="n">
        <v>1</v>
      </c>
      <c r="D137" s="0" t="n">
        <v>6</v>
      </c>
      <c r="E137" s="0" t="n">
        <v>811</v>
      </c>
      <c r="F137" s="0" t="n">
        <v>42</v>
      </c>
      <c r="G137" s="0" t="n">
        <v>5</v>
      </c>
      <c r="H137" s="0" t="s">
        <v>49</v>
      </c>
      <c r="I137" s="0" t="s">
        <v>306</v>
      </c>
      <c r="J137" s="9" t="n">
        <v>45901</v>
      </c>
      <c r="K137" s="0" t="s">
        <v>307</v>
      </c>
      <c r="L137" s="0" t="n">
        <v>17</v>
      </c>
      <c r="M137" s="10" t="n">
        <f aca="false">_xlfn.NUMBERVALUE("" &amp; K137 &amp; "",".",",")</f>
        <v>0.060165</v>
      </c>
      <c r="N137" s="10"/>
      <c r="O137" s="0" t="str">
        <f aca="false">VLOOKUP(C137,statusdetails!$A:$D,4,0)</f>
        <v>READY</v>
      </c>
    </row>
    <row r="138" customFormat="false" ht="12.8" hidden="true" customHeight="false" outlineLevel="0" collapsed="false">
      <c r="A138" s="0" t="n">
        <v>466220</v>
      </c>
      <c r="B138" s="0" t="n">
        <v>466220</v>
      </c>
      <c r="C138" s="0" t="n">
        <v>1</v>
      </c>
      <c r="D138" s="0" t="n">
        <v>6</v>
      </c>
      <c r="E138" s="0" t="n">
        <v>260</v>
      </c>
      <c r="F138" s="0" t="n">
        <v>32</v>
      </c>
      <c r="G138" s="0" t="n">
        <v>113</v>
      </c>
      <c r="H138" s="0" t="s">
        <v>300</v>
      </c>
      <c r="I138" s="0" t="s">
        <v>308</v>
      </c>
      <c r="J138" s="9" t="n">
        <v>45901</v>
      </c>
      <c r="K138" s="0" t="s">
        <v>309</v>
      </c>
      <c r="L138" s="0" t="n">
        <v>17</v>
      </c>
      <c r="M138" s="10" t="n">
        <f aca="false">_xlfn.NUMBERVALUE("" &amp; K138 &amp; "",".",",")</f>
        <v>0.338964269444444</v>
      </c>
      <c r="N138" s="10"/>
      <c r="O138" s="0" t="str">
        <f aca="false">VLOOKUP(C138,statusdetails!$A:$D,4,0)</f>
        <v>READY</v>
      </c>
    </row>
    <row r="139" customFormat="false" ht="12.8" hidden="true" customHeight="false" outlineLevel="0" collapsed="false">
      <c r="A139" s="0" t="n">
        <v>466221</v>
      </c>
      <c r="B139" s="0" t="n">
        <v>466221</v>
      </c>
      <c r="C139" s="0" t="n">
        <v>1</v>
      </c>
      <c r="D139" s="0" t="n">
        <v>6</v>
      </c>
      <c r="E139" s="0" t="n">
        <v>260</v>
      </c>
      <c r="F139" s="0" t="n">
        <v>66</v>
      </c>
      <c r="G139" s="0" t="n">
        <v>94</v>
      </c>
      <c r="H139" s="0" t="s">
        <v>302</v>
      </c>
      <c r="I139" s="0" t="s">
        <v>310</v>
      </c>
      <c r="J139" s="9" t="n">
        <v>45901</v>
      </c>
      <c r="K139" s="0" t="s">
        <v>311</v>
      </c>
      <c r="L139" s="0" t="n">
        <v>17</v>
      </c>
      <c r="M139" s="10" t="n">
        <f aca="false">_xlfn.NUMBERVALUE("" &amp; K139 &amp; "",".",",")</f>
        <v>1.26643774972222</v>
      </c>
      <c r="N139" s="10"/>
      <c r="O139" s="0" t="str">
        <f aca="false">VLOOKUP(C139,statusdetails!$A:$D,4,0)</f>
        <v>READY</v>
      </c>
    </row>
    <row r="140" customFormat="false" ht="12.8" hidden="true" customHeight="false" outlineLevel="0" collapsed="false">
      <c r="A140" s="0" t="n">
        <v>466222</v>
      </c>
      <c r="B140" s="0" t="n">
        <v>466222</v>
      </c>
      <c r="C140" s="0" t="n">
        <v>1</v>
      </c>
      <c r="D140" s="0" t="n">
        <v>6</v>
      </c>
      <c r="E140" s="0" t="n">
        <v>1397</v>
      </c>
      <c r="F140" s="0" t="n">
        <v>60</v>
      </c>
      <c r="G140" s="0" t="n">
        <v>164</v>
      </c>
      <c r="H140" s="0" t="s">
        <v>304</v>
      </c>
      <c r="I140" s="0" t="s">
        <v>312</v>
      </c>
      <c r="J140" s="9" t="n">
        <v>45901</v>
      </c>
      <c r="K140" s="0" t="s">
        <v>313</v>
      </c>
      <c r="L140" s="0" t="n">
        <v>17</v>
      </c>
      <c r="M140" s="10" t="n">
        <f aca="false">_xlfn.NUMBERVALUE("" &amp; K140 &amp; "",".",",")</f>
        <v>3.66268549138889</v>
      </c>
      <c r="N140" s="10"/>
      <c r="O140" s="0" t="str">
        <f aca="false">VLOOKUP(C140,statusdetails!$A:$D,4,0)</f>
        <v>READY</v>
      </c>
    </row>
    <row r="141" customFormat="false" ht="12.8" hidden="true" customHeight="false" outlineLevel="0" collapsed="false">
      <c r="A141" s="0" t="n">
        <v>466223</v>
      </c>
      <c r="B141" s="0" t="n">
        <v>466223</v>
      </c>
      <c r="C141" s="0" t="n">
        <v>2</v>
      </c>
      <c r="D141" s="0" t="n">
        <v>7</v>
      </c>
      <c r="E141" s="0" t="n">
        <v>2064</v>
      </c>
      <c r="F141" s="0" t="n">
        <v>42</v>
      </c>
      <c r="G141" s="0" t="n">
        <v>5</v>
      </c>
      <c r="H141" s="0" t="s">
        <v>306</v>
      </c>
      <c r="I141" s="0" t="s">
        <v>314</v>
      </c>
      <c r="J141" s="9" t="n">
        <v>45901</v>
      </c>
      <c r="K141" s="0" t="s">
        <v>315</v>
      </c>
      <c r="L141" s="0" t="n">
        <v>17</v>
      </c>
      <c r="M141" s="3" t="n">
        <f aca="false">_xlfn.NUMBERVALUE("" &amp; K141 &amp; "",".",",")</f>
        <v>0.0253608333333333</v>
      </c>
      <c r="O141" s="0" t="str">
        <f aca="false">VLOOKUP(C141,statusdetails!$A:$D,4,0)</f>
        <v>DELAY</v>
      </c>
    </row>
    <row r="142" customFormat="false" ht="12.8" hidden="true" customHeight="false" outlineLevel="0" collapsed="false">
      <c r="A142" s="0" t="n">
        <v>466224</v>
      </c>
      <c r="B142" s="0" t="n">
        <v>466224</v>
      </c>
      <c r="C142" s="0" t="n">
        <v>1</v>
      </c>
      <c r="D142" s="0" t="n">
        <v>6</v>
      </c>
      <c r="E142" s="0" t="n">
        <v>811</v>
      </c>
      <c r="F142" s="0" t="n">
        <v>42</v>
      </c>
      <c r="G142" s="0" t="n">
        <v>5</v>
      </c>
      <c r="H142" s="0" t="s">
        <v>314</v>
      </c>
      <c r="I142" s="0" t="s">
        <v>316</v>
      </c>
      <c r="J142" s="9" t="n">
        <v>45901</v>
      </c>
      <c r="K142" s="0" t="s">
        <v>317</v>
      </c>
      <c r="L142" s="0" t="n">
        <v>18</v>
      </c>
      <c r="M142" s="10" t="n">
        <f aca="false">_xlfn.NUMBERVALUE("" &amp; K142 &amp; "",".",",")</f>
        <v>0.838842222222222</v>
      </c>
      <c r="N142" s="10"/>
      <c r="O142" s="0" t="str">
        <f aca="false">VLOOKUP(C142,statusdetails!$A:$D,4,0)</f>
        <v>READY</v>
      </c>
    </row>
    <row r="143" customFormat="false" ht="12.8" hidden="true" customHeight="false" outlineLevel="0" collapsed="false">
      <c r="A143" s="0" t="n">
        <v>466225</v>
      </c>
      <c r="B143" s="0" t="n">
        <v>466225</v>
      </c>
      <c r="C143" s="0" t="n">
        <v>2</v>
      </c>
      <c r="D143" s="0" t="n">
        <v>9</v>
      </c>
      <c r="E143" s="0" t="n">
        <v>2305</v>
      </c>
      <c r="F143" s="0" t="n">
        <v>32</v>
      </c>
      <c r="G143" s="0" t="n">
        <v>113</v>
      </c>
      <c r="H143" s="0" t="s">
        <v>308</v>
      </c>
      <c r="I143" s="0" t="s">
        <v>318</v>
      </c>
      <c r="J143" s="9" t="n">
        <v>45901</v>
      </c>
      <c r="K143" s="0" t="s">
        <v>319</v>
      </c>
      <c r="L143" s="0" t="n">
        <v>18</v>
      </c>
      <c r="M143" s="3" t="n">
        <f aca="false">_xlfn.NUMBERVALUE("" &amp; K143 &amp; "",".",",")</f>
        <v>0.114448332222222</v>
      </c>
      <c r="O143" s="0" t="str">
        <f aca="false">VLOOKUP(C143,statusdetails!$A:$D,4,0)</f>
        <v>DELAY</v>
      </c>
    </row>
    <row r="144" customFormat="false" ht="12.8" hidden="true" customHeight="false" outlineLevel="0" collapsed="false">
      <c r="A144" s="0" t="n">
        <v>466226</v>
      </c>
      <c r="B144" s="0" t="n">
        <v>466226</v>
      </c>
      <c r="C144" s="0" t="n">
        <v>1</v>
      </c>
      <c r="D144" s="0" t="n">
        <v>6</v>
      </c>
      <c r="E144" s="0" t="n">
        <v>260</v>
      </c>
      <c r="F144" s="0" t="n">
        <v>32</v>
      </c>
      <c r="G144" s="0" t="n">
        <v>113</v>
      </c>
      <c r="H144" s="0" t="s">
        <v>318</v>
      </c>
      <c r="I144" s="0" t="s">
        <v>320</v>
      </c>
      <c r="J144" s="9" t="n">
        <v>45901</v>
      </c>
      <c r="K144" s="0" t="s">
        <v>321</v>
      </c>
      <c r="L144" s="0" t="n">
        <v>18</v>
      </c>
      <c r="M144" s="10" t="n">
        <f aca="false">_xlfn.NUMBERVALUE("" &amp; K144 &amp; "",".",",")</f>
        <v>0.786920967222222</v>
      </c>
      <c r="N144" s="10"/>
      <c r="O144" s="0" t="str">
        <f aca="false">VLOOKUP(C144,statusdetails!$A:$D,4,0)</f>
        <v>READY</v>
      </c>
    </row>
    <row r="145" customFormat="false" ht="12.8" hidden="true" customHeight="false" outlineLevel="0" collapsed="false">
      <c r="A145" s="0" t="n">
        <v>466227</v>
      </c>
      <c r="B145" s="0" t="n">
        <v>466227</v>
      </c>
      <c r="C145" s="0" t="n">
        <v>3</v>
      </c>
      <c r="D145" s="0" t="n">
        <v>12</v>
      </c>
      <c r="E145" s="0" t="n">
        <v>2504</v>
      </c>
      <c r="F145" s="0" t="n">
        <v>86</v>
      </c>
      <c r="G145" s="0" t="n">
        <v>0</v>
      </c>
      <c r="H145" s="0" t="s">
        <v>47</v>
      </c>
      <c r="I145" s="0" t="s">
        <v>322</v>
      </c>
      <c r="J145" s="9" t="n">
        <v>45901</v>
      </c>
      <c r="K145" s="0" t="s">
        <v>323</v>
      </c>
      <c r="L145" s="0" t="n">
        <v>18</v>
      </c>
      <c r="M145" s="10" t="n">
        <f aca="false">_xlfn.NUMBERVALUE("" &amp; K145 &amp; "",".",",")</f>
        <v>1.20203631666667</v>
      </c>
      <c r="N145" s="10"/>
      <c r="O145" s="0" t="str">
        <f aca="false">VLOOKUP(C145,statusdetails!$A:$D,4,0)</f>
        <v>STANDBY</v>
      </c>
      <c r="P145" s="0" t="str">
        <f aca="false">VLOOKUP(F145,equipment!$A:$E,4,0)</f>
        <v>CM03</v>
      </c>
      <c r="Q145" s="0" t="str">
        <f aca="false">VLOOKUP(F145,equipment!$A:$E,5,0)</f>
        <v>CM03 - 86</v>
      </c>
    </row>
    <row r="146" customFormat="false" ht="12.8" hidden="true" customHeight="false" outlineLevel="0" collapsed="false">
      <c r="A146" s="0" t="n">
        <v>466228</v>
      </c>
      <c r="B146" s="0" t="n">
        <v>466228</v>
      </c>
      <c r="C146" s="0" t="n">
        <v>3</v>
      </c>
      <c r="D146" s="0" t="n">
        <v>12</v>
      </c>
      <c r="E146" s="0" t="n">
        <v>608</v>
      </c>
      <c r="F146" s="0" t="n">
        <v>41</v>
      </c>
      <c r="G146" s="0" t="n">
        <v>126</v>
      </c>
      <c r="H146" s="0" t="s">
        <v>126</v>
      </c>
      <c r="I146" s="0" t="s">
        <v>324</v>
      </c>
      <c r="J146" s="9" t="n">
        <v>45901</v>
      </c>
      <c r="K146" s="0" t="s">
        <v>325</v>
      </c>
      <c r="L146" s="0" t="n">
        <v>18</v>
      </c>
      <c r="M146" s="10" t="n">
        <f aca="false">_xlfn.NUMBERVALUE("" &amp; K146 &amp; "",".",",")</f>
        <v>0.967662625</v>
      </c>
      <c r="N146" s="10"/>
      <c r="O146" s="0" t="str">
        <f aca="false">VLOOKUP(C146,statusdetails!$A:$D,4,0)</f>
        <v>STANDBY</v>
      </c>
      <c r="P146" s="0" t="str">
        <f aca="false">VLOOKUP(F146,equipment!$A:$E,4,0)</f>
        <v>MO102</v>
      </c>
      <c r="Q146" s="0" t="str">
        <f aca="false">VLOOKUP(F146,equipment!$A:$E,5,0)</f>
        <v>MO102 - 41</v>
      </c>
    </row>
    <row r="147" customFormat="false" ht="12.8" hidden="true" customHeight="false" outlineLevel="0" collapsed="false">
      <c r="A147" s="0" t="n">
        <v>466229</v>
      </c>
      <c r="B147" s="0" t="n">
        <v>466229</v>
      </c>
      <c r="C147" s="0" t="n">
        <v>3</v>
      </c>
      <c r="D147" s="0" t="n">
        <v>12</v>
      </c>
      <c r="E147" s="0" t="n">
        <v>394</v>
      </c>
      <c r="F147" s="0" t="n">
        <v>37</v>
      </c>
      <c r="G147" s="0" t="n">
        <v>74</v>
      </c>
      <c r="H147" s="0" t="s">
        <v>248</v>
      </c>
      <c r="I147" s="0" t="s">
        <v>326</v>
      </c>
      <c r="J147" s="9" t="n">
        <v>45901</v>
      </c>
      <c r="K147" s="0" t="s">
        <v>327</v>
      </c>
      <c r="L147" s="0" t="n">
        <v>18</v>
      </c>
      <c r="M147" s="10" t="n">
        <f aca="false">_xlfn.NUMBERVALUE("" &amp; K147 &amp; "",".",",")</f>
        <v>7.70001937361111</v>
      </c>
      <c r="N147" s="10"/>
      <c r="O147" s="0" t="str">
        <f aca="false">VLOOKUP(C147,statusdetails!$A:$D,4,0)</f>
        <v>STANDBY</v>
      </c>
      <c r="P147" s="0" t="str">
        <f aca="false">VLOOKUP(F147,equipment!$A:$E,4,0)</f>
        <v>DZ201</v>
      </c>
      <c r="Q147" s="0" t="str">
        <f aca="false">VLOOKUP(F147,equipment!$A:$E,5,0)</f>
        <v>DZ201 - 37</v>
      </c>
    </row>
    <row r="148" customFormat="false" ht="12.8" hidden="true" customHeight="false" outlineLevel="0" collapsed="false">
      <c r="A148" s="0" t="n">
        <v>466230</v>
      </c>
      <c r="B148" s="0" t="n">
        <v>466230</v>
      </c>
      <c r="C148" s="0" t="n">
        <v>3</v>
      </c>
      <c r="D148" s="0" t="n">
        <v>12</v>
      </c>
      <c r="E148" s="0" t="n">
        <v>394</v>
      </c>
      <c r="F148" s="0" t="n">
        <v>91</v>
      </c>
      <c r="G148" s="0" t="n">
        <v>64</v>
      </c>
      <c r="H148" s="0" t="s">
        <v>141</v>
      </c>
      <c r="I148" s="0" t="s">
        <v>328</v>
      </c>
      <c r="J148" s="9" t="n">
        <v>45901</v>
      </c>
      <c r="K148" s="0" t="s">
        <v>329</v>
      </c>
      <c r="L148" s="0" t="n">
        <v>18</v>
      </c>
      <c r="M148" s="10" t="n">
        <f aca="false">_xlfn.NUMBERVALUE("" &amp; K148 &amp; "",".",",")</f>
        <v>0.175432312222222</v>
      </c>
      <c r="N148" s="10"/>
      <c r="O148" s="0" t="str">
        <f aca="false">VLOOKUP(C148,statusdetails!$A:$D,4,0)</f>
        <v>STANDBY</v>
      </c>
      <c r="P148" s="0" t="str">
        <f aca="false">VLOOKUP(F148,equipment!$A:$E,4,0)</f>
        <v>DZ205</v>
      </c>
      <c r="Q148" s="0" t="str">
        <f aca="false">VLOOKUP(F148,equipment!$A:$E,5,0)</f>
        <v>DZ205 - 91</v>
      </c>
    </row>
    <row r="149" customFormat="false" ht="12.8" hidden="true" customHeight="false" outlineLevel="0" collapsed="false">
      <c r="A149" s="0" t="n">
        <v>466231</v>
      </c>
      <c r="B149" s="0" t="n">
        <v>466231</v>
      </c>
      <c r="C149" s="0" t="n">
        <v>3</v>
      </c>
      <c r="D149" s="0" t="n">
        <v>12</v>
      </c>
      <c r="E149" s="0" t="n">
        <v>1175</v>
      </c>
      <c r="F149" s="0" t="n">
        <v>49</v>
      </c>
      <c r="G149" s="0" t="n">
        <v>142</v>
      </c>
      <c r="H149" s="0" t="s">
        <v>220</v>
      </c>
      <c r="I149" s="0" t="s">
        <v>330</v>
      </c>
      <c r="J149" s="9" t="n">
        <v>45901</v>
      </c>
      <c r="K149" s="0" t="s">
        <v>331</v>
      </c>
      <c r="L149" s="0" t="n">
        <v>18</v>
      </c>
      <c r="M149" s="10" t="n">
        <f aca="false">_xlfn.NUMBERVALUE("" &amp; K149 &amp; "",".",",")</f>
        <v>12.7542116336111</v>
      </c>
      <c r="N149" s="10"/>
      <c r="O149" s="0" t="str">
        <f aca="false">VLOOKUP(C149,statusdetails!$A:$D,4,0)</f>
        <v>STANDBY</v>
      </c>
      <c r="P149" s="0" t="str">
        <f aca="false">VLOOKUP(F149,equipment!$A:$E,4,0)</f>
        <v>CR702</v>
      </c>
      <c r="Q149" s="0" t="str">
        <f aca="false">VLOOKUP(F149,equipment!$A:$E,5,0)</f>
        <v>CR702 - 49</v>
      </c>
    </row>
    <row r="150" customFormat="false" ht="12.8" hidden="true" customHeight="false" outlineLevel="0" collapsed="false">
      <c r="A150" s="0" t="n">
        <v>466232</v>
      </c>
      <c r="B150" s="0" t="n">
        <v>466232</v>
      </c>
      <c r="C150" s="0" t="n">
        <v>3</v>
      </c>
      <c r="D150" s="0" t="n">
        <v>14</v>
      </c>
      <c r="E150" s="0" t="n">
        <v>2392</v>
      </c>
      <c r="F150" s="0" t="n">
        <v>96</v>
      </c>
      <c r="G150" s="0" t="n">
        <v>6</v>
      </c>
      <c r="H150" s="0" t="s">
        <v>292</v>
      </c>
      <c r="I150" s="0" t="s">
        <v>332</v>
      </c>
      <c r="J150" s="9" t="n">
        <v>45901</v>
      </c>
      <c r="K150" s="0" t="s">
        <v>333</v>
      </c>
      <c r="L150" s="0" t="n">
        <v>18</v>
      </c>
      <c r="M150" s="10" t="n">
        <f aca="false">_xlfn.NUMBERVALUE("" &amp; K150 &amp; "",".",",")</f>
        <v>0.2305171225</v>
      </c>
      <c r="N150" s="10"/>
      <c r="O150" s="0" t="str">
        <f aca="false">VLOOKUP(C150,statusdetails!$A:$D,4,0)</f>
        <v>STANDBY</v>
      </c>
      <c r="P150" s="0" t="str">
        <f aca="false">VLOOKUP(F150,equipment!$A:$E,4,0)</f>
        <v>EX503</v>
      </c>
      <c r="Q150" s="0" t="str">
        <f aca="false">VLOOKUP(F150,equipment!$A:$E,5,0)</f>
        <v>EX503 - 96</v>
      </c>
    </row>
    <row r="151" customFormat="false" ht="12.8" hidden="true" customHeight="false" outlineLevel="0" collapsed="false">
      <c r="A151" s="0" t="n">
        <v>466233</v>
      </c>
      <c r="B151" s="0" t="n">
        <v>466233</v>
      </c>
      <c r="C151" s="0" t="n">
        <v>3</v>
      </c>
      <c r="D151" s="0" t="n">
        <v>14</v>
      </c>
      <c r="E151" s="0" t="n">
        <v>1789</v>
      </c>
      <c r="F151" s="0" t="n">
        <v>33</v>
      </c>
      <c r="G151" s="0" t="n">
        <v>53</v>
      </c>
      <c r="H151" s="0" t="s">
        <v>296</v>
      </c>
      <c r="I151" s="0" t="s">
        <v>334</v>
      </c>
      <c r="J151" s="9" t="n">
        <v>45901</v>
      </c>
      <c r="K151" s="0" t="s">
        <v>335</v>
      </c>
      <c r="L151" s="0" t="n">
        <v>18</v>
      </c>
      <c r="M151" s="10" t="n">
        <f aca="false">_xlfn.NUMBERVALUE("" &amp; K151 &amp; "",".",",")</f>
        <v>0.228641382777778</v>
      </c>
      <c r="N151" s="10"/>
      <c r="O151" s="0" t="str">
        <f aca="false">VLOOKUP(C151,statusdetails!$A:$D,4,0)</f>
        <v>STANDBY</v>
      </c>
      <c r="P151" s="0" t="str">
        <f aca="false">VLOOKUP(F151,equipment!$A:$E,4,0)</f>
        <v>CM406</v>
      </c>
      <c r="Q151" s="0" t="str">
        <f aca="false">VLOOKUP(F151,equipment!$A:$E,5,0)</f>
        <v>CM406 - 33</v>
      </c>
    </row>
    <row r="152" customFormat="false" ht="12.8" hidden="true" customHeight="false" outlineLevel="0" collapsed="false">
      <c r="A152" s="0" t="n">
        <v>466234</v>
      </c>
      <c r="B152" s="0" t="n">
        <v>466234</v>
      </c>
      <c r="C152" s="0" t="n">
        <v>3</v>
      </c>
      <c r="D152" s="0" t="n">
        <v>14</v>
      </c>
      <c r="E152" s="0" t="n">
        <v>1789</v>
      </c>
      <c r="F152" s="0" t="n">
        <v>35</v>
      </c>
      <c r="G152" s="0" t="n">
        <v>119</v>
      </c>
      <c r="H152" s="0" t="s">
        <v>276</v>
      </c>
      <c r="I152" s="0" t="s">
        <v>336</v>
      </c>
      <c r="J152" s="9" t="n">
        <v>45901</v>
      </c>
      <c r="K152" s="0" t="s">
        <v>337</v>
      </c>
      <c r="L152" s="0" t="n">
        <v>18</v>
      </c>
      <c r="M152" s="10" t="n">
        <f aca="false">_xlfn.NUMBERVALUE("" &amp; K152 &amp; "",".",",")</f>
        <v>0.228380458333333</v>
      </c>
      <c r="N152" s="10"/>
      <c r="O152" s="0" t="str">
        <f aca="false">VLOOKUP(C152,statusdetails!$A:$D,4,0)</f>
        <v>STANDBY</v>
      </c>
      <c r="P152" s="0" t="str">
        <f aca="false">VLOOKUP(F152,equipment!$A:$E,4,0)</f>
        <v>CM405</v>
      </c>
      <c r="Q152" s="0" t="str">
        <f aca="false">VLOOKUP(F152,equipment!$A:$E,5,0)</f>
        <v>CM405 - 35</v>
      </c>
    </row>
    <row r="153" customFormat="false" ht="12.8" hidden="true" customHeight="false" outlineLevel="0" collapsed="false">
      <c r="A153" s="0" t="n">
        <v>466235</v>
      </c>
      <c r="B153" s="0" t="n">
        <v>466235</v>
      </c>
      <c r="C153" s="0" t="n">
        <v>3</v>
      </c>
      <c r="D153" s="0" t="n">
        <v>14</v>
      </c>
      <c r="E153" s="0" t="n">
        <v>2406</v>
      </c>
      <c r="F153" s="0" t="n">
        <v>84</v>
      </c>
      <c r="G153" s="0" t="n">
        <v>138</v>
      </c>
      <c r="H153" s="0" t="s">
        <v>294</v>
      </c>
      <c r="I153" s="0" t="s">
        <v>338</v>
      </c>
      <c r="J153" s="9" t="n">
        <v>45901</v>
      </c>
      <c r="K153" s="0" t="s">
        <v>339</v>
      </c>
      <c r="L153" s="0" t="n">
        <v>18</v>
      </c>
      <c r="M153" s="10" t="n">
        <f aca="false">_xlfn.NUMBERVALUE("" &amp; K153 &amp; "",".",",")</f>
        <v>0.228131064166667</v>
      </c>
      <c r="N153" s="10"/>
      <c r="O153" s="0" t="str">
        <f aca="false">VLOOKUP(C153,statusdetails!$A:$D,4,0)</f>
        <v>STANDBY</v>
      </c>
      <c r="P153" s="0" t="str">
        <f aca="false">VLOOKUP(F153,equipment!$A:$E,4,0)</f>
        <v>CM01</v>
      </c>
      <c r="Q153" s="0" t="str">
        <f aca="false">VLOOKUP(F153,equipment!$A:$E,5,0)</f>
        <v>CM01 - 84</v>
      </c>
    </row>
    <row r="154" customFormat="false" ht="12.8" hidden="true" customHeight="false" outlineLevel="0" collapsed="false">
      <c r="A154" s="0" t="n">
        <v>466236</v>
      </c>
      <c r="B154" s="0" t="n">
        <v>466236</v>
      </c>
      <c r="C154" s="0" t="n">
        <v>3</v>
      </c>
      <c r="D154" s="0" t="n">
        <v>14</v>
      </c>
      <c r="E154" s="0" t="n">
        <v>2392</v>
      </c>
      <c r="F154" s="0" t="n">
        <v>82</v>
      </c>
      <c r="G154" s="0" t="n">
        <v>110</v>
      </c>
      <c r="H154" s="0" t="s">
        <v>246</v>
      </c>
      <c r="I154" s="0" t="s">
        <v>340</v>
      </c>
      <c r="J154" s="9" t="n">
        <v>45901</v>
      </c>
      <c r="K154" s="0" t="s">
        <v>341</v>
      </c>
      <c r="L154" s="0" t="n">
        <v>18</v>
      </c>
      <c r="M154" s="10" t="n">
        <f aca="false">_xlfn.NUMBERVALUE("" &amp; K154 &amp; "",".",",")</f>
        <v>0.194846036111111</v>
      </c>
      <c r="N154" s="10"/>
      <c r="O154" s="0" t="str">
        <f aca="false">VLOOKUP(C154,statusdetails!$A:$D,4,0)</f>
        <v>STANDBY</v>
      </c>
      <c r="P154" s="0" t="str">
        <f aca="false">VLOOKUP(F154,equipment!$A:$E,4,0)</f>
        <v>EX502</v>
      </c>
      <c r="Q154" s="0" t="str">
        <f aca="false">VLOOKUP(F154,equipment!$A:$E,5,0)</f>
        <v>EX502 - 82</v>
      </c>
    </row>
    <row r="155" customFormat="false" ht="12.8" hidden="true" customHeight="false" outlineLevel="0" collapsed="false">
      <c r="A155" s="0" t="n">
        <v>466237</v>
      </c>
      <c r="B155" s="0" t="n">
        <v>466237</v>
      </c>
      <c r="C155" s="0" t="n">
        <v>3</v>
      </c>
      <c r="D155" s="0" t="n">
        <v>14</v>
      </c>
      <c r="E155" s="0" t="n">
        <v>2083</v>
      </c>
      <c r="F155" s="0" t="n">
        <v>42</v>
      </c>
      <c r="G155" s="0" t="n">
        <v>5</v>
      </c>
      <c r="H155" s="0" t="s">
        <v>316</v>
      </c>
      <c r="I155" s="0" t="s">
        <v>342</v>
      </c>
      <c r="J155" s="9" t="n">
        <v>45901</v>
      </c>
      <c r="K155" s="0" t="s">
        <v>343</v>
      </c>
      <c r="L155" s="0" t="n">
        <v>18</v>
      </c>
      <c r="M155" s="10" t="n">
        <f aca="false">_xlfn.NUMBERVALUE("" &amp; K155 &amp; "",".",",")</f>
        <v>0.228443333333333</v>
      </c>
      <c r="N155" s="10"/>
      <c r="O155" s="0" t="str">
        <f aca="false">VLOOKUP(C155,statusdetails!$A:$D,4,0)</f>
        <v>STANDBY</v>
      </c>
      <c r="P155" s="0" t="str">
        <f aca="false">VLOOKUP(F155,equipment!$A:$E,4,0)</f>
        <v>PE301</v>
      </c>
      <c r="Q155" s="0" t="str">
        <f aca="false">VLOOKUP(F155,equipment!$A:$E,5,0)</f>
        <v>PE301 - 42</v>
      </c>
    </row>
    <row r="156" customFormat="false" ht="12.8" hidden="true" customHeight="false" outlineLevel="0" collapsed="false">
      <c r="A156" s="0" t="n">
        <v>466238</v>
      </c>
      <c r="B156" s="0" t="n">
        <v>466238</v>
      </c>
      <c r="C156" s="0" t="n">
        <v>1</v>
      </c>
      <c r="D156" s="0" t="n">
        <v>6</v>
      </c>
      <c r="E156" s="0" t="n">
        <v>372</v>
      </c>
      <c r="F156" s="0" t="n">
        <v>91</v>
      </c>
      <c r="G156" s="0" t="n">
        <v>64</v>
      </c>
      <c r="H156" s="0" t="s">
        <v>328</v>
      </c>
      <c r="I156" s="0" t="s">
        <v>344</v>
      </c>
      <c r="J156" s="9" t="n">
        <v>45901</v>
      </c>
      <c r="K156" s="0" t="s">
        <v>345</v>
      </c>
      <c r="L156" s="0" t="n">
        <v>18</v>
      </c>
      <c r="M156" s="10" t="n">
        <f aca="false">_xlfn.NUMBERVALUE("" &amp; K156 &amp; "",".",",")</f>
        <v>5.93491925777778</v>
      </c>
      <c r="N156" s="10"/>
      <c r="O156" s="0" t="str">
        <f aca="false">VLOOKUP(C156,statusdetails!$A:$D,4,0)</f>
        <v>READY</v>
      </c>
    </row>
    <row r="157" customFormat="false" ht="12.8" hidden="true" customHeight="false" outlineLevel="0" collapsed="false">
      <c r="A157" s="0" t="n">
        <v>466239</v>
      </c>
      <c r="B157" s="0" t="n">
        <v>466239</v>
      </c>
      <c r="C157" s="0" t="n">
        <v>2</v>
      </c>
      <c r="D157" s="0" t="n">
        <v>7</v>
      </c>
      <c r="E157" s="0" t="n">
        <v>2385</v>
      </c>
      <c r="F157" s="0" t="n">
        <v>82</v>
      </c>
      <c r="G157" s="0" t="n">
        <v>28</v>
      </c>
      <c r="H157" s="0" t="s">
        <v>340</v>
      </c>
      <c r="I157" s="0" t="s">
        <v>346</v>
      </c>
      <c r="J157" s="9" t="n">
        <v>45901</v>
      </c>
      <c r="K157" s="0" t="s">
        <v>347</v>
      </c>
      <c r="L157" s="0" t="n">
        <v>19</v>
      </c>
      <c r="M157" s="3" t="n">
        <f aca="false">_xlfn.NUMBERVALUE("" &amp; K157 &amp; "",".",",")</f>
        <v>0.566893722777778</v>
      </c>
      <c r="O157" s="0" t="str">
        <f aca="false">VLOOKUP(C157,statusdetails!$A:$D,4,0)</f>
        <v>DELAY</v>
      </c>
    </row>
    <row r="158" customFormat="false" ht="12.8" hidden="true" customHeight="false" outlineLevel="0" collapsed="false">
      <c r="A158" s="0" t="n">
        <v>466240</v>
      </c>
      <c r="B158" s="0" t="n">
        <v>466240</v>
      </c>
      <c r="C158" s="0" t="n">
        <v>1</v>
      </c>
      <c r="D158" s="0" t="n">
        <v>6</v>
      </c>
      <c r="E158" s="0" t="n">
        <v>2518</v>
      </c>
      <c r="F158" s="0" t="n">
        <v>96</v>
      </c>
      <c r="G158" s="0" t="n">
        <v>124</v>
      </c>
      <c r="H158" s="0" t="s">
        <v>332</v>
      </c>
      <c r="I158" s="0" t="s">
        <v>348</v>
      </c>
      <c r="J158" s="9" t="n">
        <v>45901</v>
      </c>
      <c r="K158" s="0" t="s">
        <v>349</v>
      </c>
      <c r="L158" s="0" t="n">
        <v>19</v>
      </c>
      <c r="M158" s="10" t="n">
        <f aca="false">_xlfn.NUMBERVALUE("" &amp; K158 &amp; "",".",",")</f>
        <v>1.8932227175</v>
      </c>
      <c r="N158" s="10"/>
      <c r="O158" s="0" t="str">
        <f aca="false">VLOOKUP(C158,statusdetails!$A:$D,4,0)</f>
        <v>READY</v>
      </c>
    </row>
    <row r="159" customFormat="false" ht="12.8" hidden="true" customHeight="false" outlineLevel="0" collapsed="false">
      <c r="A159" s="0" t="n">
        <v>466241</v>
      </c>
      <c r="B159" s="0" t="n">
        <v>466241</v>
      </c>
      <c r="C159" s="0" t="n">
        <v>1</v>
      </c>
      <c r="D159" s="0" t="n">
        <v>6</v>
      </c>
      <c r="E159" s="0" t="n">
        <v>260</v>
      </c>
      <c r="F159" s="0" t="n">
        <v>33</v>
      </c>
      <c r="G159" s="0" t="n">
        <v>0</v>
      </c>
      <c r="H159" s="0" t="s">
        <v>334</v>
      </c>
      <c r="I159" s="0" t="s">
        <v>350</v>
      </c>
      <c r="J159" s="9" t="n">
        <v>45901</v>
      </c>
      <c r="K159" s="0" t="s">
        <v>351</v>
      </c>
      <c r="L159" s="0" t="n">
        <v>19</v>
      </c>
      <c r="M159" s="10" t="n">
        <f aca="false">_xlfn.NUMBERVALUE("" &amp; K159 &amp; "",".",",")</f>
        <v>0.705089883333333</v>
      </c>
      <c r="N159" s="10"/>
      <c r="O159" s="0" t="str">
        <f aca="false">VLOOKUP(C159,statusdetails!$A:$D,4,0)</f>
        <v>READY</v>
      </c>
    </row>
    <row r="160" customFormat="false" ht="12.8" hidden="true" customHeight="false" outlineLevel="0" collapsed="false">
      <c r="A160" s="0" t="n">
        <v>466242</v>
      </c>
      <c r="B160" s="0" t="n">
        <v>466242</v>
      </c>
      <c r="C160" s="0" t="n">
        <v>1</v>
      </c>
      <c r="D160" s="0" t="n">
        <v>6</v>
      </c>
      <c r="E160" s="0" t="n">
        <v>260</v>
      </c>
      <c r="F160" s="0" t="n">
        <v>35</v>
      </c>
      <c r="G160" s="0" t="n">
        <v>119</v>
      </c>
      <c r="H160" s="0" t="s">
        <v>336</v>
      </c>
      <c r="I160" s="0" t="s">
        <v>352</v>
      </c>
      <c r="J160" s="9" t="n">
        <v>45901</v>
      </c>
      <c r="K160" s="0" t="s">
        <v>353</v>
      </c>
      <c r="L160" s="0" t="n">
        <v>19</v>
      </c>
      <c r="M160" s="10" t="n">
        <f aca="false">_xlfn.NUMBERVALUE("" &amp; K160 &amp; "",".",",")</f>
        <v>1.33684799138889</v>
      </c>
      <c r="N160" s="10"/>
      <c r="O160" s="0" t="str">
        <f aca="false">VLOOKUP(C160,statusdetails!$A:$D,4,0)</f>
        <v>READY</v>
      </c>
    </row>
    <row r="161" customFormat="false" ht="12.8" hidden="true" customHeight="false" outlineLevel="0" collapsed="false">
      <c r="A161" s="0" t="n">
        <v>466243</v>
      </c>
      <c r="B161" s="0" t="n">
        <v>466243</v>
      </c>
      <c r="C161" s="0" t="n">
        <v>1</v>
      </c>
      <c r="D161" s="0" t="n">
        <v>6</v>
      </c>
      <c r="E161" s="0" t="n">
        <v>2404</v>
      </c>
      <c r="F161" s="0" t="n">
        <v>84</v>
      </c>
      <c r="G161" s="0" t="n">
        <v>138</v>
      </c>
      <c r="H161" s="0" t="s">
        <v>338</v>
      </c>
      <c r="I161" s="0" t="s">
        <v>354</v>
      </c>
      <c r="J161" s="9" t="n">
        <v>45901</v>
      </c>
      <c r="K161" s="0" t="s">
        <v>355</v>
      </c>
      <c r="L161" s="0" t="n">
        <v>19</v>
      </c>
      <c r="M161" s="10" t="n">
        <f aca="false">_xlfn.NUMBERVALUE("" &amp; K161 &amp; "",".",",")</f>
        <v>1.88446894361111</v>
      </c>
      <c r="N161" s="10"/>
      <c r="O161" s="0" t="str">
        <f aca="false">VLOOKUP(C161,statusdetails!$A:$D,4,0)</f>
        <v>READY</v>
      </c>
    </row>
    <row r="162" customFormat="false" ht="12.8" hidden="true" customHeight="false" outlineLevel="0" collapsed="false">
      <c r="A162" s="0" t="n">
        <v>466244</v>
      </c>
      <c r="B162" s="0" t="n">
        <v>466244</v>
      </c>
      <c r="C162" s="0" t="n">
        <v>1</v>
      </c>
      <c r="D162" s="0" t="n">
        <v>6</v>
      </c>
      <c r="E162" s="0" t="n">
        <v>811</v>
      </c>
      <c r="F162" s="0" t="n">
        <v>42</v>
      </c>
      <c r="G162" s="0" t="n">
        <v>35</v>
      </c>
      <c r="H162" s="0" t="s">
        <v>342</v>
      </c>
      <c r="I162" s="0" t="s">
        <v>356</v>
      </c>
      <c r="J162" s="9" t="n">
        <v>45901</v>
      </c>
      <c r="K162" s="0" t="s">
        <v>357</v>
      </c>
      <c r="L162" s="0" t="n">
        <v>19</v>
      </c>
      <c r="M162" s="10" t="n">
        <f aca="false">_xlfn.NUMBERVALUE("" &amp; K162 &amp; "",".",",")</f>
        <v>0.81021</v>
      </c>
      <c r="N162" s="10"/>
      <c r="O162" s="0" t="str">
        <f aca="false">VLOOKUP(C162,statusdetails!$A:$D,4,0)</f>
        <v>READY</v>
      </c>
    </row>
    <row r="163" customFormat="false" ht="12.8" hidden="true" customHeight="false" outlineLevel="0" collapsed="false">
      <c r="A163" s="0" t="n">
        <v>466245</v>
      </c>
      <c r="B163" s="0" t="n">
        <v>466245</v>
      </c>
      <c r="C163" s="0" t="n">
        <v>4</v>
      </c>
      <c r="D163" s="0" t="n">
        <v>16</v>
      </c>
      <c r="E163" s="0" t="n">
        <v>349</v>
      </c>
      <c r="F163" s="0" t="n">
        <v>32</v>
      </c>
      <c r="G163" s="0" t="n">
        <v>20</v>
      </c>
      <c r="H163" s="0" t="s">
        <v>320</v>
      </c>
      <c r="I163" s="0" t="s">
        <v>358</v>
      </c>
      <c r="J163" s="9" t="n">
        <v>45901</v>
      </c>
      <c r="K163" s="0" t="s">
        <v>359</v>
      </c>
      <c r="L163" s="0" t="n">
        <v>19</v>
      </c>
      <c r="M163" s="10" t="n">
        <f aca="false">_xlfn.NUMBERVALUE("" &amp; K163 &amp; "",".",",")</f>
        <v>9.24066767472222</v>
      </c>
      <c r="N163" s="10"/>
      <c r="O163" s="0" t="str">
        <f aca="false">VLOOKUP(C163,statusdetails!$A:$D,4,0)</f>
        <v>MAINT</v>
      </c>
    </row>
    <row r="164" customFormat="false" ht="12.8" hidden="true" customHeight="false" outlineLevel="0" collapsed="false">
      <c r="A164" s="0" t="n">
        <v>466246</v>
      </c>
      <c r="B164" s="0" t="n">
        <v>466246</v>
      </c>
      <c r="C164" s="0" t="n">
        <v>1</v>
      </c>
      <c r="D164" s="0" t="n">
        <v>6</v>
      </c>
      <c r="E164" s="0" t="n">
        <v>2404</v>
      </c>
      <c r="F164" s="0" t="n">
        <v>85</v>
      </c>
      <c r="G164" s="0" t="n">
        <v>4</v>
      </c>
      <c r="H164" s="0" t="s">
        <v>282</v>
      </c>
      <c r="I164" s="0" t="s">
        <v>360</v>
      </c>
      <c r="J164" s="9" t="n">
        <v>45901</v>
      </c>
      <c r="K164" s="0" t="s">
        <v>361</v>
      </c>
      <c r="L164" s="0" t="n">
        <v>19</v>
      </c>
      <c r="M164" s="10" t="n">
        <f aca="false">_xlfn.NUMBERVALUE("" &amp; K164 &amp; "",".",",")</f>
        <v>1.74739483305556</v>
      </c>
      <c r="N164" s="10"/>
      <c r="O164" s="0" t="str">
        <f aca="false">VLOOKUP(C164,statusdetails!$A:$D,4,0)</f>
        <v>READY</v>
      </c>
    </row>
    <row r="165" customFormat="false" ht="12.8" hidden="true" customHeight="false" outlineLevel="0" collapsed="false">
      <c r="A165" s="0" t="n">
        <v>466247</v>
      </c>
      <c r="B165" s="0" t="n">
        <v>466247</v>
      </c>
      <c r="C165" s="0" t="n">
        <v>2</v>
      </c>
      <c r="D165" s="0" t="n">
        <v>9</v>
      </c>
      <c r="E165" s="0" t="n">
        <v>2568</v>
      </c>
      <c r="F165" s="0" t="n">
        <v>66</v>
      </c>
      <c r="G165" s="0" t="n">
        <v>116</v>
      </c>
      <c r="H165" s="0" t="s">
        <v>310</v>
      </c>
      <c r="I165" s="0" t="s">
        <v>362</v>
      </c>
      <c r="J165" s="9" t="n">
        <v>45901</v>
      </c>
      <c r="K165" s="0" t="s">
        <v>363</v>
      </c>
      <c r="L165" s="0" t="n">
        <v>19</v>
      </c>
      <c r="M165" s="3" t="n">
        <f aca="false">_xlfn.NUMBERVALUE("" &amp; K165 &amp; "",".",",")</f>
        <v>0.0437105836111111</v>
      </c>
      <c r="O165" s="0" t="str">
        <f aca="false">VLOOKUP(C165,statusdetails!$A:$D,4,0)</f>
        <v>DELAY</v>
      </c>
    </row>
    <row r="166" customFormat="false" ht="12.8" hidden="true" customHeight="false" outlineLevel="0" collapsed="false">
      <c r="A166" s="0" t="n">
        <v>466248</v>
      </c>
      <c r="B166" s="0" t="n">
        <v>466248</v>
      </c>
      <c r="C166" s="0" t="n">
        <v>1</v>
      </c>
      <c r="D166" s="0" t="n">
        <v>6</v>
      </c>
      <c r="E166" s="0" t="n">
        <v>2404</v>
      </c>
      <c r="F166" s="0" t="n">
        <v>88</v>
      </c>
      <c r="G166" s="0" t="n">
        <v>131</v>
      </c>
      <c r="H166" s="0" t="s">
        <v>280</v>
      </c>
      <c r="I166" s="0" t="s">
        <v>364</v>
      </c>
      <c r="J166" s="9" t="n">
        <v>45901</v>
      </c>
      <c r="K166" s="0" t="s">
        <v>365</v>
      </c>
      <c r="L166" s="0" t="n">
        <v>19</v>
      </c>
      <c r="M166" s="10" t="n">
        <f aca="false">_xlfn.NUMBERVALUE("" &amp; K166 &amp; "",".",",")</f>
        <v>4.23320079805556</v>
      </c>
      <c r="N166" s="10"/>
      <c r="O166" s="0" t="str">
        <f aca="false">VLOOKUP(C166,statusdetails!$A:$D,4,0)</f>
        <v>READY</v>
      </c>
    </row>
    <row r="167" customFormat="false" ht="12.8" hidden="true" customHeight="false" outlineLevel="0" collapsed="false">
      <c r="A167" s="0" t="n">
        <v>466249</v>
      </c>
      <c r="B167" s="0" t="n">
        <v>466249</v>
      </c>
      <c r="C167" s="0" t="n">
        <v>1</v>
      </c>
      <c r="D167" s="0" t="n">
        <v>6</v>
      </c>
      <c r="E167" s="0" t="n">
        <v>260</v>
      </c>
      <c r="F167" s="0" t="n">
        <v>66</v>
      </c>
      <c r="G167" s="0" t="n">
        <v>116</v>
      </c>
      <c r="H167" s="0" t="s">
        <v>362</v>
      </c>
      <c r="I167" s="0" t="s">
        <v>366</v>
      </c>
      <c r="J167" s="9" t="n">
        <v>45901</v>
      </c>
      <c r="K167" s="0" t="s">
        <v>367</v>
      </c>
      <c r="L167" s="0" t="n">
        <v>19</v>
      </c>
      <c r="M167" s="10" t="n">
        <f aca="false">_xlfn.NUMBERVALUE("" &amp; K167 &amp; "",".",",")</f>
        <v>0.253623888888889</v>
      </c>
      <c r="N167" s="10"/>
      <c r="O167" s="0" t="str">
        <f aca="false">VLOOKUP(C167,statusdetails!$A:$D,4,0)</f>
        <v>READY</v>
      </c>
    </row>
    <row r="168" customFormat="false" ht="12.8" hidden="true" customHeight="false" outlineLevel="0" collapsed="false">
      <c r="A168" s="0" t="n">
        <v>466250</v>
      </c>
      <c r="B168" s="0" t="n">
        <v>466250</v>
      </c>
      <c r="C168" s="0" t="n">
        <v>3</v>
      </c>
      <c r="D168" s="0" t="n">
        <v>12</v>
      </c>
      <c r="E168" s="0" t="n">
        <v>289</v>
      </c>
      <c r="F168" s="0" t="n">
        <v>34</v>
      </c>
      <c r="G168" s="0" t="n">
        <v>0</v>
      </c>
      <c r="H168" s="0" t="s">
        <v>244</v>
      </c>
      <c r="I168" s="0" t="s">
        <v>368</v>
      </c>
      <c r="J168" s="9" t="n">
        <v>45901</v>
      </c>
      <c r="K168" s="0" t="s">
        <v>369</v>
      </c>
      <c r="L168" s="0" t="n">
        <v>19</v>
      </c>
      <c r="M168" s="10" t="n">
        <f aca="false">_xlfn.NUMBERVALUE("" &amp; K168 &amp; "",".",",")</f>
        <v>0.226225130277778</v>
      </c>
      <c r="N168" s="10"/>
      <c r="O168" s="0" t="str">
        <f aca="false">VLOOKUP(C168,statusdetails!$A:$D,4,0)</f>
        <v>STANDBY</v>
      </c>
      <c r="P168" s="0" t="str">
        <f aca="false">VLOOKUP(F168,equipment!$A:$E,4,0)</f>
        <v>CM404</v>
      </c>
      <c r="Q168" s="0" t="str">
        <f aca="false">VLOOKUP(F168,equipment!$A:$E,5,0)</f>
        <v>CM404 - 34</v>
      </c>
    </row>
    <row r="169" customFormat="false" ht="12.8" hidden="true" customHeight="false" outlineLevel="0" collapsed="false">
      <c r="A169" s="0" t="n">
        <v>466251</v>
      </c>
      <c r="B169" s="0" t="n">
        <v>466251</v>
      </c>
      <c r="C169" s="0" t="n">
        <v>2</v>
      </c>
      <c r="D169" s="0" t="n">
        <v>7</v>
      </c>
      <c r="E169" s="0" t="n">
        <v>1026</v>
      </c>
      <c r="F169" s="0" t="n">
        <v>66</v>
      </c>
      <c r="G169" s="0" t="n">
        <v>116</v>
      </c>
      <c r="H169" s="0" t="s">
        <v>366</v>
      </c>
      <c r="I169" s="0" t="s">
        <v>370</v>
      </c>
      <c r="J169" s="9" t="n">
        <v>45901</v>
      </c>
      <c r="K169" s="0" t="s">
        <v>371</v>
      </c>
      <c r="L169" s="0" t="n">
        <v>19</v>
      </c>
      <c r="M169" s="3" t="n">
        <f aca="false">_xlfn.NUMBERVALUE("" &amp; K169 &amp; "",".",",")</f>
        <v>0.0940173</v>
      </c>
      <c r="O169" s="0" t="str">
        <f aca="false">VLOOKUP(C169,statusdetails!$A:$D,4,0)</f>
        <v>DELAY</v>
      </c>
    </row>
    <row r="170" customFormat="false" ht="12.8" hidden="true" customHeight="false" outlineLevel="0" collapsed="false">
      <c r="A170" s="0" t="n">
        <v>466252</v>
      </c>
      <c r="B170" s="0" t="n">
        <v>466252</v>
      </c>
      <c r="C170" s="0" t="n">
        <v>1</v>
      </c>
      <c r="D170" s="0" t="n">
        <v>6</v>
      </c>
      <c r="E170" s="0" t="n">
        <v>2518</v>
      </c>
      <c r="F170" s="0" t="n">
        <v>82</v>
      </c>
      <c r="G170" s="0" t="n">
        <v>28</v>
      </c>
      <c r="H170" s="0" t="s">
        <v>346</v>
      </c>
      <c r="I170" s="0" t="s">
        <v>372</v>
      </c>
      <c r="J170" s="9" t="n">
        <v>45901</v>
      </c>
      <c r="K170" s="0" t="s">
        <v>373</v>
      </c>
      <c r="L170" s="0" t="n">
        <v>19</v>
      </c>
      <c r="M170" s="10" t="n">
        <f aca="false">_xlfn.NUMBERVALUE("" &amp; K170 &amp; "",".",",")</f>
        <v>2.04243495583333</v>
      </c>
      <c r="N170" s="10"/>
      <c r="O170" s="0" t="str">
        <f aca="false">VLOOKUP(C170,statusdetails!$A:$D,4,0)</f>
        <v>READY</v>
      </c>
    </row>
    <row r="171" customFormat="false" ht="12.8" hidden="true" customHeight="false" outlineLevel="0" collapsed="false">
      <c r="A171" s="0" t="n">
        <v>466253</v>
      </c>
      <c r="B171" s="0" t="n">
        <v>466253</v>
      </c>
      <c r="C171" s="0" t="n">
        <v>4</v>
      </c>
      <c r="D171" s="0" t="n">
        <v>16</v>
      </c>
      <c r="E171" s="0" t="n">
        <v>1505</v>
      </c>
      <c r="F171" s="0" t="n">
        <v>90</v>
      </c>
      <c r="G171" s="0" t="n">
        <v>163</v>
      </c>
      <c r="H171" s="0" t="s">
        <v>268</v>
      </c>
      <c r="I171" s="0" t="s">
        <v>374</v>
      </c>
      <c r="J171" s="9" t="n">
        <v>45901</v>
      </c>
      <c r="K171" s="0" t="s">
        <v>375</v>
      </c>
      <c r="L171" s="0" t="n">
        <v>19</v>
      </c>
      <c r="M171" s="10" t="n">
        <f aca="false">_xlfn.NUMBERVALUE("" &amp; K171 &amp; "",".",",")</f>
        <v>16.6450979788889</v>
      </c>
      <c r="N171" s="10"/>
      <c r="O171" s="0" t="str">
        <f aca="false">VLOOKUP(C171,statusdetails!$A:$D,4,0)</f>
        <v>MAINT</v>
      </c>
    </row>
    <row r="172" customFormat="false" ht="12.8" hidden="true" customHeight="false" outlineLevel="0" collapsed="false">
      <c r="A172" s="0" t="n">
        <v>466254</v>
      </c>
      <c r="B172" s="0" t="n">
        <v>466254</v>
      </c>
      <c r="C172" s="0" t="n">
        <v>1</v>
      </c>
      <c r="D172" s="0" t="n">
        <v>6</v>
      </c>
      <c r="E172" s="0" t="n">
        <v>260</v>
      </c>
      <c r="F172" s="0" t="n">
        <v>66</v>
      </c>
      <c r="G172" s="0" t="n">
        <v>116</v>
      </c>
      <c r="H172" s="0" t="s">
        <v>370</v>
      </c>
      <c r="I172" s="0" t="s">
        <v>376</v>
      </c>
      <c r="J172" s="9" t="n">
        <v>45901</v>
      </c>
      <c r="K172" s="0" t="s">
        <v>377</v>
      </c>
      <c r="L172" s="0" t="n">
        <v>19</v>
      </c>
      <c r="M172" s="10" t="n">
        <f aca="false">_xlfn.NUMBERVALUE("" &amp; K172 &amp; "",".",",")</f>
        <v>0.565091588888889</v>
      </c>
      <c r="N172" s="10"/>
      <c r="O172" s="0" t="str">
        <f aca="false">VLOOKUP(C172,statusdetails!$A:$D,4,0)</f>
        <v>READY</v>
      </c>
    </row>
    <row r="173" customFormat="false" ht="12.8" hidden="true" customHeight="false" outlineLevel="0" collapsed="false">
      <c r="A173" s="0" t="n">
        <v>466255</v>
      </c>
      <c r="B173" s="0" t="n">
        <v>466255</v>
      </c>
      <c r="C173" s="0" t="n">
        <v>3</v>
      </c>
      <c r="D173" s="0" t="n">
        <v>14</v>
      </c>
      <c r="E173" s="0" t="n">
        <v>2555</v>
      </c>
      <c r="F173" s="0" t="n">
        <v>86</v>
      </c>
      <c r="G173" s="0" t="n">
        <v>139</v>
      </c>
      <c r="H173" s="0" t="s">
        <v>322</v>
      </c>
      <c r="I173" s="0" t="s">
        <v>378</v>
      </c>
      <c r="J173" s="9" t="n">
        <v>45901</v>
      </c>
      <c r="K173" s="0" t="s">
        <v>379</v>
      </c>
      <c r="L173" s="0" t="n">
        <v>19</v>
      </c>
      <c r="M173" s="10" t="n">
        <f aca="false">_xlfn.NUMBERVALUE("" &amp; K173 &amp; "",".",",")</f>
        <v>0.1484412075</v>
      </c>
      <c r="N173" s="10"/>
      <c r="O173" s="0" t="str">
        <f aca="false">VLOOKUP(C173,statusdetails!$A:$D,4,0)</f>
        <v>STANDBY</v>
      </c>
      <c r="P173" s="0" t="str">
        <f aca="false">VLOOKUP(F173,equipment!$A:$E,4,0)</f>
        <v>CM03</v>
      </c>
      <c r="Q173" s="0" t="str">
        <f aca="false">VLOOKUP(F173,equipment!$A:$E,5,0)</f>
        <v>CM03 - 86</v>
      </c>
    </row>
    <row r="174" customFormat="false" ht="12.8" hidden="true" customHeight="false" outlineLevel="0" collapsed="false">
      <c r="A174" s="0" t="n">
        <v>466256</v>
      </c>
      <c r="B174" s="0" t="n">
        <v>466256</v>
      </c>
      <c r="C174" s="0" t="n">
        <v>2</v>
      </c>
      <c r="D174" s="0" t="n">
        <v>7</v>
      </c>
      <c r="E174" s="0" t="n">
        <v>2062</v>
      </c>
      <c r="F174" s="0" t="n">
        <v>34</v>
      </c>
      <c r="G174" s="0" t="n">
        <v>112</v>
      </c>
      <c r="H174" s="0" t="s">
        <v>368</v>
      </c>
      <c r="I174" s="0" t="s">
        <v>380</v>
      </c>
      <c r="J174" s="9" t="n">
        <v>45901</v>
      </c>
      <c r="K174" s="0" t="s">
        <v>381</v>
      </c>
      <c r="L174" s="0" t="n">
        <v>19</v>
      </c>
      <c r="M174" s="3" t="n">
        <f aca="false">_xlfn.NUMBERVALUE("" &amp; K174 &amp; "",".",",")</f>
        <v>0.0672300927777778</v>
      </c>
      <c r="O174" s="0" t="str">
        <f aca="false">VLOOKUP(C174,statusdetails!$A:$D,4,0)</f>
        <v>DELAY</v>
      </c>
    </row>
    <row r="175" customFormat="false" ht="12.8" hidden="true" customHeight="false" outlineLevel="0" collapsed="false">
      <c r="A175" s="0" t="n">
        <v>466257</v>
      </c>
      <c r="B175" s="0" t="n">
        <v>466257</v>
      </c>
      <c r="C175" s="0" t="n">
        <v>3</v>
      </c>
      <c r="D175" s="0" t="n">
        <v>12</v>
      </c>
      <c r="E175" s="0" t="n">
        <v>1011</v>
      </c>
      <c r="F175" s="0" t="n">
        <v>34</v>
      </c>
      <c r="G175" s="0" t="n">
        <v>112</v>
      </c>
      <c r="H175" s="0" t="s">
        <v>380</v>
      </c>
      <c r="I175" s="0" t="s">
        <v>382</v>
      </c>
      <c r="J175" s="9" t="n">
        <v>45901</v>
      </c>
      <c r="K175" s="0" t="s">
        <v>383</v>
      </c>
      <c r="L175" s="0" t="n">
        <v>19</v>
      </c>
      <c r="M175" s="10" t="n">
        <f aca="false">_xlfn.NUMBERVALUE("" &amp; K175 &amp; "",".",",")</f>
        <v>8.76064796277778</v>
      </c>
      <c r="N175" s="10"/>
      <c r="O175" s="0" t="str">
        <f aca="false">VLOOKUP(C175,statusdetails!$A:$D,4,0)</f>
        <v>STANDBY</v>
      </c>
      <c r="P175" s="0" t="str">
        <f aca="false">VLOOKUP(F175,equipment!$A:$E,4,0)</f>
        <v>CM404</v>
      </c>
      <c r="Q175" s="0" t="str">
        <f aca="false">VLOOKUP(F175,equipment!$A:$E,5,0)</f>
        <v>CM404 - 34</v>
      </c>
    </row>
    <row r="176" customFormat="false" ht="12.8" hidden="true" customHeight="false" outlineLevel="0" collapsed="false">
      <c r="A176" s="0" t="n">
        <v>466258</v>
      </c>
      <c r="B176" s="0" t="n">
        <v>466258</v>
      </c>
      <c r="C176" s="0" t="n">
        <v>4</v>
      </c>
      <c r="D176" s="0" t="n">
        <v>16</v>
      </c>
      <c r="E176" s="0" t="n">
        <v>366</v>
      </c>
      <c r="F176" s="0" t="n">
        <v>33</v>
      </c>
      <c r="G176" s="0" t="n">
        <v>40</v>
      </c>
      <c r="H176" s="0" t="s">
        <v>350</v>
      </c>
      <c r="I176" s="0" t="s">
        <v>384</v>
      </c>
      <c r="J176" s="9" t="n">
        <v>45901</v>
      </c>
      <c r="K176" s="0" t="s">
        <v>385</v>
      </c>
      <c r="L176" s="0" t="n">
        <v>19</v>
      </c>
      <c r="M176" s="10" t="n">
        <f aca="false">_xlfn.NUMBERVALUE("" &amp; K176 &amp; "",".",",")</f>
        <v>3.018687615</v>
      </c>
      <c r="N176" s="10"/>
      <c r="O176" s="0" t="str">
        <f aca="false">VLOOKUP(C176,statusdetails!$A:$D,4,0)</f>
        <v>MAINT</v>
      </c>
    </row>
    <row r="177" customFormat="false" ht="12.8" hidden="true" customHeight="false" outlineLevel="0" collapsed="false">
      <c r="A177" s="0" t="n">
        <v>466259</v>
      </c>
      <c r="B177" s="0" t="n">
        <v>466259</v>
      </c>
      <c r="C177" s="0" t="n">
        <v>1</v>
      </c>
      <c r="D177" s="0" t="n">
        <v>6</v>
      </c>
      <c r="E177" s="0" t="n">
        <v>2404</v>
      </c>
      <c r="F177" s="0" t="n">
        <v>86</v>
      </c>
      <c r="G177" s="0" t="n">
        <v>139</v>
      </c>
      <c r="H177" s="0" t="s">
        <v>378</v>
      </c>
      <c r="I177" s="0" t="s">
        <v>386</v>
      </c>
      <c r="J177" s="9" t="n">
        <v>45901</v>
      </c>
      <c r="K177" s="0" t="s">
        <v>387</v>
      </c>
      <c r="L177" s="0" t="n">
        <v>19</v>
      </c>
      <c r="M177" s="10" t="n">
        <f aca="false">_xlfn.NUMBERVALUE("" &amp; K177 &amp; "",".",",")</f>
        <v>3.96376900722222</v>
      </c>
      <c r="N177" s="10"/>
      <c r="O177" s="0" t="str">
        <f aca="false">VLOOKUP(C177,statusdetails!$A:$D,4,0)</f>
        <v>READY</v>
      </c>
    </row>
    <row r="178" customFormat="false" ht="12.8" hidden="true" customHeight="false" outlineLevel="0" collapsed="false">
      <c r="A178" s="0" t="n">
        <v>466260</v>
      </c>
      <c r="B178" s="0" t="n">
        <v>466260</v>
      </c>
      <c r="C178" s="0" t="n">
        <v>1</v>
      </c>
      <c r="D178" s="0" t="n">
        <v>6</v>
      </c>
      <c r="E178" s="0" t="n">
        <v>2524</v>
      </c>
      <c r="F178" s="0" t="n">
        <v>74</v>
      </c>
      <c r="G178" s="0" t="n">
        <v>58</v>
      </c>
      <c r="H178" s="0" t="s">
        <v>183</v>
      </c>
      <c r="I178" s="0" t="s">
        <v>388</v>
      </c>
      <c r="J178" s="9" t="n">
        <v>45901</v>
      </c>
      <c r="K178" s="0" t="s">
        <v>389</v>
      </c>
      <c r="L178" s="0" t="n">
        <v>19</v>
      </c>
      <c r="M178" s="10" t="n">
        <f aca="false">_xlfn.NUMBERVALUE("" &amp; K178 &amp; "",".",",")</f>
        <v>5.14786312472222</v>
      </c>
      <c r="N178" s="10"/>
      <c r="O178" s="0" t="str">
        <f aca="false">VLOOKUP(C178,statusdetails!$A:$D,4,0)</f>
        <v>READY</v>
      </c>
    </row>
    <row r="179" customFormat="false" ht="12.8" hidden="true" customHeight="false" outlineLevel="0" collapsed="false">
      <c r="A179" s="0" t="n">
        <v>466261</v>
      </c>
      <c r="B179" s="0" t="n">
        <v>466261</v>
      </c>
      <c r="C179" s="0" t="n">
        <v>1</v>
      </c>
      <c r="D179" s="0" t="n">
        <v>6</v>
      </c>
      <c r="E179" s="0" t="n">
        <v>586</v>
      </c>
      <c r="F179" s="0" t="n">
        <v>41</v>
      </c>
      <c r="G179" s="0" t="n">
        <v>87</v>
      </c>
      <c r="H179" s="0" t="s">
        <v>324</v>
      </c>
      <c r="I179" s="11" t="n">
        <v>45901.8716550926</v>
      </c>
      <c r="J179" s="9" t="n">
        <v>45901</v>
      </c>
      <c r="K179" s="0" t="s">
        <v>390</v>
      </c>
      <c r="L179" s="0" t="n">
        <v>19</v>
      </c>
      <c r="M179" s="10" t="n">
        <f aca="false">_xlfn.NUMBERVALUE("" &amp; K179 &amp; "",".",",")</f>
        <v>1.1372690775</v>
      </c>
      <c r="N179" s="10"/>
      <c r="O179" s="0" t="str">
        <f aca="false">VLOOKUP(C179,statusdetails!$A:$D,4,0)</f>
        <v>READY</v>
      </c>
    </row>
    <row r="180" customFormat="false" ht="12.8" hidden="true" customHeight="false" outlineLevel="0" collapsed="false">
      <c r="A180" s="0" t="n">
        <v>466262</v>
      </c>
      <c r="B180" s="0" t="n">
        <v>466262</v>
      </c>
      <c r="C180" s="0" t="n">
        <v>2</v>
      </c>
      <c r="D180" s="0" t="n">
        <v>7</v>
      </c>
      <c r="E180" s="0" t="n">
        <v>821</v>
      </c>
      <c r="F180" s="0" t="n">
        <v>42</v>
      </c>
      <c r="G180" s="0" t="n">
        <v>35</v>
      </c>
      <c r="H180" s="0" t="s">
        <v>356</v>
      </c>
      <c r="I180" s="0" t="s">
        <v>391</v>
      </c>
      <c r="J180" s="9" t="n">
        <v>45901</v>
      </c>
      <c r="K180" s="0" t="s">
        <v>392</v>
      </c>
      <c r="L180" s="0" t="n">
        <v>19</v>
      </c>
      <c r="M180" s="3" t="n">
        <f aca="false">_xlfn.NUMBERVALUE("" &amp; K180 &amp; "",".",",")</f>
        <v>0.0825213888888889</v>
      </c>
      <c r="O180" s="0" t="str">
        <f aca="false">VLOOKUP(C180,statusdetails!$A:$D,4,0)</f>
        <v>DELAY</v>
      </c>
    </row>
    <row r="181" customFormat="false" ht="12.8" hidden="true" customHeight="false" outlineLevel="0" collapsed="false">
      <c r="A181" s="0" t="n">
        <v>466263</v>
      </c>
      <c r="B181" s="0" t="n">
        <v>466263</v>
      </c>
      <c r="C181" s="0" t="n">
        <v>1</v>
      </c>
      <c r="D181" s="0" t="n">
        <v>6</v>
      </c>
      <c r="E181" s="0" t="n">
        <v>811</v>
      </c>
      <c r="F181" s="0" t="n">
        <v>42</v>
      </c>
      <c r="G181" s="0" t="n">
        <v>35</v>
      </c>
      <c r="H181" s="0" t="s">
        <v>391</v>
      </c>
      <c r="I181" s="0" t="s">
        <v>393</v>
      </c>
      <c r="J181" s="9" t="n">
        <v>45901</v>
      </c>
      <c r="K181" s="0" t="s">
        <v>394</v>
      </c>
      <c r="L181" s="0" t="n">
        <v>19</v>
      </c>
      <c r="M181" s="10" t="n">
        <f aca="false">_xlfn.NUMBERVALUE("" &amp; K181 &amp; "",".",",")</f>
        <v>4.99098583333333</v>
      </c>
      <c r="N181" s="10"/>
      <c r="O181" s="0" t="str">
        <f aca="false">VLOOKUP(C181,statusdetails!$A:$D,4,0)</f>
        <v>READY</v>
      </c>
    </row>
    <row r="182" customFormat="false" ht="12.8" hidden="true" customHeight="false" outlineLevel="0" collapsed="false">
      <c r="A182" s="0" t="n">
        <v>466264</v>
      </c>
      <c r="B182" s="0" t="n">
        <v>466264</v>
      </c>
      <c r="C182" s="0" t="n">
        <v>3</v>
      </c>
      <c r="D182" s="0" t="n">
        <v>14</v>
      </c>
      <c r="E182" s="0" t="n">
        <v>2555</v>
      </c>
      <c r="F182" s="0" t="n">
        <v>89</v>
      </c>
      <c r="G182" s="0" t="n">
        <v>2</v>
      </c>
      <c r="H182" s="0" t="s">
        <v>191</v>
      </c>
      <c r="I182" s="0" t="s">
        <v>395</v>
      </c>
      <c r="J182" s="9" t="n">
        <v>45901</v>
      </c>
      <c r="K182" s="0" t="s">
        <v>396</v>
      </c>
      <c r="L182" s="0" t="n">
        <v>20</v>
      </c>
      <c r="M182" s="10" t="n">
        <f aca="false">_xlfn.NUMBERVALUE("" &amp; K182 &amp; "",".",",")</f>
        <v>0.133612696944444</v>
      </c>
      <c r="N182" s="10"/>
      <c r="O182" s="0" t="str">
        <f aca="false">VLOOKUP(C182,statusdetails!$A:$D,4,0)</f>
        <v>STANDBY</v>
      </c>
      <c r="P182" s="0" t="str">
        <f aca="false">VLOOKUP(F182,equipment!$A:$E,4,0)</f>
        <v>CM06</v>
      </c>
      <c r="Q182" s="0" t="str">
        <f aca="false">VLOOKUP(F182,equipment!$A:$E,5,0)</f>
        <v>CM06 - 89</v>
      </c>
    </row>
    <row r="183" customFormat="false" ht="12.8" hidden="true" customHeight="false" outlineLevel="0" collapsed="false">
      <c r="A183" s="0" t="n">
        <v>466265</v>
      </c>
      <c r="B183" s="0" t="n">
        <v>466265</v>
      </c>
      <c r="C183" s="0" t="n">
        <v>3</v>
      </c>
      <c r="D183" s="0" t="n">
        <v>12</v>
      </c>
      <c r="E183" s="0" t="n">
        <v>2422</v>
      </c>
      <c r="F183" s="0" t="n">
        <v>87</v>
      </c>
      <c r="G183" s="0" t="n">
        <v>143</v>
      </c>
      <c r="H183" s="0" t="s">
        <v>298</v>
      </c>
      <c r="I183" s="0" t="s">
        <v>397</v>
      </c>
      <c r="J183" s="9" t="n">
        <v>45901</v>
      </c>
      <c r="K183" s="0" t="s">
        <v>398</v>
      </c>
      <c r="L183" s="0" t="n">
        <v>20</v>
      </c>
      <c r="M183" s="10" t="n">
        <f aca="false">_xlfn.NUMBERVALUE("" &amp; K183 &amp; "",".",",")</f>
        <v>2.92331538166667</v>
      </c>
      <c r="N183" s="10"/>
      <c r="O183" s="0" t="str">
        <f aca="false">VLOOKUP(C183,statusdetails!$A:$D,4,0)</f>
        <v>STANDBY</v>
      </c>
      <c r="P183" s="0" t="str">
        <f aca="false">VLOOKUP(F183,equipment!$A:$E,4,0)</f>
        <v>CM04</v>
      </c>
      <c r="Q183" s="0" t="str">
        <f aca="false">VLOOKUP(F183,equipment!$A:$E,5,0)</f>
        <v>CM04 - 87</v>
      </c>
    </row>
    <row r="184" customFormat="false" ht="12.8" hidden="true" customHeight="false" outlineLevel="0" collapsed="false">
      <c r="A184" s="0" t="n">
        <v>466267</v>
      </c>
      <c r="B184" s="0" t="n">
        <v>466267</v>
      </c>
      <c r="C184" s="0" t="n">
        <v>1</v>
      </c>
      <c r="D184" s="0" t="n">
        <v>6</v>
      </c>
      <c r="E184" s="0" t="n">
        <v>2404</v>
      </c>
      <c r="F184" s="0" t="n">
        <v>89</v>
      </c>
      <c r="G184" s="0" t="n">
        <v>2</v>
      </c>
      <c r="H184" s="0" t="s">
        <v>395</v>
      </c>
      <c r="I184" s="0" t="s">
        <v>399</v>
      </c>
      <c r="J184" s="9" t="n">
        <v>45901</v>
      </c>
      <c r="K184" s="0" t="s">
        <v>400</v>
      </c>
      <c r="L184" s="0" t="n">
        <v>20</v>
      </c>
      <c r="M184" s="10" t="n">
        <f aca="false">_xlfn.NUMBERVALUE("" &amp; K184 &amp; "",".",",")</f>
        <v>3.57135629472222</v>
      </c>
      <c r="N184" s="10"/>
      <c r="O184" s="0" t="str">
        <f aca="false">VLOOKUP(C184,statusdetails!$A:$D,4,0)</f>
        <v>READY</v>
      </c>
    </row>
    <row r="185" customFormat="false" ht="12.8" hidden="true" customHeight="false" outlineLevel="0" collapsed="false">
      <c r="A185" s="0" t="n">
        <v>466268</v>
      </c>
      <c r="B185" s="0" t="n">
        <v>466268</v>
      </c>
      <c r="C185" s="0" t="n">
        <v>1</v>
      </c>
      <c r="D185" s="0" t="n">
        <v>6</v>
      </c>
      <c r="E185" s="0" t="n">
        <v>260</v>
      </c>
      <c r="F185" s="0" t="n">
        <v>66</v>
      </c>
      <c r="G185" s="0" t="n">
        <v>116</v>
      </c>
      <c r="H185" s="0" t="s">
        <v>376</v>
      </c>
      <c r="I185" s="0" t="s">
        <v>401</v>
      </c>
      <c r="J185" s="9" t="n">
        <v>45901</v>
      </c>
      <c r="K185" s="0" t="s">
        <v>402</v>
      </c>
      <c r="L185" s="0" t="n">
        <v>20</v>
      </c>
      <c r="M185" s="10" t="n">
        <f aca="false">_xlfn.NUMBERVALUE("" &amp; K185 &amp; "",".",",")</f>
        <v>0.304332490277778</v>
      </c>
      <c r="N185" s="10"/>
      <c r="O185" s="0" t="str">
        <f aca="false">VLOOKUP(C185,statusdetails!$A:$D,4,0)</f>
        <v>READY</v>
      </c>
    </row>
    <row r="186" customFormat="false" ht="12.8" hidden="true" customHeight="false" outlineLevel="0" collapsed="false">
      <c r="A186" s="0" t="n">
        <v>466269</v>
      </c>
      <c r="B186" s="0" t="n">
        <v>466269</v>
      </c>
      <c r="C186" s="0" t="n">
        <v>2</v>
      </c>
      <c r="D186" s="0" t="n">
        <v>9</v>
      </c>
      <c r="E186" s="0" t="n">
        <v>2305</v>
      </c>
      <c r="F186" s="0" t="n">
        <v>35</v>
      </c>
      <c r="G186" s="0" t="n">
        <v>96</v>
      </c>
      <c r="H186" s="0" t="s">
        <v>352</v>
      </c>
      <c r="I186" s="0" t="s">
        <v>403</v>
      </c>
      <c r="J186" s="9" t="n">
        <v>45901</v>
      </c>
      <c r="K186" s="0" t="s">
        <v>404</v>
      </c>
      <c r="L186" s="0" t="n">
        <v>20</v>
      </c>
      <c r="M186" s="3" t="n">
        <f aca="false">_xlfn.NUMBERVALUE("" &amp; K186 &amp; "",".",",")</f>
        <v>0.0896619172222222</v>
      </c>
      <c r="O186" s="0" t="str">
        <f aca="false">VLOOKUP(C186,statusdetails!$A:$D,4,0)</f>
        <v>DELAY</v>
      </c>
    </row>
    <row r="187" customFormat="false" ht="12.8" hidden="true" customHeight="false" outlineLevel="0" collapsed="false">
      <c r="A187" s="0" t="n">
        <v>466270</v>
      </c>
      <c r="B187" s="0" t="n">
        <v>466270</v>
      </c>
      <c r="C187" s="0" t="n">
        <v>2</v>
      </c>
      <c r="D187" s="0" t="n">
        <v>9</v>
      </c>
      <c r="E187" s="0" t="n">
        <v>2568</v>
      </c>
      <c r="F187" s="0" t="n">
        <v>66</v>
      </c>
      <c r="G187" s="0" t="n">
        <v>116</v>
      </c>
      <c r="H187" s="0" t="s">
        <v>401</v>
      </c>
      <c r="I187" s="0" t="s">
        <v>405</v>
      </c>
      <c r="J187" s="9" t="n">
        <v>45901</v>
      </c>
      <c r="K187" s="0" t="s">
        <v>406</v>
      </c>
      <c r="L187" s="0" t="n">
        <v>20</v>
      </c>
      <c r="M187" s="3" t="n">
        <f aca="false">_xlfn.NUMBERVALUE("" &amp; K187 &amp; "",".",",")</f>
        <v>0.0100158130555556</v>
      </c>
      <c r="O187" s="0" t="str">
        <f aca="false">VLOOKUP(C187,statusdetails!$A:$D,4,0)</f>
        <v>DELAY</v>
      </c>
    </row>
    <row r="188" customFormat="false" ht="12.8" hidden="true" customHeight="false" outlineLevel="0" collapsed="false">
      <c r="A188" s="0" t="n">
        <v>466271</v>
      </c>
      <c r="B188" s="0" t="n">
        <v>466271</v>
      </c>
      <c r="C188" s="0" t="n">
        <v>1</v>
      </c>
      <c r="D188" s="0" t="n">
        <v>6</v>
      </c>
      <c r="E188" s="0" t="n">
        <v>260</v>
      </c>
      <c r="F188" s="0" t="n">
        <v>66</v>
      </c>
      <c r="G188" s="0" t="n">
        <v>116</v>
      </c>
      <c r="H188" s="0" t="s">
        <v>405</v>
      </c>
      <c r="I188" s="0" t="s">
        <v>407</v>
      </c>
      <c r="J188" s="9" t="n">
        <v>45901</v>
      </c>
      <c r="K188" s="0" t="s">
        <v>408</v>
      </c>
      <c r="L188" s="0" t="n">
        <v>20</v>
      </c>
      <c r="M188" s="10" t="n">
        <f aca="false">_xlfn.NUMBERVALUE("" &amp; K188 &amp; "",".",",")</f>
        <v>0.0405003077777778</v>
      </c>
      <c r="N188" s="10"/>
      <c r="O188" s="0" t="str">
        <f aca="false">VLOOKUP(C188,statusdetails!$A:$D,4,0)</f>
        <v>READY</v>
      </c>
    </row>
    <row r="189" customFormat="false" ht="12.8" hidden="true" customHeight="false" outlineLevel="0" collapsed="false">
      <c r="A189" s="0" t="n">
        <v>466272</v>
      </c>
      <c r="B189" s="0" t="n">
        <v>466272</v>
      </c>
      <c r="C189" s="0" t="n">
        <v>1</v>
      </c>
      <c r="D189" s="0" t="n">
        <v>6</v>
      </c>
      <c r="E189" s="0" t="n">
        <v>260</v>
      </c>
      <c r="F189" s="0" t="n">
        <v>35</v>
      </c>
      <c r="G189" s="0" t="n">
        <v>96</v>
      </c>
      <c r="H189" s="0" t="s">
        <v>403</v>
      </c>
      <c r="I189" s="0" t="s">
        <v>409</v>
      </c>
      <c r="J189" s="9" t="n">
        <v>45901</v>
      </c>
      <c r="K189" s="0" t="s">
        <v>410</v>
      </c>
      <c r="L189" s="0" t="n">
        <v>20</v>
      </c>
      <c r="M189" s="10" t="n">
        <f aca="false">_xlfn.NUMBERVALUE("" &amp; K189 &amp; "",".",",")</f>
        <v>1.13050583333333</v>
      </c>
      <c r="N189" s="10"/>
      <c r="O189" s="0" t="str">
        <f aca="false">VLOOKUP(C189,statusdetails!$A:$D,4,0)</f>
        <v>READY</v>
      </c>
    </row>
    <row r="190" customFormat="false" ht="12.8" hidden="true" customHeight="false" outlineLevel="0" collapsed="false">
      <c r="A190" s="0" t="n">
        <v>466273</v>
      </c>
      <c r="B190" s="0" t="n">
        <v>466273</v>
      </c>
      <c r="C190" s="0" t="n">
        <v>1</v>
      </c>
      <c r="D190" s="0" t="n">
        <v>6</v>
      </c>
      <c r="E190" s="0" t="n">
        <v>260</v>
      </c>
      <c r="F190" s="0" t="n">
        <v>66</v>
      </c>
      <c r="G190" s="0" t="n">
        <v>116</v>
      </c>
      <c r="H190" s="0" t="s">
        <v>407</v>
      </c>
      <c r="I190" s="0" t="s">
        <v>411</v>
      </c>
      <c r="J190" s="9" t="n">
        <v>45901</v>
      </c>
      <c r="K190" s="0" t="s">
        <v>412</v>
      </c>
      <c r="L190" s="0" t="n">
        <v>20</v>
      </c>
      <c r="M190" s="10" t="n">
        <f aca="false">_xlfn.NUMBERVALUE("" &amp; K190 &amp; "",".",",")</f>
        <v>0.846886944444444</v>
      </c>
      <c r="N190" s="10"/>
      <c r="O190" s="0" t="str">
        <f aca="false">VLOOKUP(C190,statusdetails!$A:$D,4,0)</f>
        <v>READY</v>
      </c>
    </row>
    <row r="191" customFormat="false" ht="12.8" hidden="true" customHeight="false" outlineLevel="0" collapsed="false">
      <c r="A191" s="0" t="n">
        <v>466274</v>
      </c>
      <c r="B191" s="0" t="n">
        <v>466274</v>
      </c>
      <c r="C191" s="0" t="n">
        <v>2</v>
      </c>
      <c r="D191" s="0" t="n">
        <v>9</v>
      </c>
      <c r="E191" s="0" t="n">
        <v>2450</v>
      </c>
      <c r="F191" s="0" t="n">
        <v>84</v>
      </c>
      <c r="G191" s="0" t="n">
        <v>140</v>
      </c>
      <c r="H191" s="0" t="s">
        <v>354</v>
      </c>
      <c r="I191" s="0" t="s">
        <v>413</v>
      </c>
      <c r="J191" s="9" t="n">
        <v>45901</v>
      </c>
      <c r="K191" s="0" t="s">
        <v>414</v>
      </c>
      <c r="L191" s="0" t="n">
        <v>20</v>
      </c>
      <c r="M191" s="3" t="n">
        <f aca="false">_xlfn.NUMBERVALUE("" &amp; K191 &amp; "",".",",")</f>
        <v>0.173143055555556</v>
      </c>
      <c r="O191" s="0" t="str">
        <f aca="false">VLOOKUP(C191,statusdetails!$A:$D,4,0)</f>
        <v>DELAY</v>
      </c>
    </row>
    <row r="192" customFormat="false" ht="12.8" hidden="true" customHeight="false" outlineLevel="0" collapsed="false">
      <c r="A192" s="0" t="n">
        <v>466275</v>
      </c>
      <c r="B192" s="0" t="n">
        <v>466275</v>
      </c>
      <c r="C192" s="0" t="n">
        <v>2</v>
      </c>
      <c r="D192" s="0" t="n">
        <v>9</v>
      </c>
      <c r="E192" s="0" t="n">
        <v>2388</v>
      </c>
      <c r="F192" s="0" t="n">
        <v>96</v>
      </c>
      <c r="G192" s="0" t="n">
        <v>124</v>
      </c>
      <c r="H192" s="0" t="s">
        <v>348</v>
      </c>
      <c r="I192" s="11" t="n">
        <v>45901.8824537037</v>
      </c>
      <c r="J192" s="9" t="n">
        <v>45901</v>
      </c>
      <c r="K192" s="0" t="s">
        <v>415</v>
      </c>
      <c r="L192" s="0" t="n">
        <v>20</v>
      </c>
      <c r="M192" s="3" t="n">
        <f aca="false">_xlfn.NUMBERVALUE("" &amp; K192 &amp; "",".",",")</f>
        <v>0.226127396666667</v>
      </c>
      <c r="O192" s="0" t="str">
        <f aca="false">VLOOKUP(C192,statusdetails!$A:$D,4,0)</f>
        <v>DELAY</v>
      </c>
    </row>
    <row r="193" customFormat="false" ht="12.8" hidden="true" customHeight="false" outlineLevel="0" collapsed="false">
      <c r="A193" s="0" t="n">
        <v>466276</v>
      </c>
      <c r="B193" s="0" t="n">
        <v>466276</v>
      </c>
      <c r="C193" s="0" t="n">
        <v>2</v>
      </c>
      <c r="D193" s="0" t="n">
        <v>9</v>
      </c>
      <c r="E193" s="0" t="n">
        <v>2450</v>
      </c>
      <c r="F193" s="0" t="n">
        <v>85</v>
      </c>
      <c r="G193" s="0" t="n">
        <v>4</v>
      </c>
      <c r="H193" s="0" t="s">
        <v>360</v>
      </c>
      <c r="I193" s="0" t="s">
        <v>416</v>
      </c>
      <c r="J193" s="9" t="n">
        <v>45901</v>
      </c>
      <c r="K193" s="0" t="s">
        <v>417</v>
      </c>
      <c r="L193" s="0" t="n">
        <v>20</v>
      </c>
      <c r="M193" s="3" t="n">
        <f aca="false">_xlfn.NUMBERVALUE("" &amp; K193 &amp; "",".",",")</f>
        <v>0.213572111388889</v>
      </c>
      <c r="O193" s="0" t="str">
        <f aca="false">VLOOKUP(C193,statusdetails!$A:$D,4,0)</f>
        <v>DELAY</v>
      </c>
    </row>
    <row r="194" customFormat="false" ht="12.8" hidden="true" customHeight="false" outlineLevel="0" collapsed="false">
      <c r="A194" s="0" t="n">
        <v>466277</v>
      </c>
      <c r="B194" s="0" t="n">
        <v>466277</v>
      </c>
      <c r="C194" s="0" t="n">
        <v>1</v>
      </c>
      <c r="D194" s="0" t="n">
        <v>6</v>
      </c>
      <c r="E194" s="0" t="n">
        <v>2404</v>
      </c>
      <c r="F194" s="0" t="n">
        <v>84</v>
      </c>
      <c r="G194" s="0" t="n">
        <v>140</v>
      </c>
      <c r="H194" s="0" t="s">
        <v>413</v>
      </c>
      <c r="I194" s="0" t="s">
        <v>418</v>
      </c>
      <c r="J194" s="9" t="n">
        <v>45901</v>
      </c>
      <c r="K194" s="0" t="s">
        <v>419</v>
      </c>
      <c r="L194" s="0" t="n">
        <v>21</v>
      </c>
      <c r="M194" s="10" t="n">
        <f aca="false">_xlfn.NUMBERVALUE("" &amp; K194 &amp; "",".",",")</f>
        <v>1.82073284</v>
      </c>
      <c r="N194" s="10"/>
      <c r="O194" s="0" t="str">
        <f aca="false">VLOOKUP(C194,statusdetails!$A:$D,4,0)</f>
        <v>READY</v>
      </c>
    </row>
    <row r="195" customFormat="false" ht="12.8" hidden="true" customHeight="false" outlineLevel="0" collapsed="false">
      <c r="A195" s="0" t="n">
        <v>466278</v>
      </c>
      <c r="B195" s="0" t="n">
        <v>466278</v>
      </c>
      <c r="C195" s="0" t="n">
        <v>1</v>
      </c>
      <c r="D195" s="0" t="n">
        <v>6</v>
      </c>
      <c r="E195" s="0" t="n">
        <v>2404</v>
      </c>
      <c r="F195" s="0" t="n">
        <v>85</v>
      </c>
      <c r="G195" s="0" t="n">
        <v>4</v>
      </c>
      <c r="H195" s="0" t="s">
        <v>416</v>
      </c>
      <c r="I195" s="0" t="s">
        <v>420</v>
      </c>
      <c r="J195" s="9" t="n">
        <v>45901</v>
      </c>
      <c r="K195" s="0" t="s">
        <v>421</v>
      </c>
      <c r="L195" s="0" t="n">
        <v>21</v>
      </c>
      <c r="M195" s="10" t="n">
        <f aca="false">_xlfn.NUMBERVALUE("" &amp; K195 &amp; "",".",",")</f>
        <v>1.56737464111111</v>
      </c>
      <c r="N195" s="10"/>
      <c r="O195" s="0" t="str">
        <f aca="false">VLOOKUP(C195,statusdetails!$A:$D,4,0)</f>
        <v>READY</v>
      </c>
    </row>
    <row r="196" customFormat="false" ht="12.8" hidden="true" customHeight="false" outlineLevel="0" collapsed="false">
      <c r="A196" s="0" t="n">
        <v>466280</v>
      </c>
      <c r="B196" s="0" t="n">
        <v>466280</v>
      </c>
      <c r="C196" s="0" t="n">
        <v>2</v>
      </c>
      <c r="D196" s="0" t="n">
        <v>9</v>
      </c>
      <c r="E196" s="0" t="n">
        <v>2568</v>
      </c>
      <c r="F196" s="0" t="n">
        <v>66</v>
      </c>
      <c r="G196" s="0" t="n">
        <v>116</v>
      </c>
      <c r="H196" s="0" t="s">
        <v>411</v>
      </c>
      <c r="I196" s="0" t="s">
        <v>422</v>
      </c>
      <c r="J196" s="9" t="n">
        <v>45901</v>
      </c>
      <c r="K196" s="0" t="s">
        <v>423</v>
      </c>
      <c r="L196" s="0" t="n">
        <v>21</v>
      </c>
      <c r="M196" s="3" t="n">
        <f aca="false">_xlfn.NUMBERVALUE("" &amp; K196 &amp; "",".",",")</f>
        <v>0.0343038888888889</v>
      </c>
      <c r="O196" s="0" t="str">
        <f aca="false">VLOOKUP(C196,statusdetails!$A:$D,4,0)</f>
        <v>DELAY</v>
      </c>
    </row>
    <row r="197" customFormat="false" ht="12.8" hidden="true" customHeight="false" outlineLevel="0" collapsed="false">
      <c r="A197" s="0" t="n">
        <v>466281</v>
      </c>
      <c r="B197" s="0" t="n">
        <v>466281</v>
      </c>
      <c r="C197" s="0" t="n">
        <v>1</v>
      </c>
      <c r="D197" s="0" t="n">
        <v>6</v>
      </c>
      <c r="E197" s="0" t="n">
        <v>260</v>
      </c>
      <c r="F197" s="0" t="n">
        <v>66</v>
      </c>
      <c r="G197" s="0" t="n">
        <v>116</v>
      </c>
      <c r="H197" s="0" t="s">
        <v>422</v>
      </c>
      <c r="I197" s="0" t="s">
        <v>424</v>
      </c>
      <c r="J197" s="9" t="n">
        <v>45901</v>
      </c>
      <c r="K197" s="0" t="s">
        <v>425</v>
      </c>
      <c r="L197" s="0" t="n">
        <v>21</v>
      </c>
      <c r="M197" s="10" t="n">
        <f aca="false">_xlfn.NUMBERVALUE("" &amp; K197 &amp; "",".",",")</f>
        <v>0.1899225</v>
      </c>
      <c r="N197" s="10"/>
      <c r="O197" s="0" t="str">
        <f aca="false">VLOOKUP(C197,statusdetails!$A:$D,4,0)</f>
        <v>READY</v>
      </c>
    </row>
    <row r="198" customFormat="false" ht="12.8" hidden="true" customHeight="false" outlineLevel="0" collapsed="false">
      <c r="A198" s="0" t="n">
        <v>466282</v>
      </c>
      <c r="B198" s="0" t="n">
        <v>466282</v>
      </c>
      <c r="C198" s="0" t="n">
        <v>2</v>
      </c>
      <c r="D198" s="0" t="n">
        <v>9</v>
      </c>
      <c r="E198" s="0" t="n">
        <v>2568</v>
      </c>
      <c r="F198" s="0" t="n">
        <v>66</v>
      </c>
      <c r="G198" s="0" t="n">
        <v>116</v>
      </c>
      <c r="H198" s="0" t="s">
        <v>424</v>
      </c>
      <c r="I198" s="0" t="s">
        <v>426</v>
      </c>
      <c r="J198" s="9" t="n">
        <v>45901</v>
      </c>
      <c r="K198" s="0" t="s">
        <v>427</v>
      </c>
      <c r="L198" s="0" t="n">
        <v>21</v>
      </c>
      <c r="M198" s="3" t="n">
        <f aca="false">_xlfn.NUMBERVALUE("" &amp; K198 &amp; "",".",",")</f>
        <v>0.221591388888889</v>
      </c>
      <c r="O198" s="0" t="str">
        <f aca="false">VLOOKUP(C198,statusdetails!$A:$D,4,0)</f>
        <v>DELAY</v>
      </c>
    </row>
    <row r="199" customFormat="false" ht="12.8" hidden="true" customHeight="false" outlineLevel="0" collapsed="false">
      <c r="A199" s="0" t="n">
        <v>466284</v>
      </c>
      <c r="B199" s="0" t="n">
        <v>466284</v>
      </c>
      <c r="C199" s="0" t="n">
        <v>1</v>
      </c>
      <c r="D199" s="0" t="n">
        <v>6</v>
      </c>
      <c r="E199" s="0" t="n">
        <v>260</v>
      </c>
      <c r="F199" s="0" t="n">
        <v>35</v>
      </c>
      <c r="G199" s="0" t="n">
        <v>96</v>
      </c>
      <c r="H199" s="0" t="s">
        <v>409</v>
      </c>
      <c r="I199" s="0" t="s">
        <v>428</v>
      </c>
      <c r="J199" s="9" t="n">
        <v>45901</v>
      </c>
      <c r="K199" s="0" t="s">
        <v>429</v>
      </c>
      <c r="L199" s="0" t="n">
        <v>21</v>
      </c>
      <c r="M199" s="10" t="n">
        <f aca="false">_xlfn.NUMBERVALUE("" &amp; K199 &amp; "",".",",")</f>
        <v>0.0168640558333333</v>
      </c>
      <c r="N199" s="10"/>
      <c r="O199" s="0" t="str">
        <f aca="false">VLOOKUP(C199,statusdetails!$A:$D,4,0)</f>
        <v>READY</v>
      </c>
    </row>
    <row r="200" customFormat="false" ht="12.8" hidden="true" customHeight="false" outlineLevel="0" collapsed="false">
      <c r="A200" s="0" t="n">
        <v>466285</v>
      </c>
      <c r="B200" s="0" t="n">
        <v>466285</v>
      </c>
      <c r="C200" s="0" t="n">
        <v>2</v>
      </c>
      <c r="D200" s="0" t="n">
        <v>9</v>
      </c>
      <c r="E200" s="0" t="n">
        <v>2568</v>
      </c>
      <c r="F200" s="0" t="n">
        <v>35</v>
      </c>
      <c r="G200" s="0" t="n">
        <v>96</v>
      </c>
      <c r="H200" s="0" t="s">
        <v>428</v>
      </c>
      <c r="I200" s="0" t="s">
        <v>430</v>
      </c>
      <c r="J200" s="9" t="n">
        <v>45901</v>
      </c>
      <c r="K200" s="0" t="s">
        <v>431</v>
      </c>
      <c r="L200" s="0" t="n">
        <v>21</v>
      </c>
      <c r="M200" s="3" t="n">
        <f aca="false">_xlfn.NUMBERVALUE("" &amp; K200 &amp; "",".",",")</f>
        <v>0.241940666388889</v>
      </c>
      <c r="O200" s="0" t="str">
        <f aca="false">VLOOKUP(C200,statusdetails!$A:$D,4,0)</f>
        <v>DELAY</v>
      </c>
    </row>
    <row r="201" customFormat="false" ht="12.8" hidden="true" customHeight="false" outlineLevel="0" collapsed="false">
      <c r="A201" s="0" t="n">
        <v>466286</v>
      </c>
      <c r="B201" s="0" t="n">
        <v>466286</v>
      </c>
      <c r="C201" s="0" t="n">
        <v>2</v>
      </c>
      <c r="D201" s="0" t="n">
        <v>9</v>
      </c>
      <c r="E201" s="0" t="n">
        <v>2304</v>
      </c>
      <c r="F201" s="0" t="n">
        <v>60</v>
      </c>
      <c r="G201" s="0" t="n">
        <v>164</v>
      </c>
      <c r="H201" s="0" t="s">
        <v>312</v>
      </c>
      <c r="I201" s="0" t="s">
        <v>432</v>
      </c>
      <c r="J201" s="9" t="n">
        <v>45901</v>
      </c>
      <c r="K201" s="0" t="s">
        <v>433</v>
      </c>
      <c r="L201" s="0" t="n">
        <v>21</v>
      </c>
      <c r="M201" s="3" t="n">
        <f aca="false">_xlfn.NUMBERVALUE("" &amp; K201 &amp; "",".",",")</f>
        <v>0.278075467777778</v>
      </c>
      <c r="O201" s="0" t="str">
        <f aca="false">VLOOKUP(C201,statusdetails!$A:$D,4,0)</f>
        <v>DELAY</v>
      </c>
    </row>
    <row r="202" customFormat="false" ht="12.8" hidden="true" customHeight="false" outlineLevel="0" collapsed="false">
      <c r="A202" s="0" t="n">
        <v>466287</v>
      </c>
      <c r="B202" s="0" t="n">
        <v>466287</v>
      </c>
      <c r="C202" s="0" t="n">
        <v>2</v>
      </c>
      <c r="D202" s="0" t="n">
        <v>9</v>
      </c>
      <c r="E202" s="0" t="n">
        <v>2399</v>
      </c>
      <c r="F202" s="0" t="n">
        <v>82</v>
      </c>
      <c r="G202" s="0" t="n">
        <v>28</v>
      </c>
      <c r="H202" s="0" t="s">
        <v>372</v>
      </c>
      <c r="I202" s="11" t="n">
        <v>45901.911087963</v>
      </c>
      <c r="J202" s="9" t="n">
        <v>45901</v>
      </c>
      <c r="K202" s="0" t="s">
        <v>434</v>
      </c>
      <c r="L202" s="0" t="n">
        <v>21</v>
      </c>
      <c r="M202" s="3" t="n">
        <f aca="false">_xlfn.NUMBERVALUE("" &amp; K202 &amp; "",".",",")</f>
        <v>0.226576901944444</v>
      </c>
      <c r="O202" s="0" t="str">
        <f aca="false">VLOOKUP(C202,statusdetails!$A:$D,4,0)</f>
        <v>DELAY</v>
      </c>
    </row>
    <row r="203" customFormat="false" ht="12.8" hidden="true" customHeight="false" outlineLevel="0" collapsed="false">
      <c r="A203" s="0" t="n">
        <v>466288</v>
      </c>
      <c r="B203" s="0" t="n">
        <v>466288</v>
      </c>
      <c r="C203" s="0" t="n">
        <v>4</v>
      </c>
      <c r="D203" s="0" t="n">
        <v>16</v>
      </c>
      <c r="E203" s="0" t="n">
        <v>1042</v>
      </c>
      <c r="F203" s="0" t="n">
        <v>47</v>
      </c>
      <c r="G203" s="0" t="n">
        <v>103</v>
      </c>
      <c r="H203" s="0" t="s">
        <v>435</v>
      </c>
      <c r="I203" s="0" t="s">
        <v>436</v>
      </c>
      <c r="J203" s="9" t="n">
        <v>45901</v>
      </c>
      <c r="K203" s="0" t="s">
        <v>437</v>
      </c>
      <c r="L203" s="0" t="n">
        <v>21</v>
      </c>
      <c r="M203" s="10" t="n">
        <f aca="false">_xlfn.NUMBERVALUE("" &amp; K203 &amp; "",".",",")</f>
        <v>0.7088389425</v>
      </c>
      <c r="N203" s="10"/>
      <c r="O203" s="0" t="str">
        <f aca="false">VLOOKUP(C203,statusdetails!$A:$D,4,0)</f>
        <v>MAINT</v>
      </c>
    </row>
    <row r="204" customFormat="false" ht="12.8" hidden="true" customHeight="false" outlineLevel="0" collapsed="false">
      <c r="A204" s="0" t="n">
        <v>466289</v>
      </c>
      <c r="B204" s="0" t="n">
        <v>466289</v>
      </c>
      <c r="C204" s="0" t="n">
        <v>1</v>
      </c>
      <c r="D204" s="0" t="n">
        <v>6</v>
      </c>
      <c r="E204" s="0" t="n">
        <v>260</v>
      </c>
      <c r="F204" s="0" t="n">
        <v>66</v>
      </c>
      <c r="G204" s="0" t="n">
        <v>116</v>
      </c>
      <c r="H204" s="0" t="s">
        <v>426</v>
      </c>
      <c r="I204" s="0" t="s">
        <v>438</v>
      </c>
      <c r="J204" s="9" t="n">
        <v>45901</v>
      </c>
      <c r="K204" s="0" t="s">
        <v>439</v>
      </c>
      <c r="L204" s="0" t="n">
        <v>21</v>
      </c>
      <c r="M204" s="10" t="n">
        <f aca="false">_xlfn.NUMBERVALUE("" &amp; K204 &amp; "",".",",")</f>
        <v>0.353075277777778</v>
      </c>
      <c r="N204" s="10"/>
      <c r="O204" s="0" t="str">
        <f aca="false">VLOOKUP(C204,statusdetails!$A:$D,4,0)</f>
        <v>READY</v>
      </c>
    </row>
    <row r="205" customFormat="false" ht="12.8" hidden="true" customHeight="false" outlineLevel="0" collapsed="false">
      <c r="A205" s="0" t="n">
        <v>466291</v>
      </c>
      <c r="B205" s="0" t="n">
        <v>466291</v>
      </c>
      <c r="C205" s="0" t="n">
        <v>1</v>
      </c>
      <c r="D205" s="0" t="n">
        <v>6</v>
      </c>
      <c r="E205" s="0" t="n">
        <v>260</v>
      </c>
      <c r="F205" s="0" t="n">
        <v>35</v>
      </c>
      <c r="G205" s="0" t="n">
        <v>96</v>
      </c>
      <c r="H205" s="0" t="s">
        <v>430</v>
      </c>
      <c r="I205" s="0" t="s">
        <v>440</v>
      </c>
      <c r="J205" s="9" t="n">
        <v>45901</v>
      </c>
      <c r="K205" s="0" t="s">
        <v>441</v>
      </c>
      <c r="L205" s="0" t="n">
        <v>21</v>
      </c>
      <c r="M205" s="10" t="n">
        <f aca="false">_xlfn.NUMBERVALUE("" &amp; K205 &amp; "",".",",")</f>
        <v>0.297928636944444</v>
      </c>
      <c r="N205" s="10"/>
      <c r="O205" s="0" t="str">
        <f aca="false">VLOOKUP(C205,statusdetails!$A:$D,4,0)</f>
        <v>READY</v>
      </c>
    </row>
    <row r="206" customFormat="false" ht="12.8" hidden="true" customHeight="false" outlineLevel="0" collapsed="false">
      <c r="A206" s="0" t="n">
        <v>466292</v>
      </c>
      <c r="B206" s="0" t="n">
        <v>466292</v>
      </c>
      <c r="C206" s="0" t="n">
        <v>1</v>
      </c>
      <c r="D206" s="0" t="n">
        <v>6</v>
      </c>
      <c r="E206" s="0" t="n">
        <v>1397</v>
      </c>
      <c r="F206" s="0" t="n">
        <v>60</v>
      </c>
      <c r="G206" s="0" t="n">
        <v>164</v>
      </c>
      <c r="H206" s="0" t="s">
        <v>432</v>
      </c>
      <c r="I206" s="0" t="s">
        <v>442</v>
      </c>
      <c r="J206" s="9" t="n">
        <v>45901</v>
      </c>
      <c r="K206" s="0" t="s">
        <v>443</v>
      </c>
      <c r="L206" s="0" t="n">
        <v>21</v>
      </c>
      <c r="M206" s="10" t="n">
        <f aca="false">_xlfn.NUMBERVALUE("" &amp; K206 &amp; "",".",",")</f>
        <v>1.15329473611111</v>
      </c>
      <c r="N206" s="10"/>
      <c r="O206" s="0" t="str">
        <f aca="false">VLOOKUP(C206,statusdetails!$A:$D,4,0)</f>
        <v>READY</v>
      </c>
    </row>
    <row r="207" customFormat="false" ht="12.8" hidden="true" customHeight="false" outlineLevel="0" collapsed="false">
      <c r="A207" s="0" t="n">
        <v>466293</v>
      </c>
      <c r="B207" s="0" t="n">
        <v>466293</v>
      </c>
      <c r="C207" s="0" t="n">
        <v>2</v>
      </c>
      <c r="D207" s="0" t="n">
        <v>9</v>
      </c>
      <c r="E207" s="0" t="n">
        <v>2568</v>
      </c>
      <c r="F207" s="0" t="n">
        <v>66</v>
      </c>
      <c r="G207" s="0" t="n">
        <v>116</v>
      </c>
      <c r="H207" s="0" t="s">
        <v>438</v>
      </c>
      <c r="I207" s="0" t="s">
        <v>444</v>
      </c>
      <c r="J207" s="9" t="n">
        <v>45901</v>
      </c>
      <c r="K207" s="0" t="s">
        <v>445</v>
      </c>
      <c r="L207" s="0" t="n">
        <v>22</v>
      </c>
      <c r="M207" s="3" t="n">
        <f aca="false">_xlfn.NUMBERVALUE("" &amp; K207 &amp; "",".",",")</f>
        <v>0.0680858333333333</v>
      </c>
      <c r="O207" s="0" t="str">
        <f aca="false">VLOOKUP(C207,statusdetails!$A:$D,4,0)</f>
        <v>DELAY</v>
      </c>
    </row>
    <row r="208" customFormat="false" ht="12.8" hidden="true" customHeight="false" outlineLevel="0" collapsed="false">
      <c r="A208" s="0" t="n">
        <v>466294</v>
      </c>
      <c r="B208" s="0" t="n">
        <v>466294</v>
      </c>
      <c r="C208" s="0" t="n">
        <v>2</v>
      </c>
      <c r="D208" s="0" t="n">
        <v>9</v>
      </c>
      <c r="E208" s="0" t="n">
        <v>2568</v>
      </c>
      <c r="F208" s="0" t="n">
        <v>35</v>
      </c>
      <c r="G208" s="0" t="n">
        <v>96</v>
      </c>
      <c r="H208" s="0" t="s">
        <v>440</v>
      </c>
      <c r="I208" s="0" t="s">
        <v>446</v>
      </c>
      <c r="J208" s="9" t="n">
        <v>45901</v>
      </c>
      <c r="K208" s="0" t="s">
        <v>447</v>
      </c>
      <c r="L208" s="0" t="n">
        <v>22</v>
      </c>
      <c r="M208" s="3" t="n">
        <f aca="false">_xlfn.NUMBERVALUE("" &amp; K208 &amp; "",".",",")</f>
        <v>0.0753902894444444</v>
      </c>
      <c r="O208" s="0" t="str">
        <f aca="false">VLOOKUP(C208,statusdetails!$A:$D,4,0)</f>
        <v>DELAY</v>
      </c>
    </row>
    <row r="209" customFormat="false" ht="12.8" hidden="true" customHeight="false" outlineLevel="0" collapsed="false">
      <c r="A209" s="0" t="n">
        <v>466295</v>
      </c>
      <c r="B209" s="0" t="n">
        <v>466295</v>
      </c>
      <c r="C209" s="0" t="n">
        <v>1</v>
      </c>
      <c r="D209" s="0" t="n">
        <v>6</v>
      </c>
      <c r="E209" s="0" t="n">
        <v>260</v>
      </c>
      <c r="F209" s="0" t="n">
        <v>66</v>
      </c>
      <c r="G209" s="0" t="n">
        <v>116</v>
      </c>
      <c r="H209" s="0" t="s">
        <v>444</v>
      </c>
      <c r="I209" s="0" t="s">
        <v>448</v>
      </c>
      <c r="J209" s="9" t="n">
        <v>45901</v>
      </c>
      <c r="K209" s="0" t="s">
        <v>449</v>
      </c>
      <c r="L209" s="0" t="n">
        <v>22</v>
      </c>
      <c r="M209" s="10" t="n">
        <f aca="false">_xlfn.NUMBERVALUE("" &amp; K209 &amp; "",".",",")</f>
        <v>1.64499167111111</v>
      </c>
      <c r="N209" s="10"/>
      <c r="O209" s="0" t="str">
        <f aca="false">VLOOKUP(C209,statusdetails!$A:$D,4,0)</f>
        <v>READY</v>
      </c>
    </row>
    <row r="210" customFormat="false" ht="12.8" hidden="true" customHeight="false" outlineLevel="0" collapsed="false">
      <c r="A210" s="0" t="n">
        <v>466296</v>
      </c>
      <c r="B210" s="0" t="n">
        <v>466296</v>
      </c>
      <c r="C210" s="0" t="n">
        <v>1</v>
      </c>
      <c r="D210" s="0" t="n">
        <v>6</v>
      </c>
      <c r="E210" s="0" t="n">
        <v>260</v>
      </c>
      <c r="F210" s="0" t="n">
        <v>35</v>
      </c>
      <c r="G210" s="0" t="n">
        <v>96</v>
      </c>
      <c r="H210" s="0" t="s">
        <v>446</v>
      </c>
      <c r="I210" s="0" t="s">
        <v>450</v>
      </c>
      <c r="J210" s="9" t="n">
        <v>45901</v>
      </c>
      <c r="K210" s="0" t="s">
        <v>451</v>
      </c>
      <c r="L210" s="0" t="n">
        <v>22</v>
      </c>
      <c r="M210" s="10" t="n">
        <f aca="false">_xlfn.NUMBERVALUE("" &amp; K210 &amp; "",".",",")</f>
        <v>0.865054893333333</v>
      </c>
      <c r="N210" s="10"/>
      <c r="O210" s="0" t="str">
        <f aca="false">VLOOKUP(C210,statusdetails!$A:$D,4,0)</f>
        <v>READY</v>
      </c>
    </row>
    <row r="211" customFormat="false" ht="12.8" hidden="true" customHeight="false" outlineLevel="0" collapsed="false">
      <c r="A211" s="0" t="n">
        <v>466297</v>
      </c>
      <c r="B211" s="0" t="n">
        <v>466297</v>
      </c>
      <c r="C211" s="0" t="n">
        <v>1</v>
      </c>
      <c r="D211" s="0" t="n">
        <v>6</v>
      </c>
      <c r="E211" s="0" t="n">
        <v>1040</v>
      </c>
      <c r="F211" s="0" t="n">
        <v>47</v>
      </c>
      <c r="G211" s="0" t="n">
        <v>103</v>
      </c>
      <c r="H211" s="0" t="s">
        <v>436</v>
      </c>
      <c r="I211" s="0" t="s">
        <v>452</v>
      </c>
      <c r="J211" s="9" t="n">
        <v>45901</v>
      </c>
      <c r="K211" s="0" t="s">
        <v>453</v>
      </c>
      <c r="L211" s="0" t="n">
        <v>22</v>
      </c>
      <c r="M211" s="10" t="n">
        <f aca="false">_xlfn.NUMBERVALUE("" &amp; K211 &amp; "",".",",")</f>
        <v>0.7309132325</v>
      </c>
      <c r="N211" s="10"/>
      <c r="O211" s="0" t="str">
        <f aca="false">VLOOKUP(C211,statusdetails!$A:$D,4,0)</f>
        <v>READY</v>
      </c>
    </row>
    <row r="212" customFormat="false" ht="12.8" hidden="true" customHeight="false" outlineLevel="0" collapsed="false">
      <c r="A212" s="0" t="n">
        <v>466298</v>
      </c>
      <c r="B212" s="0" t="n">
        <v>466290</v>
      </c>
      <c r="C212" s="0" t="n">
        <v>1</v>
      </c>
      <c r="D212" s="0" t="n">
        <v>6</v>
      </c>
      <c r="E212" s="0" t="n">
        <v>2518</v>
      </c>
      <c r="F212" s="0" t="n">
        <v>82</v>
      </c>
      <c r="G212" s="0" t="n">
        <v>28</v>
      </c>
      <c r="H212" s="11" t="n">
        <v>45901.911087963</v>
      </c>
      <c r="I212" s="0" t="s">
        <v>454</v>
      </c>
      <c r="J212" s="9" t="n">
        <v>45901</v>
      </c>
      <c r="K212" s="0" t="s">
        <v>455</v>
      </c>
      <c r="L212" s="0" t="n">
        <v>21</v>
      </c>
      <c r="M212" s="10" t="n">
        <f aca="false">_xlfn.NUMBERVALUE("" &amp; K212 &amp; "",".",",")</f>
        <v>1.20855554694444</v>
      </c>
      <c r="N212" s="10"/>
      <c r="O212" s="0" t="str">
        <f aca="false">VLOOKUP(C212,statusdetails!$A:$D,4,0)</f>
        <v>READY</v>
      </c>
    </row>
    <row r="213" customFormat="false" ht="12.8" hidden="true" customHeight="false" outlineLevel="0" collapsed="false">
      <c r="A213" s="0" t="n">
        <v>466299</v>
      </c>
      <c r="B213" s="0" t="n">
        <v>466279</v>
      </c>
      <c r="C213" s="0" t="n">
        <v>1</v>
      </c>
      <c r="D213" s="0" t="n">
        <v>6</v>
      </c>
      <c r="E213" s="0" t="n">
        <v>2518</v>
      </c>
      <c r="F213" s="0" t="n">
        <v>96</v>
      </c>
      <c r="G213" s="0" t="n">
        <v>124</v>
      </c>
      <c r="H213" s="11" t="n">
        <v>45901.8824537037</v>
      </c>
      <c r="I213" s="0" t="s">
        <v>456</v>
      </c>
      <c r="J213" s="9" t="n">
        <v>45901</v>
      </c>
      <c r="K213" s="0" t="s">
        <v>457</v>
      </c>
      <c r="L213" s="0" t="n">
        <v>21</v>
      </c>
      <c r="M213" s="10" t="n">
        <f aca="false">_xlfn.NUMBERVALUE("" &amp; K213 &amp; "",".",",")</f>
        <v>2.60027773527778</v>
      </c>
      <c r="N213" s="10"/>
      <c r="O213" s="0" t="str">
        <f aca="false">VLOOKUP(C213,statusdetails!$A:$D,4,0)</f>
        <v>READY</v>
      </c>
    </row>
    <row r="214" customFormat="false" ht="12.8" hidden="true" customHeight="false" outlineLevel="0" collapsed="false">
      <c r="A214" s="0" t="n">
        <v>466300</v>
      </c>
      <c r="B214" s="0" t="n">
        <v>466300</v>
      </c>
      <c r="C214" s="0" t="n">
        <v>4</v>
      </c>
      <c r="D214" s="0" t="n">
        <v>16</v>
      </c>
      <c r="E214" s="0" t="n">
        <v>2505</v>
      </c>
      <c r="F214" s="0" t="n">
        <v>85</v>
      </c>
      <c r="G214" s="0" t="n">
        <v>4</v>
      </c>
      <c r="H214" s="0" t="s">
        <v>420</v>
      </c>
      <c r="I214" s="0" t="s">
        <v>458</v>
      </c>
      <c r="J214" s="9" t="n">
        <v>45901</v>
      </c>
      <c r="K214" s="0" t="s">
        <v>459</v>
      </c>
      <c r="L214" s="0" t="n">
        <v>22</v>
      </c>
      <c r="M214" s="10" t="n">
        <f aca="false">_xlfn.NUMBERVALUE("" &amp; K214 &amp; "",".",",")</f>
        <v>5.19934625472222</v>
      </c>
      <c r="N214" s="10"/>
      <c r="O214" s="0" t="str">
        <f aca="false">VLOOKUP(C214,statusdetails!$A:$D,4,0)</f>
        <v>MAINT</v>
      </c>
    </row>
    <row r="215" customFormat="false" ht="12.8" hidden="true" customHeight="false" outlineLevel="0" collapsed="false">
      <c r="A215" s="0" t="n">
        <v>466301</v>
      </c>
      <c r="B215" s="0" t="n">
        <v>466301</v>
      </c>
      <c r="C215" s="0" t="n">
        <v>3</v>
      </c>
      <c r="D215" s="0" t="n">
        <v>12</v>
      </c>
      <c r="E215" s="0" t="n">
        <v>1011</v>
      </c>
      <c r="F215" s="0" t="n">
        <v>33</v>
      </c>
      <c r="G215" s="0" t="n">
        <v>0</v>
      </c>
      <c r="H215" s="0" t="s">
        <v>384</v>
      </c>
      <c r="I215" s="0" t="s">
        <v>460</v>
      </c>
      <c r="J215" s="9" t="n">
        <v>45901</v>
      </c>
      <c r="K215" s="0" t="s">
        <v>461</v>
      </c>
      <c r="L215" s="0" t="n">
        <v>22</v>
      </c>
      <c r="M215" s="10" t="n">
        <f aca="false">_xlfn.NUMBERVALUE("" &amp; K215 &amp; "",".",",")</f>
        <v>6.02613608194444</v>
      </c>
      <c r="N215" s="10"/>
      <c r="O215" s="0" t="str">
        <f aca="false">VLOOKUP(C215,statusdetails!$A:$D,4,0)</f>
        <v>STANDBY</v>
      </c>
      <c r="P215" s="0" t="str">
        <f aca="false">VLOOKUP(F215,equipment!$A:$E,4,0)</f>
        <v>CM406</v>
      </c>
      <c r="Q215" s="0" t="str">
        <f aca="false">VLOOKUP(F215,equipment!$A:$E,5,0)</f>
        <v>CM406 - 33</v>
      </c>
    </row>
    <row r="216" customFormat="false" ht="12.8" hidden="true" customHeight="false" outlineLevel="0" collapsed="false">
      <c r="A216" s="0" t="n">
        <v>466302</v>
      </c>
      <c r="B216" s="0" t="n">
        <v>466302</v>
      </c>
      <c r="C216" s="0" t="n">
        <v>1</v>
      </c>
      <c r="D216" s="0" t="n">
        <v>6</v>
      </c>
      <c r="E216" s="0" t="n">
        <v>2404</v>
      </c>
      <c r="F216" s="0" t="n">
        <v>87</v>
      </c>
      <c r="G216" s="0" t="n">
        <v>143</v>
      </c>
      <c r="H216" s="0" t="s">
        <v>397</v>
      </c>
      <c r="I216" s="0" t="s">
        <v>462</v>
      </c>
      <c r="J216" s="9" t="n">
        <v>45901</v>
      </c>
      <c r="K216" s="0" t="s">
        <v>463</v>
      </c>
      <c r="L216" s="0" t="n">
        <v>22</v>
      </c>
      <c r="M216" s="10" t="n">
        <f aca="false">_xlfn.NUMBERVALUE("" &amp; K216 &amp; "",".",",")</f>
        <v>0.817010353611111</v>
      </c>
      <c r="N216" s="10"/>
      <c r="O216" s="0" t="str">
        <f aca="false">VLOOKUP(C216,statusdetails!$A:$D,4,0)</f>
        <v>READY</v>
      </c>
    </row>
    <row r="217" customFormat="false" ht="12.8" hidden="true" customHeight="false" outlineLevel="0" collapsed="false">
      <c r="A217" s="0" t="n">
        <v>466303</v>
      </c>
      <c r="B217" s="0" t="n">
        <v>466303</v>
      </c>
      <c r="C217" s="0" t="n">
        <v>4</v>
      </c>
      <c r="D217" s="0" t="n">
        <v>16</v>
      </c>
      <c r="E217" s="0" t="n">
        <v>2461</v>
      </c>
      <c r="F217" s="0" t="n">
        <v>84</v>
      </c>
      <c r="G217" s="0" t="n">
        <v>140</v>
      </c>
      <c r="H217" s="0" t="s">
        <v>418</v>
      </c>
      <c r="I217" s="0" t="s">
        <v>464</v>
      </c>
      <c r="J217" s="9" t="n">
        <v>45901</v>
      </c>
      <c r="K217" s="0" t="s">
        <v>465</v>
      </c>
      <c r="L217" s="0" t="n">
        <v>22</v>
      </c>
      <c r="M217" s="10" t="n">
        <f aca="false">_xlfn.NUMBERVALUE("" &amp; K217 &amp; "",".",",")</f>
        <v>0.580175988611111</v>
      </c>
      <c r="N217" s="10"/>
      <c r="O217" s="0" t="str">
        <f aca="false">VLOOKUP(C217,statusdetails!$A:$D,4,0)</f>
        <v>MAINT</v>
      </c>
    </row>
    <row r="218" customFormat="false" ht="12.8" hidden="true" customHeight="false" outlineLevel="0" collapsed="false">
      <c r="A218" s="0" t="n">
        <v>466304</v>
      </c>
      <c r="B218" s="0" t="n">
        <v>466304</v>
      </c>
      <c r="C218" s="0" t="n">
        <v>1</v>
      </c>
      <c r="D218" s="0" t="n">
        <v>2303</v>
      </c>
      <c r="E218" s="0" t="n">
        <v>1502</v>
      </c>
      <c r="F218" s="0" t="n">
        <v>60</v>
      </c>
      <c r="G218" s="0" t="n">
        <v>164</v>
      </c>
      <c r="H218" s="0" t="s">
        <v>442</v>
      </c>
      <c r="I218" s="0" t="s">
        <v>466</v>
      </c>
      <c r="J218" s="9" t="n">
        <v>45901</v>
      </c>
      <c r="K218" s="0" t="s">
        <v>467</v>
      </c>
      <c r="L218" s="0" t="n">
        <v>23</v>
      </c>
      <c r="M218" s="10" t="n">
        <f aca="false">_xlfn.NUMBERVALUE("" &amp; K218 &amp; "",".",",")</f>
        <v>0.813322396111111</v>
      </c>
      <c r="N218" s="10"/>
      <c r="O218" s="0" t="str">
        <f aca="false">VLOOKUP(C218,statusdetails!$A:$D,4,0)</f>
        <v>READY</v>
      </c>
    </row>
    <row r="219" customFormat="false" ht="12.8" hidden="true" customHeight="false" outlineLevel="0" collapsed="false">
      <c r="A219" s="0" t="n">
        <v>466305</v>
      </c>
      <c r="B219" s="0" t="n">
        <v>466305</v>
      </c>
      <c r="C219" s="0" t="n">
        <v>4</v>
      </c>
      <c r="D219" s="0" t="n">
        <v>15</v>
      </c>
      <c r="E219" s="0" t="n">
        <v>2396</v>
      </c>
      <c r="F219" s="0" t="n">
        <v>82</v>
      </c>
      <c r="G219" s="0" t="n">
        <v>28</v>
      </c>
      <c r="H219" s="0" t="s">
        <v>454</v>
      </c>
      <c r="I219" s="0" t="s">
        <v>468</v>
      </c>
      <c r="J219" s="9" t="n">
        <v>45901</v>
      </c>
      <c r="K219" s="0" t="s">
        <v>469</v>
      </c>
      <c r="L219" s="0" t="n">
        <v>23</v>
      </c>
      <c r="M219" s="10" t="n">
        <f aca="false">_xlfn.NUMBERVALUE("" &amp; K219 &amp; "",".",",")</f>
        <v>0.949755286388889</v>
      </c>
      <c r="N219" s="10"/>
      <c r="O219" s="0" t="str">
        <f aca="false">VLOOKUP(C219,statusdetails!$A:$D,4,0)</f>
        <v>MAINT</v>
      </c>
    </row>
    <row r="220" customFormat="false" ht="12.8" hidden="true" customHeight="false" outlineLevel="0" collapsed="false">
      <c r="A220" s="0" t="n">
        <v>466306</v>
      </c>
      <c r="B220" s="0" t="n">
        <v>466306</v>
      </c>
      <c r="C220" s="0" t="n">
        <v>4</v>
      </c>
      <c r="D220" s="0" t="n">
        <v>16</v>
      </c>
      <c r="E220" s="0" t="n">
        <v>1042</v>
      </c>
      <c r="F220" s="0" t="n">
        <v>47</v>
      </c>
      <c r="G220" s="0" t="n">
        <v>103</v>
      </c>
      <c r="H220" s="0" t="s">
        <v>452</v>
      </c>
      <c r="I220" s="0" t="s">
        <v>470</v>
      </c>
      <c r="J220" s="9" t="n">
        <v>45901</v>
      </c>
      <c r="K220" s="0" t="s">
        <v>471</v>
      </c>
      <c r="L220" s="0" t="n">
        <v>23</v>
      </c>
      <c r="M220" s="10" t="n">
        <f aca="false">_xlfn.NUMBERVALUE("" &amp; K220 &amp; "",".",",")</f>
        <v>0.82806723</v>
      </c>
      <c r="N220" s="10"/>
      <c r="O220" s="0" t="str">
        <f aca="false">VLOOKUP(C220,statusdetails!$A:$D,4,0)</f>
        <v>MAINT</v>
      </c>
    </row>
    <row r="221" customFormat="false" ht="12.8" hidden="true" customHeight="false" outlineLevel="0" collapsed="false">
      <c r="A221" s="0" t="n">
        <v>466307</v>
      </c>
      <c r="B221" s="0" t="n">
        <v>466307</v>
      </c>
      <c r="C221" s="0" t="n">
        <v>3</v>
      </c>
      <c r="D221" s="0" t="n">
        <v>12</v>
      </c>
      <c r="E221" s="0" t="n">
        <v>1011</v>
      </c>
      <c r="F221" s="0" t="n">
        <v>35</v>
      </c>
      <c r="G221" s="0" t="n">
        <v>96</v>
      </c>
      <c r="H221" s="0" t="s">
        <v>450</v>
      </c>
      <c r="I221" s="0" t="s">
        <v>472</v>
      </c>
      <c r="J221" s="9" t="n">
        <v>45901</v>
      </c>
      <c r="K221" s="0" t="s">
        <v>473</v>
      </c>
      <c r="L221" s="0" t="n">
        <v>23</v>
      </c>
      <c r="M221" s="10" t="n">
        <f aca="false">_xlfn.NUMBERVALUE("" &amp; K221 &amp; "",".",",")</f>
        <v>0.764931234444445</v>
      </c>
      <c r="N221" s="10"/>
      <c r="O221" s="0" t="str">
        <f aca="false">VLOOKUP(C221,statusdetails!$A:$D,4,0)</f>
        <v>STANDBY</v>
      </c>
      <c r="P221" s="0" t="str">
        <f aca="false">VLOOKUP(F221,equipment!$A:$E,4,0)</f>
        <v>CM405</v>
      </c>
      <c r="Q221" s="0" t="str">
        <f aca="false">VLOOKUP(F221,equipment!$A:$E,5,0)</f>
        <v>CM405 - 35</v>
      </c>
    </row>
    <row r="222" customFormat="false" ht="12.8" hidden="true" customHeight="false" outlineLevel="0" collapsed="false">
      <c r="A222" s="0" t="n">
        <v>466308</v>
      </c>
      <c r="B222" s="0" t="n">
        <v>466308</v>
      </c>
      <c r="C222" s="0" t="n">
        <v>1</v>
      </c>
      <c r="D222" s="0" t="n">
        <v>2303</v>
      </c>
      <c r="E222" s="0" t="n">
        <v>2566</v>
      </c>
      <c r="F222" s="0" t="n">
        <v>88</v>
      </c>
      <c r="G222" s="0" t="n">
        <v>131</v>
      </c>
      <c r="H222" s="0" t="s">
        <v>364</v>
      </c>
      <c r="I222" s="0" t="s">
        <v>474</v>
      </c>
      <c r="J222" s="9" t="n">
        <v>45901</v>
      </c>
      <c r="K222" s="0" t="s">
        <v>475</v>
      </c>
      <c r="L222" s="0" t="n">
        <v>23</v>
      </c>
      <c r="M222" s="10" t="n">
        <f aca="false">_xlfn.NUMBERVALUE("" &amp; K222 &amp; "",".",",")</f>
        <v>0.399650660833333</v>
      </c>
      <c r="N222" s="10"/>
      <c r="O222" s="0" t="str">
        <f aca="false">VLOOKUP(C222,statusdetails!$A:$D,4,0)</f>
        <v>READY</v>
      </c>
    </row>
    <row r="223" customFormat="false" ht="12.8" hidden="true" customHeight="false" outlineLevel="0" collapsed="false">
      <c r="A223" s="0" t="n">
        <v>466309</v>
      </c>
      <c r="B223" s="0" t="n">
        <v>466309</v>
      </c>
      <c r="C223" s="0" t="n">
        <v>3</v>
      </c>
      <c r="D223" s="0" t="n">
        <v>14</v>
      </c>
      <c r="E223" s="0" t="n">
        <v>2417</v>
      </c>
      <c r="F223" s="0" t="n">
        <v>84</v>
      </c>
      <c r="G223" s="0" t="n">
        <v>140</v>
      </c>
      <c r="H223" s="0" t="s">
        <v>464</v>
      </c>
      <c r="I223" s="0" t="s">
        <v>476</v>
      </c>
      <c r="J223" s="9" t="n">
        <v>45901</v>
      </c>
      <c r="K223" s="0" t="s">
        <v>477</v>
      </c>
      <c r="L223" s="0" t="n">
        <v>23</v>
      </c>
      <c r="M223" s="10" t="n">
        <f aca="false">_xlfn.NUMBERVALUE("" &amp; K223 &amp; "",".",",")</f>
        <v>1.09883596222222</v>
      </c>
      <c r="N223" s="10"/>
      <c r="O223" s="0" t="str">
        <f aca="false">VLOOKUP(C223,statusdetails!$A:$D,4,0)</f>
        <v>STANDBY</v>
      </c>
      <c r="P223" s="0" t="str">
        <f aca="false">VLOOKUP(F223,equipment!$A:$E,4,0)</f>
        <v>CM01</v>
      </c>
      <c r="Q223" s="0" t="str">
        <f aca="false">VLOOKUP(F223,equipment!$A:$E,5,0)</f>
        <v>CM01 - 84</v>
      </c>
    </row>
    <row r="224" customFormat="false" ht="12.8" hidden="true" customHeight="false" outlineLevel="0" collapsed="false">
      <c r="A224" s="0" t="n">
        <v>466310</v>
      </c>
      <c r="B224" s="0" t="n">
        <v>466310</v>
      </c>
      <c r="C224" s="0" t="n">
        <v>2</v>
      </c>
      <c r="D224" s="0" t="n">
        <v>9</v>
      </c>
      <c r="E224" s="0" t="n">
        <v>2448</v>
      </c>
      <c r="F224" s="0" t="n">
        <v>89</v>
      </c>
      <c r="G224" s="0" t="n">
        <v>2</v>
      </c>
      <c r="H224" s="0" t="s">
        <v>399</v>
      </c>
      <c r="I224" s="0" t="s">
        <v>478</v>
      </c>
      <c r="J224" s="9" t="n">
        <v>45901</v>
      </c>
      <c r="K224" s="0" t="s">
        <v>479</v>
      </c>
      <c r="L224" s="0" t="n">
        <v>23</v>
      </c>
      <c r="M224" s="3" t="n">
        <f aca="false">_xlfn.NUMBERVALUE("" &amp; K224 &amp; "",".",",")</f>
        <v>0.244361417777778</v>
      </c>
      <c r="O224" s="0" t="str">
        <f aca="false">VLOOKUP(C224,statusdetails!$A:$D,4,0)</f>
        <v>DELAY</v>
      </c>
    </row>
    <row r="225" customFormat="false" ht="12.8" hidden="true" customHeight="false" outlineLevel="0" collapsed="false">
      <c r="A225" s="0" t="n">
        <v>466311</v>
      </c>
      <c r="B225" s="0" t="n">
        <v>466311</v>
      </c>
      <c r="C225" s="0" t="n">
        <v>2</v>
      </c>
      <c r="D225" s="0" t="n">
        <v>9</v>
      </c>
      <c r="E225" s="0" t="n">
        <v>2448</v>
      </c>
      <c r="F225" s="0" t="n">
        <v>86</v>
      </c>
      <c r="G225" s="0" t="n">
        <v>139</v>
      </c>
      <c r="H225" s="0" t="s">
        <v>386</v>
      </c>
      <c r="I225" s="0" t="s">
        <v>480</v>
      </c>
      <c r="J225" s="9" t="n">
        <v>45901</v>
      </c>
      <c r="K225" s="0" t="s">
        <v>481</v>
      </c>
      <c r="L225" s="0" t="n">
        <v>23</v>
      </c>
      <c r="M225" s="3" t="n">
        <f aca="false">_xlfn.NUMBERVALUE("" &amp; K225 &amp; "",".",",")</f>
        <v>0.218661307777778</v>
      </c>
      <c r="O225" s="0" t="str">
        <f aca="false">VLOOKUP(C225,statusdetails!$A:$D,4,0)</f>
        <v>DELAY</v>
      </c>
    </row>
    <row r="226" customFormat="false" ht="12.8" hidden="true" customHeight="false" outlineLevel="0" collapsed="false">
      <c r="A226" s="0" t="n">
        <v>466312</v>
      </c>
      <c r="B226" s="0" t="n">
        <v>466312</v>
      </c>
      <c r="C226" s="0" t="n">
        <v>2</v>
      </c>
      <c r="D226" s="0" t="n">
        <v>9</v>
      </c>
      <c r="E226" s="0" t="n">
        <v>2448</v>
      </c>
      <c r="F226" s="0" t="n">
        <v>87</v>
      </c>
      <c r="G226" s="0" t="n">
        <v>4</v>
      </c>
      <c r="H226" s="0" t="s">
        <v>462</v>
      </c>
      <c r="I226" s="0" t="s">
        <v>482</v>
      </c>
      <c r="J226" s="9" t="n">
        <v>45901</v>
      </c>
      <c r="K226" s="0" t="s">
        <v>483</v>
      </c>
      <c r="L226" s="0" t="n">
        <v>23</v>
      </c>
      <c r="M226" s="3" t="n">
        <f aca="false">_xlfn.NUMBERVALUE("" &amp; K226 &amp; "",".",",")</f>
        <v>0.201023149722222</v>
      </c>
      <c r="O226" s="0" t="str">
        <f aca="false">VLOOKUP(C226,statusdetails!$A:$D,4,0)</f>
        <v>DELAY</v>
      </c>
    </row>
    <row r="227" customFormat="false" ht="12.8" hidden="true" customHeight="false" outlineLevel="0" collapsed="false">
      <c r="A227" s="0" t="n">
        <v>466313</v>
      </c>
      <c r="B227" s="0" t="n">
        <v>466313</v>
      </c>
      <c r="C227" s="0" t="n">
        <v>3</v>
      </c>
      <c r="D227" s="0" t="n">
        <v>14</v>
      </c>
      <c r="E227" s="0" t="n">
        <v>2387</v>
      </c>
      <c r="F227" s="0" t="n">
        <v>96</v>
      </c>
      <c r="G227" s="0" t="n">
        <v>124</v>
      </c>
      <c r="H227" s="0" t="s">
        <v>456</v>
      </c>
      <c r="I227" s="0" t="s">
        <v>484</v>
      </c>
      <c r="J227" s="9" t="n">
        <v>45901</v>
      </c>
      <c r="K227" s="0" t="s">
        <v>485</v>
      </c>
      <c r="L227" s="0" t="n">
        <v>23</v>
      </c>
      <c r="M227" s="10" t="n">
        <f aca="false">_xlfn.NUMBERVALUE("" &amp; K227 &amp; "",".",",")</f>
        <v>0.151004460277778</v>
      </c>
      <c r="N227" s="10"/>
      <c r="O227" s="0" t="str">
        <f aca="false">VLOOKUP(C227,statusdetails!$A:$D,4,0)</f>
        <v>STANDBY</v>
      </c>
      <c r="P227" s="0" t="str">
        <f aca="false">VLOOKUP(F227,equipment!$A:$E,4,0)</f>
        <v>EX503</v>
      </c>
      <c r="Q227" s="0" t="str">
        <f aca="false">VLOOKUP(F227,equipment!$A:$E,5,0)</f>
        <v>EX503 - 96</v>
      </c>
    </row>
    <row r="228" customFormat="false" ht="12.8" hidden="true" customHeight="false" outlineLevel="0" collapsed="false">
      <c r="A228" s="0" t="n">
        <v>466314</v>
      </c>
      <c r="B228" s="0" t="n">
        <v>466314</v>
      </c>
      <c r="C228" s="0" t="n">
        <v>2</v>
      </c>
      <c r="D228" s="0" t="n">
        <v>9</v>
      </c>
      <c r="E228" s="0" t="n">
        <v>2448</v>
      </c>
      <c r="F228" s="0" t="n">
        <v>88</v>
      </c>
      <c r="G228" s="0" t="n">
        <v>40</v>
      </c>
      <c r="H228" s="0" t="s">
        <v>474</v>
      </c>
      <c r="I228" s="0" t="s">
        <v>486</v>
      </c>
      <c r="J228" s="9" t="n">
        <v>45901</v>
      </c>
      <c r="K228" s="0" t="s">
        <v>487</v>
      </c>
      <c r="L228" s="0" t="n">
        <v>23</v>
      </c>
      <c r="M228" s="3" t="n">
        <f aca="false">_xlfn.NUMBERVALUE("" &amp; K228 &amp; "",".",",")</f>
        <v>0.0998360430555556</v>
      </c>
      <c r="O228" s="0" t="str">
        <f aca="false">VLOOKUP(C228,statusdetails!$A:$D,4,0)</f>
        <v>DELAY</v>
      </c>
    </row>
    <row r="229" customFormat="false" ht="12.8" hidden="true" customHeight="false" outlineLevel="0" collapsed="false">
      <c r="A229" s="0" t="n">
        <v>466315</v>
      </c>
      <c r="B229" s="0" t="n">
        <v>466315</v>
      </c>
      <c r="C229" s="0" t="n">
        <v>1</v>
      </c>
      <c r="D229" s="0" t="n">
        <v>6</v>
      </c>
      <c r="E229" s="0" t="n">
        <v>260</v>
      </c>
      <c r="F229" s="0" t="n">
        <v>35</v>
      </c>
      <c r="G229" s="0" t="n">
        <v>85</v>
      </c>
      <c r="H229" s="0" t="s">
        <v>472</v>
      </c>
      <c r="I229" s="0" t="s">
        <v>488</v>
      </c>
      <c r="J229" s="9" t="n">
        <v>45901</v>
      </c>
      <c r="K229" s="0" t="s">
        <v>489</v>
      </c>
      <c r="L229" s="0" t="n">
        <v>23</v>
      </c>
      <c r="M229" s="10" t="n">
        <f aca="false">_xlfn.NUMBERVALUE("" &amp; K229 &amp; "",".",",")</f>
        <v>2.838622305</v>
      </c>
      <c r="N229" s="10"/>
      <c r="O229" s="0" t="str">
        <f aca="false">VLOOKUP(C229,statusdetails!$A:$D,4,0)</f>
        <v>READY</v>
      </c>
    </row>
    <row r="230" customFormat="false" ht="12.8" hidden="true" customHeight="false" outlineLevel="0" collapsed="false">
      <c r="A230" s="0" t="n">
        <v>466316</v>
      </c>
      <c r="B230" s="0" t="n">
        <v>466316</v>
      </c>
      <c r="C230" s="0" t="n">
        <v>1</v>
      </c>
      <c r="D230" s="0" t="n">
        <v>6</v>
      </c>
      <c r="E230" s="0" t="n">
        <v>1397</v>
      </c>
      <c r="F230" s="0" t="n">
        <v>60</v>
      </c>
      <c r="G230" s="0" t="n">
        <v>164</v>
      </c>
      <c r="H230" s="0" t="s">
        <v>466</v>
      </c>
      <c r="I230" s="0" t="s">
        <v>490</v>
      </c>
      <c r="J230" s="9" t="n">
        <v>45901</v>
      </c>
      <c r="K230" s="0" t="s">
        <v>491</v>
      </c>
      <c r="L230" s="0" t="n">
        <v>23</v>
      </c>
      <c r="M230" s="10" t="n">
        <f aca="false">_xlfn.NUMBERVALUE("" &amp; K230 &amp; "",".",",")</f>
        <v>0.509675820555556</v>
      </c>
      <c r="N230" s="10"/>
      <c r="O230" s="0" t="str">
        <f aca="false">VLOOKUP(C230,statusdetails!$A:$D,4,0)</f>
        <v>READY</v>
      </c>
    </row>
    <row r="231" customFormat="false" ht="12.8" hidden="true" customHeight="false" outlineLevel="0" collapsed="false">
      <c r="A231" s="0" t="n">
        <v>466317</v>
      </c>
      <c r="B231" s="0" t="n">
        <v>466317</v>
      </c>
      <c r="C231" s="0" t="n">
        <v>2</v>
      </c>
      <c r="D231" s="0" t="n">
        <v>9</v>
      </c>
      <c r="E231" s="0" t="n">
        <v>1004</v>
      </c>
      <c r="F231" s="0" t="n">
        <v>66</v>
      </c>
      <c r="G231" s="0" t="n">
        <v>116</v>
      </c>
      <c r="H231" s="0" t="s">
        <v>448</v>
      </c>
      <c r="I231" s="0" t="s">
        <v>492</v>
      </c>
      <c r="J231" s="9" t="n">
        <v>45901</v>
      </c>
      <c r="K231" s="0" t="s">
        <v>493</v>
      </c>
      <c r="L231" s="0" t="n">
        <v>23</v>
      </c>
      <c r="M231" s="3" t="n">
        <f aca="false">_xlfn.NUMBERVALUE("" &amp; K231 &amp; "",".",",")</f>
        <v>0.0623383288888889</v>
      </c>
      <c r="O231" s="0" t="str">
        <f aca="false">VLOOKUP(C231,statusdetails!$A:$D,4,0)</f>
        <v>DELAY</v>
      </c>
    </row>
    <row r="232" customFormat="false" ht="12.8" hidden="true" customHeight="false" outlineLevel="0" collapsed="false">
      <c r="A232" s="0" t="n">
        <v>466318</v>
      </c>
      <c r="B232" s="0" t="n">
        <v>466318</v>
      </c>
      <c r="C232" s="0" t="n">
        <v>1</v>
      </c>
      <c r="D232" s="0" t="n">
        <v>6</v>
      </c>
      <c r="E232" s="0" t="n">
        <v>1040</v>
      </c>
      <c r="F232" s="0" t="n">
        <v>47</v>
      </c>
      <c r="G232" s="0" t="n">
        <v>103</v>
      </c>
      <c r="H232" s="0" t="s">
        <v>470</v>
      </c>
      <c r="I232" s="0" t="s">
        <v>494</v>
      </c>
      <c r="J232" s="9" t="n">
        <v>45901</v>
      </c>
      <c r="K232" s="0" t="s">
        <v>495</v>
      </c>
      <c r="L232" s="0" t="n">
        <v>23</v>
      </c>
      <c r="M232" s="10" t="n">
        <f aca="false">_xlfn.NUMBERVALUE("" &amp; K232 &amp; "",".",",")</f>
        <v>4.25832189111111</v>
      </c>
      <c r="N232" s="10"/>
      <c r="O232" s="0" t="str">
        <f aca="false">VLOOKUP(C232,statusdetails!$A:$D,4,0)</f>
        <v>READY</v>
      </c>
    </row>
    <row r="233" customFormat="false" ht="12.8" hidden="true" customHeight="false" outlineLevel="0" collapsed="false">
      <c r="A233" s="0" t="n">
        <v>466320</v>
      </c>
      <c r="B233" s="0" t="n">
        <v>466319</v>
      </c>
      <c r="C233" s="0" t="n">
        <v>4</v>
      </c>
      <c r="D233" s="0" t="n">
        <v>15</v>
      </c>
      <c r="E233" s="0" t="n">
        <v>638</v>
      </c>
      <c r="F233" s="0" t="n">
        <v>41</v>
      </c>
      <c r="G233" s="0" t="n">
        <v>87</v>
      </c>
      <c r="H233" s="11" t="n">
        <v>45901.8716550926</v>
      </c>
      <c r="I233" s="0" t="s">
        <v>496</v>
      </c>
      <c r="J233" s="9" t="n">
        <v>45901</v>
      </c>
      <c r="K233" s="0" t="s">
        <v>497</v>
      </c>
      <c r="L233" s="0" t="n">
        <v>20</v>
      </c>
      <c r="M233" s="10" t="n">
        <f aca="false">_xlfn.NUMBERVALUE("" &amp; K233 &amp; "",".",",")</f>
        <v>3.0078932825</v>
      </c>
      <c r="N233" s="10"/>
      <c r="O233" s="0" t="str">
        <f aca="false">VLOOKUP(C233,statusdetails!$A:$D,4,0)</f>
        <v>MAINT</v>
      </c>
    </row>
    <row r="234" customFormat="false" ht="12.8" hidden="true" customHeight="false" outlineLevel="0" collapsed="false">
      <c r="A234" s="0" t="n">
        <v>466321</v>
      </c>
      <c r="B234" s="0" t="n">
        <v>466321</v>
      </c>
      <c r="C234" s="0" t="n">
        <v>3</v>
      </c>
      <c r="D234" s="0" t="n">
        <v>12</v>
      </c>
      <c r="E234" s="0" t="n">
        <v>608</v>
      </c>
      <c r="F234" s="0" t="n">
        <v>41</v>
      </c>
      <c r="G234" s="0" t="n">
        <v>87</v>
      </c>
      <c r="H234" s="0" t="s">
        <v>496</v>
      </c>
      <c r="I234" s="0" t="s">
        <v>498</v>
      </c>
      <c r="J234" s="9" t="n">
        <v>45901</v>
      </c>
      <c r="K234" s="0" t="s">
        <v>499</v>
      </c>
      <c r="L234" s="0" t="n">
        <v>23</v>
      </c>
      <c r="M234" s="10" t="n">
        <f aca="false">_xlfn.NUMBERVALUE("" &amp; K234 &amp; "",".",",")</f>
        <v>2.50571130055556</v>
      </c>
      <c r="N234" s="10"/>
      <c r="O234" s="0" t="str">
        <f aca="false">VLOOKUP(C234,statusdetails!$A:$D,4,0)</f>
        <v>STANDBY</v>
      </c>
      <c r="P234" s="0" t="str">
        <f aca="false">VLOOKUP(F234,equipment!$A:$E,4,0)</f>
        <v>MO102</v>
      </c>
      <c r="Q234" s="0" t="str">
        <f aca="false">VLOOKUP(F234,equipment!$A:$E,5,0)</f>
        <v>MO102 - 41</v>
      </c>
    </row>
    <row r="235" customFormat="false" ht="12.8" hidden="true" customHeight="false" outlineLevel="0" collapsed="false">
      <c r="A235" s="0" t="n">
        <v>466322</v>
      </c>
      <c r="B235" s="0" t="n">
        <v>466322</v>
      </c>
      <c r="C235" s="0" t="n">
        <v>1</v>
      </c>
      <c r="D235" s="0" t="n">
        <v>6</v>
      </c>
      <c r="E235" s="0" t="n">
        <v>2518</v>
      </c>
      <c r="F235" s="0" t="n">
        <v>96</v>
      </c>
      <c r="G235" s="0" t="n">
        <v>124</v>
      </c>
      <c r="H235" s="0" t="s">
        <v>484</v>
      </c>
      <c r="I235" s="0" t="s">
        <v>500</v>
      </c>
      <c r="J235" s="9" t="n">
        <v>45901</v>
      </c>
      <c r="K235" s="0" t="s">
        <v>501</v>
      </c>
      <c r="L235" s="0" t="n">
        <v>23</v>
      </c>
      <c r="M235" s="10" t="n">
        <f aca="false">_xlfn.NUMBERVALUE("" &amp; K235 &amp; "",".",",")</f>
        <v>2.23184923638889</v>
      </c>
      <c r="N235" s="10"/>
      <c r="O235" s="0" t="str">
        <f aca="false">VLOOKUP(C235,statusdetails!$A:$D,4,0)</f>
        <v>READY</v>
      </c>
    </row>
    <row r="236" customFormat="false" ht="12.8" hidden="true" customHeight="false" outlineLevel="0" collapsed="false">
      <c r="A236" s="0" t="n">
        <v>466323</v>
      </c>
      <c r="B236" s="0" t="n">
        <v>466323</v>
      </c>
      <c r="C236" s="0" t="n">
        <v>1</v>
      </c>
      <c r="D236" s="0" t="n">
        <v>6</v>
      </c>
      <c r="E236" s="0" t="n">
        <v>260</v>
      </c>
      <c r="F236" s="0" t="n">
        <v>66</v>
      </c>
      <c r="G236" s="0" t="n">
        <v>116</v>
      </c>
      <c r="H236" s="0" t="s">
        <v>492</v>
      </c>
      <c r="I236" s="0" t="s">
        <v>502</v>
      </c>
      <c r="J236" s="9" t="n">
        <v>45901</v>
      </c>
      <c r="K236" s="0" t="s">
        <v>503</v>
      </c>
      <c r="L236" s="0" t="n">
        <v>23</v>
      </c>
      <c r="M236" s="10" t="n">
        <f aca="false">_xlfn.NUMBERVALUE("" &amp; K236 &amp; "",".",",")</f>
        <v>0.138873055555556</v>
      </c>
      <c r="N236" s="10"/>
      <c r="O236" s="0" t="str">
        <f aca="false">VLOOKUP(C236,statusdetails!$A:$D,4,0)</f>
        <v>READY</v>
      </c>
    </row>
    <row r="237" customFormat="false" ht="12.8" hidden="true" customHeight="false" outlineLevel="0" collapsed="false">
      <c r="A237" s="0" t="n">
        <v>466324</v>
      </c>
      <c r="B237" s="0" t="n">
        <v>466324</v>
      </c>
      <c r="C237" s="0" t="n">
        <v>1</v>
      </c>
      <c r="D237" s="0" t="n">
        <v>6</v>
      </c>
      <c r="E237" s="0" t="n">
        <v>2404</v>
      </c>
      <c r="F237" s="0" t="n">
        <v>86</v>
      </c>
      <c r="G237" s="0" t="n">
        <v>139</v>
      </c>
      <c r="H237" s="0" t="s">
        <v>480</v>
      </c>
      <c r="I237" s="0" t="s">
        <v>504</v>
      </c>
      <c r="J237" s="9" t="n">
        <v>45901</v>
      </c>
      <c r="K237" s="0" t="s">
        <v>505</v>
      </c>
      <c r="L237" s="0" t="n">
        <v>23</v>
      </c>
      <c r="M237" s="10" t="n">
        <f aca="false">_xlfn.NUMBERVALUE("" &amp; K237 &amp; "",".",",")</f>
        <v>2.29099664361111</v>
      </c>
      <c r="N237" s="10"/>
      <c r="O237" s="0" t="str">
        <f aca="false">VLOOKUP(C237,statusdetails!$A:$D,4,0)</f>
        <v>READY</v>
      </c>
    </row>
    <row r="238" customFormat="false" ht="12.8" hidden="true" customHeight="false" outlineLevel="0" collapsed="false">
      <c r="A238" s="0" t="n">
        <v>466325</v>
      </c>
      <c r="B238" s="0" t="n">
        <v>466325</v>
      </c>
      <c r="C238" s="0" t="n">
        <v>1</v>
      </c>
      <c r="D238" s="0" t="n">
        <v>6</v>
      </c>
      <c r="E238" s="0" t="n">
        <v>2404</v>
      </c>
      <c r="F238" s="0" t="n">
        <v>89</v>
      </c>
      <c r="G238" s="0" t="n">
        <v>2</v>
      </c>
      <c r="H238" s="0" t="s">
        <v>478</v>
      </c>
      <c r="I238" s="0" t="s">
        <v>506</v>
      </c>
      <c r="J238" s="9" t="n">
        <v>45901</v>
      </c>
      <c r="K238" s="0" t="s">
        <v>507</v>
      </c>
      <c r="L238" s="0" t="n">
        <v>23</v>
      </c>
      <c r="M238" s="10" t="n">
        <f aca="false">_xlfn.NUMBERVALUE("" &amp; K238 &amp; "",".",",")</f>
        <v>5.55173937527778</v>
      </c>
      <c r="N238" s="10"/>
      <c r="O238" s="0" t="str">
        <f aca="false">VLOOKUP(C238,statusdetails!$A:$D,4,0)</f>
        <v>READY</v>
      </c>
    </row>
    <row r="239" customFormat="false" ht="12.8" hidden="true" customHeight="false" outlineLevel="0" collapsed="false">
      <c r="A239" s="0" t="n">
        <v>466326</v>
      </c>
      <c r="B239" s="0" t="n">
        <v>466326</v>
      </c>
      <c r="C239" s="0" t="n">
        <v>1</v>
      </c>
      <c r="D239" s="0" t="n">
        <v>6</v>
      </c>
      <c r="E239" s="0" t="n">
        <v>2404</v>
      </c>
      <c r="F239" s="0" t="n">
        <v>87</v>
      </c>
      <c r="G239" s="0" t="n">
        <v>4</v>
      </c>
      <c r="H239" s="0" t="s">
        <v>482</v>
      </c>
      <c r="I239" s="0" t="s">
        <v>508</v>
      </c>
      <c r="J239" s="9" t="n">
        <v>45901</v>
      </c>
      <c r="K239" s="0" t="s">
        <v>509</v>
      </c>
      <c r="L239" s="0" t="n">
        <v>23</v>
      </c>
      <c r="M239" s="10" t="n">
        <f aca="false">_xlfn.NUMBERVALUE("" &amp; K239 &amp; "",".",",")</f>
        <v>2.28532789027778</v>
      </c>
      <c r="N239" s="10"/>
      <c r="O239" s="0" t="str">
        <f aca="false">VLOOKUP(C239,statusdetails!$A:$D,4,0)</f>
        <v>READY</v>
      </c>
    </row>
    <row r="240" customFormat="false" ht="12.8" hidden="true" customHeight="false" outlineLevel="0" collapsed="false">
      <c r="A240" s="0" t="n">
        <v>466327</v>
      </c>
      <c r="B240" s="0" t="n">
        <v>466327</v>
      </c>
      <c r="C240" s="0" t="n">
        <v>1</v>
      </c>
      <c r="D240" s="0" t="n">
        <v>6</v>
      </c>
      <c r="E240" s="0" t="n">
        <v>2404</v>
      </c>
      <c r="F240" s="0" t="n">
        <v>88</v>
      </c>
      <c r="G240" s="0" t="n">
        <v>40</v>
      </c>
      <c r="H240" s="0" t="s">
        <v>486</v>
      </c>
      <c r="I240" s="0" t="s">
        <v>510</v>
      </c>
      <c r="J240" s="9" t="n">
        <v>45901</v>
      </c>
      <c r="K240" s="0" t="s">
        <v>511</v>
      </c>
      <c r="L240" s="0" t="n">
        <v>23</v>
      </c>
      <c r="M240" s="10" t="n">
        <f aca="false">_xlfn.NUMBERVALUE("" &amp; K240 &amp; "",".",",")</f>
        <v>2.21155826527778</v>
      </c>
      <c r="N240" s="10"/>
      <c r="O240" s="0" t="str">
        <f aca="false">VLOOKUP(C240,statusdetails!$A:$D,4,0)</f>
        <v>READY</v>
      </c>
    </row>
    <row r="241" customFormat="false" ht="12.8" hidden="true" customHeight="false" outlineLevel="0" collapsed="false">
      <c r="A241" s="0" t="n">
        <v>466328</v>
      </c>
      <c r="B241" s="0" t="n">
        <v>466328</v>
      </c>
      <c r="C241" s="0" t="n">
        <v>2</v>
      </c>
      <c r="D241" s="0" t="n">
        <v>7</v>
      </c>
      <c r="E241" s="0" t="n">
        <v>2385</v>
      </c>
      <c r="F241" s="0" t="n">
        <v>82</v>
      </c>
      <c r="G241" s="0" t="n">
        <v>28</v>
      </c>
      <c r="H241" s="0" t="s">
        <v>468</v>
      </c>
      <c r="I241" s="0" t="s">
        <v>512</v>
      </c>
      <c r="J241" s="9" t="n">
        <v>45901</v>
      </c>
      <c r="K241" s="0" t="s">
        <v>513</v>
      </c>
      <c r="L241" s="0" t="n">
        <v>0</v>
      </c>
      <c r="M241" s="3" t="n">
        <f aca="false">_xlfn.NUMBERVALUE("" &amp; K241 &amp; "",".",",")</f>
        <v>0.0177541666666667</v>
      </c>
      <c r="O241" s="0" t="str">
        <f aca="false">VLOOKUP(C241,statusdetails!$A:$D,4,0)</f>
        <v>DELAY</v>
      </c>
    </row>
    <row r="242" customFormat="false" ht="12.8" hidden="true" customHeight="false" outlineLevel="0" collapsed="false">
      <c r="A242" s="0" t="n">
        <v>466329</v>
      </c>
      <c r="B242" s="0" t="n">
        <v>466329</v>
      </c>
      <c r="C242" s="0" t="n">
        <v>3</v>
      </c>
      <c r="D242" s="0" t="n">
        <v>14</v>
      </c>
      <c r="E242" s="0" t="n">
        <v>2387</v>
      </c>
      <c r="F242" s="0" t="n">
        <v>82</v>
      </c>
      <c r="G242" s="0" t="n">
        <v>28</v>
      </c>
      <c r="H242" s="0" t="s">
        <v>512</v>
      </c>
      <c r="I242" s="0" t="s">
        <v>514</v>
      </c>
      <c r="J242" s="9" t="n">
        <v>45901</v>
      </c>
      <c r="K242" s="0" t="s">
        <v>515</v>
      </c>
      <c r="L242" s="0" t="n">
        <v>0</v>
      </c>
      <c r="M242" s="10" t="n">
        <f aca="false">_xlfn.NUMBERVALUE("" &amp; K242 &amp; "",".",",")</f>
        <v>0.00852595444444444</v>
      </c>
      <c r="N242" s="10"/>
      <c r="O242" s="0" t="str">
        <f aca="false">VLOOKUP(C242,statusdetails!$A:$D,4,0)</f>
        <v>STANDBY</v>
      </c>
      <c r="P242" s="0" t="str">
        <f aca="false">VLOOKUP(F242,equipment!$A:$E,4,0)</f>
        <v>EX502</v>
      </c>
      <c r="Q242" s="0" t="str">
        <f aca="false">VLOOKUP(F242,equipment!$A:$E,5,0)</f>
        <v>EX502 - 82</v>
      </c>
    </row>
    <row r="243" customFormat="false" ht="12.8" hidden="true" customHeight="false" outlineLevel="0" collapsed="false">
      <c r="A243" s="0" t="n">
        <v>466330</v>
      </c>
      <c r="B243" s="0" t="n">
        <v>466330</v>
      </c>
      <c r="C243" s="0" t="n">
        <v>1</v>
      </c>
      <c r="D243" s="0" t="n">
        <v>6</v>
      </c>
      <c r="E243" s="0" t="n">
        <v>2518</v>
      </c>
      <c r="F243" s="0" t="n">
        <v>82</v>
      </c>
      <c r="G243" s="0" t="n">
        <v>28</v>
      </c>
      <c r="H243" s="0" t="s">
        <v>514</v>
      </c>
      <c r="I243" s="0" t="s">
        <v>516</v>
      </c>
      <c r="J243" s="9" t="n">
        <v>45901</v>
      </c>
      <c r="K243" s="0" t="s">
        <v>517</v>
      </c>
      <c r="L243" s="0" t="n">
        <v>0</v>
      </c>
      <c r="M243" s="10" t="n">
        <f aca="false">_xlfn.NUMBERVALUE("" &amp; K243 &amp; "",".",",")</f>
        <v>0.0629115208333333</v>
      </c>
      <c r="N243" s="10"/>
      <c r="O243" s="0" t="str">
        <f aca="false">VLOOKUP(C243,statusdetails!$A:$D,4,0)</f>
        <v>READY</v>
      </c>
    </row>
    <row r="244" customFormat="false" ht="12.8" hidden="true" customHeight="false" outlineLevel="0" collapsed="false">
      <c r="A244" s="0" t="n">
        <v>466331</v>
      </c>
      <c r="B244" s="0" t="n">
        <v>466331</v>
      </c>
      <c r="C244" s="0" t="n">
        <v>2</v>
      </c>
      <c r="D244" s="0" t="n">
        <v>9</v>
      </c>
      <c r="E244" s="0" t="n">
        <v>2635</v>
      </c>
      <c r="F244" s="0" t="n">
        <v>66</v>
      </c>
      <c r="G244" s="0" t="n">
        <v>116</v>
      </c>
      <c r="H244" s="0" t="s">
        <v>502</v>
      </c>
      <c r="I244" s="0" t="s">
        <v>518</v>
      </c>
      <c r="J244" s="9" t="n">
        <v>45901</v>
      </c>
      <c r="K244" s="0" t="s">
        <v>519</v>
      </c>
      <c r="L244" s="0" t="n">
        <v>0</v>
      </c>
      <c r="M244" s="3" t="n">
        <f aca="false">_xlfn.NUMBERVALUE("" &amp; K244 &amp; "",".",",")</f>
        <v>0.0512337219444444</v>
      </c>
      <c r="O244" s="0" t="str">
        <f aca="false">VLOOKUP(C244,statusdetails!$A:$D,4,0)</f>
        <v>DELAY</v>
      </c>
    </row>
    <row r="245" customFormat="false" ht="12.8" hidden="true" customHeight="false" outlineLevel="0" collapsed="false">
      <c r="A245" s="0" t="n">
        <v>466332</v>
      </c>
      <c r="B245" s="0" t="n">
        <v>466332</v>
      </c>
      <c r="C245" s="0" t="n">
        <v>2</v>
      </c>
      <c r="D245" s="0" t="n">
        <v>9</v>
      </c>
      <c r="E245" s="0" t="n">
        <v>2388</v>
      </c>
      <c r="F245" s="0" t="n">
        <v>82</v>
      </c>
      <c r="G245" s="0" t="n">
        <v>28</v>
      </c>
      <c r="H245" s="0" t="s">
        <v>516</v>
      </c>
      <c r="I245" s="0" t="s">
        <v>520</v>
      </c>
      <c r="J245" s="9" t="n">
        <v>45901</v>
      </c>
      <c r="K245" s="0" t="s">
        <v>521</v>
      </c>
      <c r="L245" s="0" t="n">
        <v>0</v>
      </c>
      <c r="M245" s="3" t="n">
        <f aca="false">_xlfn.NUMBERVALUE("" &amp; K245 &amp; "",".",",")</f>
        <v>0.0217357102777778</v>
      </c>
      <c r="O245" s="0" t="str">
        <f aca="false">VLOOKUP(C245,statusdetails!$A:$D,4,0)</f>
        <v>DELAY</v>
      </c>
    </row>
    <row r="246" customFormat="false" ht="12.8" hidden="true" customHeight="false" outlineLevel="0" collapsed="false">
      <c r="A246" s="0" t="n">
        <v>466333</v>
      </c>
      <c r="B246" s="0" t="n">
        <v>466333</v>
      </c>
      <c r="C246" s="0" t="n">
        <v>1</v>
      </c>
      <c r="D246" s="0" t="n">
        <v>6</v>
      </c>
      <c r="E246" s="0" t="n">
        <v>2518</v>
      </c>
      <c r="F246" s="0" t="n">
        <v>82</v>
      </c>
      <c r="G246" s="0" t="n">
        <v>28</v>
      </c>
      <c r="H246" s="0" t="s">
        <v>520</v>
      </c>
      <c r="I246" s="0" t="s">
        <v>522</v>
      </c>
      <c r="J246" s="9" t="n">
        <v>45901</v>
      </c>
      <c r="K246" s="0" t="s">
        <v>523</v>
      </c>
      <c r="L246" s="0" t="n">
        <v>0</v>
      </c>
      <c r="M246" s="10" t="n">
        <f aca="false">_xlfn.NUMBERVALUE("" &amp; K246 &amp; "",".",",")</f>
        <v>2.58003544055556</v>
      </c>
      <c r="N246" s="10"/>
      <c r="O246" s="0" t="str">
        <f aca="false">VLOOKUP(C246,statusdetails!$A:$D,4,0)</f>
        <v>READY</v>
      </c>
    </row>
    <row r="247" customFormat="false" ht="12.8" hidden="true" customHeight="false" outlineLevel="0" collapsed="false">
      <c r="A247" s="0" t="n">
        <v>466334</v>
      </c>
      <c r="B247" s="0" t="n">
        <v>466334</v>
      </c>
      <c r="C247" s="0" t="n">
        <v>1</v>
      </c>
      <c r="D247" s="0" t="n">
        <v>6</v>
      </c>
      <c r="E247" s="0" t="n">
        <v>260</v>
      </c>
      <c r="F247" s="0" t="n">
        <v>66</v>
      </c>
      <c r="G247" s="0" t="n">
        <v>116</v>
      </c>
      <c r="H247" s="0" t="s">
        <v>518</v>
      </c>
      <c r="I247" s="0" t="s">
        <v>524</v>
      </c>
      <c r="J247" s="9" t="n">
        <v>45901</v>
      </c>
      <c r="K247" s="0" t="s">
        <v>525</v>
      </c>
      <c r="L247" s="0" t="n">
        <v>0</v>
      </c>
      <c r="M247" s="10" t="n">
        <f aca="false">_xlfn.NUMBERVALUE("" &amp; K247 &amp; "",".",",")</f>
        <v>1.50796655583333</v>
      </c>
      <c r="N247" s="10"/>
      <c r="O247" s="0" t="str">
        <f aca="false">VLOOKUP(C247,statusdetails!$A:$D,4,0)</f>
        <v>READY</v>
      </c>
    </row>
    <row r="248" customFormat="false" ht="12.8" hidden="true" customHeight="false" outlineLevel="0" collapsed="false">
      <c r="A248" s="0" t="n">
        <v>466336</v>
      </c>
      <c r="B248" s="0" t="n">
        <v>466336</v>
      </c>
      <c r="C248" s="0" t="n">
        <v>1</v>
      </c>
      <c r="D248" s="0" t="n">
        <v>2303</v>
      </c>
      <c r="E248" s="0" t="n">
        <v>1502</v>
      </c>
      <c r="F248" s="0" t="n">
        <v>60</v>
      </c>
      <c r="G248" s="0" t="n">
        <v>164</v>
      </c>
      <c r="H248" s="0" t="s">
        <v>490</v>
      </c>
      <c r="I248" s="0" t="s">
        <v>526</v>
      </c>
      <c r="J248" s="9" t="n">
        <v>45901</v>
      </c>
      <c r="K248" s="0" t="s">
        <v>527</v>
      </c>
      <c r="L248" s="0" t="n">
        <v>0</v>
      </c>
      <c r="M248" s="10" t="n">
        <f aca="false">_xlfn.NUMBERVALUE("" &amp; K248 &amp; "",".",",")</f>
        <v>0.09023939</v>
      </c>
      <c r="N248" s="10"/>
      <c r="O248" s="0" t="str">
        <f aca="false">VLOOKUP(C248,statusdetails!$A:$D,4,0)</f>
        <v>READY</v>
      </c>
    </row>
    <row r="249" customFormat="false" ht="12.8" hidden="true" customHeight="false" outlineLevel="0" collapsed="false">
      <c r="A249" s="0" t="n">
        <v>466337</v>
      </c>
      <c r="B249" s="0" t="n">
        <v>466337</v>
      </c>
      <c r="C249" s="0" t="n">
        <v>1</v>
      </c>
      <c r="D249" s="0" t="n">
        <v>2303</v>
      </c>
      <c r="E249" s="0" t="n">
        <v>2592</v>
      </c>
      <c r="F249" s="0" t="n">
        <v>60</v>
      </c>
      <c r="G249" s="0" t="n">
        <v>164</v>
      </c>
      <c r="H249" s="0" t="s">
        <v>526</v>
      </c>
      <c r="I249" s="0" t="s">
        <v>528</v>
      </c>
      <c r="J249" s="9" t="n">
        <v>45901</v>
      </c>
      <c r="K249" s="0" t="s">
        <v>529</v>
      </c>
      <c r="L249" s="0" t="n">
        <v>0</v>
      </c>
      <c r="M249" s="10" t="n">
        <f aca="false">_xlfn.NUMBERVALUE("" &amp; K249 &amp; "",".",",")</f>
        <v>3.96471054527778</v>
      </c>
      <c r="N249" s="10"/>
      <c r="O249" s="0" t="str">
        <f aca="false">VLOOKUP(C249,statusdetails!$A:$D,4,0)</f>
        <v>READY</v>
      </c>
    </row>
    <row r="250" customFormat="false" ht="12.8" hidden="true" customHeight="false" outlineLevel="0" collapsed="false">
      <c r="A250" s="0" t="n">
        <v>466338</v>
      </c>
      <c r="B250" s="0" t="n">
        <v>466338</v>
      </c>
      <c r="C250" s="0" t="n">
        <v>2</v>
      </c>
      <c r="D250" s="0" t="n">
        <v>9</v>
      </c>
      <c r="E250" s="0" t="n">
        <v>2515</v>
      </c>
      <c r="F250" s="0" t="n">
        <v>84</v>
      </c>
      <c r="G250" s="0" t="n">
        <v>0</v>
      </c>
      <c r="H250" s="0" t="s">
        <v>476</v>
      </c>
      <c r="I250" s="0" t="s">
        <v>530</v>
      </c>
      <c r="J250" s="9" t="n">
        <v>45901</v>
      </c>
      <c r="K250" s="0" t="s">
        <v>531</v>
      </c>
      <c r="L250" s="0" t="n">
        <v>0</v>
      </c>
      <c r="M250" s="3" t="n">
        <f aca="false">_xlfn.NUMBERVALUE("" &amp; K250 &amp; "",".",",")</f>
        <v>0.0606976872222222</v>
      </c>
      <c r="O250" s="0" t="str">
        <f aca="false">VLOOKUP(C250,statusdetails!$A:$D,4,0)</f>
        <v>DELAY</v>
      </c>
    </row>
    <row r="251" customFormat="false" ht="12.8" hidden="true" customHeight="false" outlineLevel="0" collapsed="false">
      <c r="A251" s="0" t="n">
        <v>466339</v>
      </c>
      <c r="B251" s="0" t="n">
        <v>466339</v>
      </c>
      <c r="C251" s="0" t="n">
        <v>1</v>
      </c>
      <c r="D251" s="0" t="n">
        <v>6</v>
      </c>
      <c r="E251" s="0" t="n">
        <v>2404</v>
      </c>
      <c r="F251" s="0" t="n">
        <v>84</v>
      </c>
      <c r="G251" s="0" t="n">
        <v>0</v>
      </c>
      <c r="H251" s="0" t="s">
        <v>530</v>
      </c>
      <c r="I251" s="0" t="s">
        <v>532</v>
      </c>
      <c r="J251" s="9" t="n">
        <v>45901</v>
      </c>
      <c r="K251" s="0" t="s">
        <v>533</v>
      </c>
      <c r="L251" s="0" t="n">
        <v>0</v>
      </c>
      <c r="M251" s="10" t="n">
        <f aca="false">_xlfn.NUMBERVALUE("" &amp; K251 &amp; "",".",",")</f>
        <v>1.54345446638889</v>
      </c>
      <c r="N251" s="10"/>
      <c r="O251" s="0" t="str">
        <f aca="false">VLOOKUP(C251,statusdetails!$A:$D,4,0)</f>
        <v>READY</v>
      </c>
    </row>
    <row r="252" customFormat="false" ht="12.8" hidden="true" customHeight="false" outlineLevel="0" collapsed="false">
      <c r="A252" s="0" t="n">
        <v>466340</v>
      </c>
      <c r="B252" s="0" t="n">
        <v>466340</v>
      </c>
      <c r="C252" s="0" t="n">
        <v>3</v>
      </c>
      <c r="D252" s="0" t="n">
        <v>12</v>
      </c>
      <c r="E252" s="0" t="n">
        <v>394</v>
      </c>
      <c r="F252" s="0" t="n">
        <v>91</v>
      </c>
      <c r="G252" s="0" t="n">
        <v>0</v>
      </c>
      <c r="H252" s="0" t="s">
        <v>344</v>
      </c>
      <c r="I252" s="0" t="s">
        <v>534</v>
      </c>
      <c r="J252" s="9" t="n">
        <v>45901</v>
      </c>
      <c r="K252" s="0" t="s">
        <v>535</v>
      </c>
      <c r="L252" s="0" t="n">
        <v>0</v>
      </c>
      <c r="M252" s="10" t="n">
        <f aca="false">_xlfn.NUMBERVALUE("" &amp; K252 &amp; "",".",",")</f>
        <v>2.26329239916667</v>
      </c>
      <c r="N252" s="10"/>
      <c r="O252" s="0" t="str">
        <f aca="false">VLOOKUP(C252,statusdetails!$A:$D,4,0)</f>
        <v>STANDBY</v>
      </c>
      <c r="P252" s="0" t="str">
        <f aca="false">VLOOKUP(F252,equipment!$A:$E,4,0)</f>
        <v>DZ205</v>
      </c>
      <c r="Q252" s="0" t="str">
        <f aca="false">VLOOKUP(F252,equipment!$A:$E,5,0)</f>
        <v>DZ205 - 91</v>
      </c>
    </row>
    <row r="253" customFormat="false" ht="12.8" hidden="true" customHeight="false" outlineLevel="0" collapsed="false">
      <c r="A253" s="0" t="n">
        <v>466341</v>
      </c>
      <c r="B253" s="0" t="n">
        <v>466341</v>
      </c>
      <c r="C253" s="0" t="n">
        <v>3</v>
      </c>
      <c r="D253" s="0" t="n">
        <v>12</v>
      </c>
      <c r="E253" s="0" t="n">
        <v>1175</v>
      </c>
      <c r="F253" s="0" t="n">
        <v>74</v>
      </c>
      <c r="G253" s="0" t="n">
        <v>58</v>
      </c>
      <c r="H253" s="0" t="s">
        <v>388</v>
      </c>
      <c r="I253" s="0" t="s">
        <v>536</v>
      </c>
      <c r="J253" s="9" t="n">
        <v>45901</v>
      </c>
      <c r="K253" s="0" t="s">
        <v>537</v>
      </c>
      <c r="L253" s="0" t="n">
        <v>0</v>
      </c>
      <c r="M253" s="10" t="n">
        <f aca="false">_xlfn.NUMBERVALUE("" &amp; K253 &amp; "",".",",")</f>
        <v>6.63820211083333</v>
      </c>
      <c r="N253" s="10"/>
      <c r="O253" s="0" t="str">
        <f aca="false">VLOOKUP(C253,statusdetails!$A:$D,4,0)</f>
        <v>STANDBY</v>
      </c>
      <c r="P253" s="0" t="str">
        <f aca="false">VLOOKUP(F253,equipment!$A:$E,4,0)</f>
        <v>CR701</v>
      </c>
      <c r="Q253" s="0" t="str">
        <f aca="false">VLOOKUP(F253,equipment!$A:$E,5,0)</f>
        <v>CR701 - 74</v>
      </c>
    </row>
    <row r="254" customFormat="false" ht="12.8" hidden="true" customHeight="false" outlineLevel="0" collapsed="false">
      <c r="A254" s="0" t="n">
        <v>466342</v>
      </c>
      <c r="B254" s="0" t="n">
        <v>466342</v>
      </c>
      <c r="C254" s="0" t="n">
        <v>3</v>
      </c>
      <c r="D254" s="0" t="n">
        <v>14</v>
      </c>
      <c r="E254" s="0" t="n">
        <v>1139</v>
      </c>
      <c r="F254" s="0" t="n">
        <v>42</v>
      </c>
      <c r="G254" s="0" t="n">
        <v>35</v>
      </c>
      <c r="H254" s="0" t="s">
        <v>393</v>
      </c>
      <c r="I254" s="0" t="s">
        <v>538</v>
      </c>
      <c r="J254" s="9" t="n">
        <v>45901</v>
      </c>
      <c r="K254" s="0" t="s">
        <v>539</v>
      </c>
      <c r="L254" s="0" t="n">
        <v>0</v>
      </c>
      <c r="M254" s="10" t="n">
        <f aca="false">_xlfn.NUMBERVALUE("" &amp; K254 &amp; "",".",",")</f>
        <v>1.68438333333333</v>
      </c>
      <c r="N254" s="10"/>
      <c r="O254" s="0" t="str">
        <f aca="false">VLOOKUP(C254,statusdetails!$A:$D,4,0)</f>
        <v>STANDBY</v>
      </c>
      <c r="P254" s="0" t="str">
        <f aca="false">VLOOKUP(F254,equipment!$A:$E,4,0)</f>
        <v>PE301</v>
      </c>
      <c r="Q254" s="0" t="str">
        <f aca="false">VLOOKUP(F254,equipment!$A:$E,5,0)</f>
        <v>PE301 - 42</v>
      </c>
    </row>
    <row r="255" customFormat="false" ht="12.8" hidden="true" customHeight="false" outlineLevel="0" collapsed="false">
      <c r="A255" s="0" t="n">
        <v>466343</v>
      </c>
      <c r="B255" s="0" t="n">
        <v>466343</v>
      </c>
      <c r="C255" s="0" t="n">
        <v>3</v>
      </c>
      <c r="D255" s="0" t="n">
        <v>14</v>
      </c>
      <c r="E255" s="0" t="n">
        <v>1142</v>
      </c>
      <c r="F255" s="0" t="n">
        <v>66</v>
      </c>
      <c r="G255" s="0" t="n">
        <v>116</v>
      </c>
      <c r="H255" s="0" t="s">
        <v>524</v>
      </c>
      <c r="I255" s="0" t="s">
        <v>540</v>
      </c>
      <c r="J255" s="9" t="n">
        <v>45901</v>
      </c>
      <c r="K255" s="0" t="s">
        <v>541</v>
      </c>
      <c r="L255" s="0" t="n">
        <v>1</v>
      </c>
      <c r="M255" s="10" t="n">
        <f aca="false">_xlfn.NUMBERVALUE("" &amp; K255 &amp; "",".",",")</f>
        <v>0.0319560797222222</v>
      </c>
      <c r="N255" s="10"/>
      <c r="O255" s="0" t="str">
        <f aca="false">VLOOKUP(C255,statusdetails!$A:$D,4,0)</f>
        <v>STANDBY</v>
      </c>
      <c r="P255" s="0" t="str">
        <f aca="false">VLOOKUP(F255,equipment!$A:$E,4,0)</f>
        <v>CM407</v>
      </c>
      <c r="Q255" s="0" t="str">
        <f aca="false">VLOOKUP(F255,equipment!$A:$E,5,0)</f>
        <v>CM407 - 66</v>
      </c>
    </row>
    <row r="256" customFormat="false" ht="12.8" hidden="true" customHeight="false" outlineLevel="0" collapsed="false">
      <c r="A256" s="0" t="n">
        <v>466344</v>
      </c>
      <c r="B256" s="0" t="n">
        <v>466344</v>
      </c>
      <c r="C256" s="0" t="n">
        <v>1</v>
      </c>
      <c r="D256" s="0" t="n">
        <v>6</v>
      </c>
      <c r="E256" s="0" t="n">
        <v>260</v>
      </c>
      <c r="F256" s="0" t="n">
        <v>66</v>
      </c>
      <c r="G256" s="0" t="n">
        <v>116</v>
      </c>
      <c r="H256" s="0" t="s">
        <v>540</v>
      </c>
      <c r="I256" s="0" t="s">
        <v>542</v>
      </c>
      <c r="J256" s="9" t="n">
        <v>45901</v>
      </c>
      <c r="K256" s="0" t="s">
        <v>543</v>
      </c>
      <c r="L256" s="0" t="n">
        <v>1</v>
      </c>
      <c r="M256" s="10" t="n">
        <f aca="false">_xlfn.NUMBERVALUE("" &amp; K256 &amp; "",".",",")</f>
        <v>1.10655438555556</v>
      </c>
      <c r="N256" s="10"/>
      <c r="O256" s="0" t="str">
        <f aca="false">VLOOKUP(C256,statusdetails!$A:$D,4,0)</f>
        <v>READY</v>
      </c>
    </row>
    <row r="257" customFormat="false" ht="12.8" hidden="true" customHeight="false" outlineLevel="0" collapsed="false">
      <c r="A257" s="0" t="n">
        <v>466345</v>
      </c>
      <c r="B257" s="0" t="n">
        <v>466345</v>
      </c>
      <c r="C257" s="0" t="n">
        <v>2</v>
      </c>
      <c r="D257" s="0" t="n">
        <v>9</v>
      </c>
      <c r="E257" s="0" t="n">
        <v>2388</v>
      </c>
      <c r="F257" s="0" t="n">
        <v>96</v>
      </c>
      <c r="G257" s="0" t="n">
        <v>124</v>
      </c>
      <c r="H257" s="0" t="s">
        <v>500</v>
      </c>
      <c r="I257" s="0" t="s">
        <v>544</v>
      </c>
      <c r="J257" s="9" t="n">
        <v>45901</v>
      </c>
      <c r="K257" s="0" t="s">
        <v>545</v>
      </c>
      <c r="L257" s="0" t="n">
        <v>2</v>
      </c>
      <c r="M257" s="3" t="n">
        <f aca="false">_xlfn.NUMBERVALUE("" &amp; K257 &amp; "",".",",")</f>
        <v>0.113188672777778</v>
      </c>
      <c r="O257" s="0" t="str">
        <f aca="false">VLOOKUP(C257,statusdetails!$A:$D,4,0)</f>
        <v>DELAY</v>
      </c>
    </row>
    <row r="258" customFormat="false" ht="12.8" hidden="true" customHeight="false" outlineLevel="0" collapsed="false">
      <c r="A258" s="0" t="n">
        <v>466346</v>
      </c>
      <c r="B258" s="0" t="n">
        <v>466346</v>
      </c>
      <c r="C258" s="0" t="n">
        <v>2</v>
      </c>
      <c r="D258" s="0" t="n">
        <v>9</v>
      </c>
      <c r="E258" s="0" t="n">
        <v>2450</v>
      </c>
      <c r="F258" s="0" t="n">
        <v>88</v>
      </c>
      <c r="G258" s="0" t="n">
        <v>40</v>
      </c>
      <c r="H258" s="0" t="s">
        <v>510</v>
      </c>
      <c r="I258" s="0" t="s">
        <v>546</v>
      </c>
      <c r="J258" s="9" t="n">
        <v>45901</v>
      </c>
      <c r="K258" s="0" t="s">
        <v>547</v>
      </c>
      <c r="L258" s="0" t="n">
        <v>2</v>
      </c>
      <c r="M258" s="3" t="n">
        <f aca="false">_xlfn.NUMBERVALUE("" &amp; K258 &amp; "",".",",")</f>
        <v>0.112324456666667</v>
      </c>
      <c r="O258" s="0" t="str">
        <f aca="false">VLOOKUP(C258,statusdetails!$A:$D,4,0)</f>
        <v>DELAY</v>
      </c>
    </row>
    <row r="259" customFormat="false" ht="12.8" hidden="true" customHeight="false" outlineLevel="0" collapsed="false">
      <c r="A259" s="0" t="n">
        <v>466347</v>
      </c>
      <c r="B259" s="0" t="n">
        <v>466347</v>
      </c>
      <c r="C259" s="0" t="n">
        <v>2</v>
      </c>
      <c r="D259" s="0" t="n">
        <v>9</v>
      </c>
      <c r="E259" s="0" t="n">
        <v>2450</v>
      </c>
      <c r="F259" s="0" t="n">
        <v>84</v>
      </c>
      <c r="G259" s="0" t="n">
        <v>20</v>
      </c>
      <c r="H259" s="0" t="s">
        <v>532</v>
      </c>
      <c r="I259" s="0" t="s">
        <v>548</v>
      </c>
      <c r="J259" s="9" t="n">
        <v>45901</v>
      </c>
      <c r="K259" s="0" t="s">
        <v>549</v>
      </c>
      <c r="L259" s="0" t="n">
        <v>2</v>
      </c>
      <c r="M259" s="3" t="n">
        <f aca="false">_xlfn.NUMBERVALUE("" &amp; K259 &amp; "",".",",")</f>
        <v>0.926552777777778</v>
      </c>
      <c r="O259" s="0" t="str">
        <f aca="false">VLOOKUP(C259,statusdetails!$A:$D,4,0)</f>
        <v>DELAY</v>
      </c>
    </row>
    <row r="260" customFormat="false" ht="12.8" hidden="true" customHeight="false" outlineLevel="0" collapsed="false">
      <c r="A260" s="0" t="n">
        <v>466348</v>
      </c>
      <c r="B260" s="0" t="n">
        <v>466348</v>
      </c>
      <c r="C260" s="0" t="n">
        <v>2</v>
      </c>
      <c r="D260" s="0" t="n">
        <v>9</v>
      </c>
      <c r="E260" s="0" t="n">
        <v>2450</v>
      </c>
      <c r="F260" s="0" t="n">
        <v>87</v>
      </c>
      <c r="G260" s="0" t="n">
        <v>140</v>
      </c>
      <c r="H260" s="0" t="s">
        <v>508</v>
      </c>
      <c r="I260" s="0" t="s">
        <v>550</v>
      </c>
      <c r="J260" s="9" t="n">
        <v>45901</v>
      </c>
      <c r="K260" s="0" t="s">
        <v>551</v>
      </c>
      <c r="L260" s="0" t="n">
        <v>2</v>
      </c>
      <c r="M260" s="3" t="n">
        <f aca="false">_xlfn.NUMBERVALUE("" &amp; K260 &amp; "",".",",")</f>
        <v>0.0441839908333333</v>
      </c>
      <c r="O260" s="0" t="str">
        <f aca="false">VLOOKUP(C260,statusdetails!$A:$D,4,0)</f>
        <v>DELAY</v>
      </c>
    </row>
    <row r="261" customFormat="false" ht="12.8" hidden="true" customHeight="false" outlineLevel="0" collapsed="false">
      <c r="A261" s="0" t="n">
        <v>466349</v>
      </c>
      <c r="B261" s="0" t="n">
        <v>466349</v>
      </c>
      <c r="C261" s="0" t="n">
        <v>2</v>
      </c>
      <c r="D261" s="0" t="n">
        <v>9</v>
      </c>
      <c r="E261" s="0" t="n">
        <v>2450</v>
      </c>
      <c r="F261" s="0" t="n">
        <v>86</v>
      </c>
      <c r="G261" s="0" t="n">
        <v>128</v>
      </c>
      <c r="H261" s="0" t="s">
        <v>504</v>
      </c>
      <c r="I261" s="0" t="s">
        <v>552</v>
      </c>
      <c r="J261" s="9" t="n">
        <v>45901</v>
      </c>
      <c r="K261" s="0" t="s">
        <v>553</v>
      </c>
      <c r="L261" s="0" t="n">
        <v>2</v>
      </c>
      <c r="M261" s="3" t="n">
        <f aca="false">_xlfn.NUMBERVALUE("" &amp; K261 &amp; "",".",",")</f>
        <v>0.0424503702777778</v>
      </c>
      <c r="O261" s="0" t="str">
        <f aca="false">VLOOKUP(C261,statusdetails!$A:$D,4,0)</f>
        <v>DELAY</v>
      </c>
    </row>
    <row r="262" customFormat="false" ht="12.8" hidden="true" customHeight="false" outlineLevel="0" collapsed="false">
      <c r="A262" s="0" t="n">
        <v>466350</v>
      </c>
      <c r="B262" s="0" t="n">
        <v>466350</v>
      </c>
      <c r="C262" s="0" t="n">
        <v>1</v>
      </c>
      <c r="D262" s="0" t="n">
        <v>6</v>
      </c>
      <c r="E262" s="0" t="n">
        <v>2518</v>
      </c>
      <c r="F262" s="0" t="n">
        <v>96</v>
      </c>
      <c r="G262" s="0" t="n">
        <v>124</v>
      </c>
      <c r="H262" s="0" t="s">
        <v>544</v>
      </c>
      <c r="I262" s="0" t="s">
        <v>554</v>
      </c>
      <c r="J262" s="9" t="n">
        <v>45901</v>
      </c>
      <c r="K262" s="0" t="s">
        <v>555</v>
      </c>
      <c r="L262" s="0" t="n">
        <v>2</v>
      </c>
      <c r="M262" s="10" t="n">
        <f aca="false">_xlfn.NUMBERVALUE("" &amp; K262 &amp; "",".",",")</f>
        <v>4.53253086333333</v>
      </c>
      <c r="N262" s="10"/>
      <c r="O262" s="0" t="str">
        <f aca="false">VLOOKUP(C262,statusdetails!$A:$D,4,0)</f>
        <v>READY</v>
      </c>
    </row>
    <row r="263" customFormat="false" ht="12.8" hidden="true" customHeight="false" outlineLevel="0" collapsed="false">
      <c r="A263" s="0" t="n">
        <v>466351</v>
      </c>
      <c r="B263" s="0" t="n">
        <v>466351</v>
      </c>
      <c r="C263" s="0" t="n">
        <v>1</v>
      </c>
      <c r="D263" s="0" t="n">
        <v>6</v>
      </c>
      <c r="E263" s="0" t="n">
        <v>2404</v>
      </c>
      <c r="F263" s="0" t="n">
        <v>88</v>
      </c>
      <c r="G263" s="0" t="n">
        <v>40</v>
      </c>
      <c r="H263" s="0" t="s">
        <v>546</v>
      </c>
      <c r="I263" s="0" t="s">
        <v>556</v>
      </c>
      <c r="J263" s="9" t="n">
        <v>45901</v>
      </c>
      <c r="K263" s="0" t="s">
        <v>557</v>
      </c>
      <c r="L263" s="0" t="n">
        <v>2</v>
      </c>
      <c r="M263" s="10" t="n">
        <f aca="false">_xlfn.NUMBERVALUE("" &amp; K263 &amp; "",".",",")</f>
        <v>2.28229861111111</v>
      </c>
      <c r="N263" s="10"/>
      <c r="O263" s="0" t="str">
        <f aca="false">VLOOKUP(C263,statusdetails!$A:$D,4,0)</f>
        <v>READY</v>
      </c>
    </row>
    <row r="264" customFormat="false" ht="12.8" hidden="true" customHeight="false" outlineLevel="0" collapsed="false">
      <c r="A264" s="0" t="n">
        <v>466353</v>
      </c>
      <c r="B264" s="0" t="n">
        <v>466353</v>
      </c>
      <c r="C264" s="0" t="n">
        <v>1</v>
      </c>
      <c r="D264" s="0" t="n">
        <v>6</v>
      </c>
      <c r="E264" s="0" t="n">
        <v>2404</v>
      </c>
      <c r="F264" s="0" t="n">
        <v>87</v>
      </c>
      <c r="G264" s="0" t="n">
        <v>140</v>
      </c>
      <c r="H264" s="0" t="s">
        <v>550</v>
      </c>
      <c r="I264" s="0" t="s">
        <v>558</v>
      </c>
      <c r="J264" s="9" t="n">
        <v>45901</v>
      </c>
      <c r="K264" s="0" t="s">
        <v>559</v>
      </c>
      <c r="L264" s="0" t="n">
        <v>2</v>
      </c>
      <c r="M264" s="10" t="n">
        <f aca="false">_xlfn.NUMBERVALUE("" &amp; K264 &amp; "",".",",")</f>
        <v>4.53233685944444</v>
      </c>
      <c r="N264" s="10"/>
      <c r="O264" s="0" t="str">
        <f aca="false">VLOOKUP(C264,statusdetails!$A:$D,4,0)</f>
        <v>READY</v>
      </c>
    </row>
    <row r="265" customFormat="false" ht="12.8" hidden="true" customHeight="false" outlineLevel="0" collapsed="false">
      <c r="A265" s="0" t="n">
        <v>466355</v>
      </c>
      <c r="B265" s="0" t="n">
        <v>466355</v>
      </c>
      <c r="C265" s="0" t="n">
        <v>1</v>
      </c>
      <c r="D265" s="0" t="n">
        <v>6</v>
      </c>
      <c r="E265" s="0" t="n">
        <v>2404</v>
      </c>
      <c r="F265" s="0" t="n">
        <v>86</v>
      </c>
      <c r="G265" s="0" t="n">
        <v>128</v>
      </c>
      <c r="H265" s="0" t="s">
        <v>552</v>
      </c>
      <c r="I265" s="0" t="s">
        <v>560</v>
      </c>
      <c r="J265" s="9" t="n">
        <v>45901</v>
      </c>
      <c r="K265" s="0" t="s">
        <v>561</v>
      </c>
      <c r="L265" s="0" t="n">
        <v>2</v>
      </c>
      <c r="M265" s="10" t="n">
        <f aca="false">_xlfn.NUMBERVALUE("" &amp; K265 &amp; "",".",",")</f>
        <v>4.51344667833333</v>
      </c>
      <c r="N265" s="10"/>
      <c r="O265" s="0" t="str">
        <f aca="false">VLOOKUP(C265,statusdetails!$A:$D,4,0)</f>
        <v>READY</v>
      </c>
    </row>
    <row r="266" customFormat="false" ht="12.8" hidden="true" customHeight="false" outlineLevel="0" collapsed="false">
      <c r="A266" s="0" t="n">
        <v>466356</v>
      </c>
      <c r="B266" s="0" t="n">
        <v>466356</v>
      </c>
      <c r="C266" s="0" t="n">
        <v>1</v>
      </c>
      <c r="D266" s="0" t="n">
        <v>6</v>
      </c>
      <c r="E266" s="0" t="n">
        <v>586</v>
      </c>
      <c r="F266" s="0" t="n">
        <v>41</v>
      </c>
      <c r="G266" s="0" t="n">
        <v>87</v>
      </c>
      <c r="H266" s="0" t="s">
        <v>498</v>
      </c>
      <c r="I266" s="0" t="s">
        <v>562</v>
      </c>
      <c r="J266" s="9" t="n">
        <v>45901</v>
      </c>
      <c r="K266" s="0" t="s">
        <v>563</v>
      </c>
      <c r="L266" s="0" t="n">
        <v>2</v>
      </c>
      <c r="M266" s="10" t="n">
        <f aca="false">_xlfn.NUMBERVALUE("" &amp; K266 &amp; "",".",",")</f>
        <v>4.51465308055556</v>
      </c>
      <c r="N266" s="10"/>
      <c r="O266" s="0" t="str">
        <f aca="false">VLOOKUP(C266,statusdetails!$A:$D,4,0)</f>
        <v>READY</v>
      </c>
    </row>
    <row r="267" customFormat="false" ht="12.8" hidden="true" customHeight="false" outlineLevel="0" collapsed="false">
      <c r="A267" s="0" t="n">
        <v>466357</v>
      </c>
      <c r="B267" s="0" t="n">
        <v>466357</v>
      </c>
      <c r="C267" s="0" t="n">
        <v>1</v>
      </c>
      <c r="D267" s="0" t="n">
        <v>6</v>
      </c>
      <c r="E267" s="0" t="n">
        <v>372</v>
      </c>
      <c r="F267" s="0" t="n">
        <v>37</v>
      </c>
      <c r="G267" s="0" t="n">
        <v>40</v>
      </c>
      <c r="H267" s="0" t="s">
        <v>326</v>
      </c>
      <c r="I267" s="0" t="s">
        <v>564</v>
      </c>
      <c r="J267" s="9" t="n">
        <v>45901</v>
      </c>
      <c r="K267" s="0" t="s">
        <v>565</v>
      </c>
      <c r="L267" s="0" t="n">
        <v>2</v>
      </c>
      <c r="M267" s="10" t="n">
        <f aca="false">_xlfn.NUMBERVALUE("" &amp; K267 &amp; "",".",",")</f>
        <v>4.15709427722222</v>
      </c>
      <c r="N267" s="10"/>
      <c r="O267" s="0" t="str">
        <f aca="false">VLOOKUP(C267,statusdetails!$A:$D,4,0)</f>
        <v>READY</v>
      </c>
    </row>
    <row r="268" customFormat="false" ht="12.8" hidden="true" customHeight="false" outlineLevel="0" collapsed="false">
      <c r="A268" s="0" t="n">
        <v>466358</v>
      </c>
      <c r="B268" s="0" t="n">
        <v>466358</v>
      </c>
      <c r="C268" s="0" t="n">
        <v>1</v>
      </c>
      <c r="D268" s="0" t="n">
        <v>6</v>
      </c>
      <c r="E268" s="0" t="n">
        <v>811</v>
      </c>
      <c r="F268" s="0" t="n">
        <v>42</v>
      </c>
      <c r="G268" s="0" t="n">
        <v>35</v>
      </c>
      <c r="H268" s="0" t="s">
        <v>538</v>
      </c>
      <c r="I268" s="0" t="s">
        <v>566</v>
      </c>
      <c r="J268" s="9" t="n">
        <v>45901</v>
      </c>
      <c r="K268" s="0" t="s">
        <v>567</v>
      </c>
      <c r="L268" s="0" t="n">
        <v>2</v>
      </c>
      <c r="M268" s="10" t="n">
        <f aca="false">_xlfn.NUMBERVALUE("" &amp; K268 &amp; "",".",",")</f>
        <v>1.88231166666667</v>
      </c>
      <c r="N268" s="10"/>
      <c r="O268" s="0" t="str">
        <f aca="false">VLOOKUP(C268,statusdetails!$A:$D,4,0)</f>
        <v>READY</v>
      </c>
    </row>
    <row r="269" customFormat="false" ht="12.8" hidden="true" customHeight="false" outlineLevel="0" collapsed="false">
      <c r="A269" s="0" t="n">
        <v>466359</v>
      </c>
      <c r="B269" s="0" t="n">
        <v>466359</v>
      </c>
      <c r="C269" s="0" t="n">
        <v>2</v>
      </c>
      <c r="D269" s="0" t="n">
        <v>7</v>
      </c>
      <c r="E269" s="0" t="n">
        <v>2385</v>
      </c>
      <c r="F269" s="0" t="n">
        <v>82</v>
      </c>
      <c r="G269" s="0" t="n">
        <v>28</v>
      </c>
      <c r="H269" s="0" t="s">
        <v>522</v>
      </c>
      <c r="I269" s="0" t="s">
        <v>568</v>
      </c>
      <c r="J269" s="9" t="n">
        <v>45901</v>
      </c>
      <c r="K269" s="0" t="s">
        <v>569</v>
      </c>
      <c r="L269" s="0" t="n">
        <v>2</v>
      </c>
      <c r="M269" s="3" t="n">
        <f aca="false">_xlfn.NUMBERVALUE("" &amp; K269 &amp; "",".",",")</f>
        <v>0.352586373888889</v>
      </c>
      <c r="O269" s="0" t="str">
        <f aca="false">VLOOKUP(C269,statusdetails!$A:$D,4,0)</f>
        <v>DELAY</v>
      </c>
    </row>
    <row r="270" customFormat="false" ht="12.8" hidden="true" customHeight="false" outlineLevel="0" collapsed="false">
      <c r="A270" s="0" t="n">
        <v>466360</v>
      </c>
      <c r="B270" s="0" t="n">
        <v>466360</v>
      </c>
      <c r="C270" s="0" t="n">
        <v>2</v>
      </c>
      <c r="D270" s="0" t="n">
        <v>9</v>
      </c>
      <c r="E270" s="0" t="n">
        <v>2102</v>
      </c>
      <c r="F270" s="0" t="n">
        <v>35</v>
      </c>
      <c r="G270" s="0" t="n">
        <v>96</v>
      </c>
      <c r="H270" s="0" t="s">
        <v>488</v>
      </c>
      <c r="I270" s="0" t="s">
        <v>570</v>
      </c>
      <c r="J270" s="9" t="n">
        <v>45901</v>
      </c>
      <c r="K270" s="0" t="s">
        <v>571</v>
      </c>
      <c r="L270" s="0" t="n">
        <v>2</v>
      </c>
      <c r="M270" s="3" t="n">
        <f aca="false">_xlfn.NUMBERVALUE("" &amp; K270 &amp; "",".",",")</f>
        <v>0.346295917777778</v>
      </c>
      <c r="O270" s="0" t="str">
        <f aca="false">VLOOKUP(C270,statusdetails!$A:$D,4,0)</f>
        <v>DELAY</v>
      </c>
    </row>
    <row r="271" customFormat="false" ht="12.8" hidden="true" customHeight="false" outlineLevel="0" collapsed="false">
      <c r="A271" s="0" t="n">
        <v>466361</v>
      </c>
      <c r="B271" s="0" t="n">
        <v>466361</v>
      </c>
      <c r="C271" s="0" t="n">
        <v>2</v>
      </c>
      <c r="D271" s="0" t="n">
        <v>9</v>
      </c>
      <c r="E271" s="0" t="n">
        <v>2102</v>
      </c>
      <c r="F271" s="0" t="n">
        <v>66</v>
      </c>
      <c r="G271" s="0" t="n">
        <v>85</v>
      </c>
      <c r="H271" s="0" t="s">
        <v>542</v>
      </c>
      <c r="I271" s="0" t="s">
        <v>572</v>
      </c>
      <c r="J271" s="9" t="n">
        <v>45901</v>
      </c>
      <c r="K271" s="0" t="s">
        <v>573</v>
      </c>
      <c r="L271" s="0" t="n">
        <v>2</v>
      </c>
      <c r="M271" s="3" t="n">
        <f aca="false">_xlfn.NUMBERVALUE("" &amp; K271 &amp; "",".",",")</f>
        <v>0.327225090277778</v>
      </c>
      <c r="O271" s="0" t="str">
        <f aca="false">VLOOKUP(C271,statusdetails!$A:$D,4,0)</f>
        <v>DELAY</v>
      </c>
    </row>
    <row r="272" customFormat="false" ht="12.8" hidden="true" customHeight="false" outlineLevel="0" collapsed="false">
      <c r="A272" s="0" t="n">
        <v>466362</v>
      </c>
      <c r="B272" s="0" t="n">
        <v>466362</v>
      </c>
      <c r="C272" s="0" t="n">
        <v>1</v>
      </c>
      <c r="D272" s="0" t="n">
        <v>6</v>
      </c>
      <c r="E272" s="0" t="n">
        <v>260</v>
      </c>
      <c r="F272" s="0" t="n">
        <v>35</v>
      </c>
      <c r="G272" s="0" t="n">
        <v>96</v>
      </c>
      <c r="H272" s="0" t="s">
        <v>570</v>
      </c>
      <c r="I272" s="0" t="s">
        <v>574</v>
      </c>
      <c r="J272" s="9" t="n">
        <v>45901</v>
      </c>
      <c r="K272" s="0" t="s">
        <v>575</v>
      </c>
      <c r="L272" s="0" t="n">
        <v>3</v>
      </c>
      <c r="M272" s="10" t="n">
        <f aca="false">_xlfn.NUMBERVALUE("" &amp; K272 &amp; "",".",",")</f>
        <v>0.482341723055556</v>
      </c>
      <c r="N272" s="10"/>
      <c r="O272" s="0" t="str">
        <f aca="false">VLOOKUP(C272,statusdetails!$A:$D,4,0)</f>
        <v>READY</v>
      </c>
    </row>
    <row r="273" customFormat="false" ht="12.8" hidden="true" customHeight="false" outlineLevel="0" collapsed="false">
      <c r="A273" s="0" t="n">
        <v>466363</v>
      </c>
      <c r="B273" s="0" t="n">
        <v>466363</v>
      </c>
      <c r="C273" s="0" t="n">
        <v>1</v>
      </c>
      <c r="D273" s="0" t="n">
        <v>2303</v>
      </c>
      <c r="E273" s="0" t="n">
        <v>2517</v>
      </c>
      <c r="F273" s="0" t="n">
        <v>82</v>
      </c>
      <c r="G273" s="0" t="n">
        <v>28</v>
      </c>
      <c r="H273" s="0" t="s">
        <v>568</v>
      </c>
      <c r="I273" s="0" t="s">
        <v>576</v>
      </c>
      <c r="J273" s="9" t="n">
        <v>45901</v>
      </c>
      <c r="K273" s="0" t="s">
        <v>577</v>
      </c>
      <c r="L273" s="0" t="n">
        <v>3</v>
      </c>
      <c r="M273" s="10" t="n">
        <f aca="false">_xlfn.NUMBERVALUE("" &amp; K273 &amp; "",".",",")</f>
        <v>0.509291506111111</v>
      </c>
      <c r="N273" s="10"/>
      <c r="O273" s="0" t="str">
        <f aca="false">VLOOKUP(C273,statusdetails!$A:$D,4,0)</f>
        <v>READY</v>
      </c>
    </row>
    <row r="274" customFormat="false" ht="12.8" hidden="true" customHeight="false" outlineLevel="0" collapsed="false">
      <c r="A274" s="0" t="n">
        <v>466364</v>
      </c>
      <c r="B274" s="0" t="n">
        <v>466364</v>
      </c>
      <c r="C274" s="0" t="n">
        <v>1</v>
      </c>
      <c r="D274" s="0" t="n">
        <v>6</v>
      </c>
      <c r="E274" s="0" t="n">
        <v>260</v>
      </c>
      <c r="F274" s="0" t="n">
        <v>66</v>
      </c>
      <c r="G274" s="0" t="n">
        <v>112</v>
      </c>
      <c r="H274" s="0" t="s">
        <v>572</v>
      </c>
      <c r="I274" s="0" t="s">
        <v>578</v>
      </c>
      <c r="J274" s="9" t="n">
        <v>45901</v>
      </c>
      <c r="K274" s="0" t="s">
        <v>579</v>
      </c>
      <c r="L274" s="0" t="n">
        <v>3</v>
      </c>
      <c r="M274" s="10" t="n">
        <f aca="false">_xlfn.NUMBERVALUE("" &amp; K274 &amp; "",".",",")</f>
        <v>0.379318888888889</v>
      </c>
      <c r="N274" s="10"/>
      <c r="O274" s="0" t="str">
        <f aca="false">VLOOKUP(C274,statusdetails!$A:$D,4,0)</f>
        <v>READY</v>
      </c>
    </row>
    <row r="275" customFormat="false" ht="12.8" hidden="true" customHeight="false" outlineLevel="0" collapsed="false">
      <c r="A275" s="0" t="n">
        <v>466365</v>
      </c>
      <c r="B275" s="0" t="n">
        <v>466365</v>
      </c>
      <c r="C275" s="0" t="n">
        <v>1</v>
      </c>
      <c r="D275" s="0" t="n">
        <v>6</v>
      </c>
      <c r="E275" s="0" t="n">
        <v>2404</v>
      </c>
      <c r="F275" s="0" t="n">
        <v>84</v>
      </c>
      <c r="G275" s="0" t="n">
        <v>4</v>
      </c>
      <c r="H275" s="0" t="s">
        <v>548</v>
      </c>
      <c r="I275" s="0" t="s">
        <v>580</v>
      </c>
      <c r="J275" s="9" t="n">
        <v>45901</v>
      </c>
      <c r="K275" s="0" t="s">
        <v>581</v>
      </c>
      <c r="L275" s="0" t="n">
        <v>3</v>
      </c>
      <c r="M275" s="10" t="n">
        <f aca="false">_xlfn.NUMBERVALUE("" &amp; K275 &amp; "",".",",")</f>
        <v>2.08700385888889</v>
      </c>
      <c r="N275" s="10"/>
      <c r="O275" s="0" t="str">
        <f aca="false">VLOOKUP(C275,statusdetails!$A:$D,4,0)</f>
        <v>READY</v>
      </c>
    </row>
    <row r="276" customFormat="false" ht="12.8" hidden="true" customHeight="false" outlineLevel="0" collapsed="false">
      <c r="A276" s="0" t="n">
        <v>466366</v>
      </c>
      <c r="B276" s="0" t="n">
        <v>466366</v>
      </c>
      <c r="C276" s="0" t="n">
        <v>1</v>
      </c>
      <c r="D276" s="0" t="n">
        <v>6</v>
      </c>
      <c r="E276" s="0" t="n">
        <v>372</v>
      </c>
      <c r="F276" s="0" t="n">
        <v>91</v>
      </c>
      <c r="G276" s="0" t="n">
        <v>0</v>
      </c>
      <c r="H276" s="0" t="s">
        <v>534</v>
      </c>
      <c r="I276" s="0" t="s">
        <v>582</v>
      </c>
      <c r="J276" s="9" t="n">
        <v>45901</v>
      </c>
      <c r="K276" s="0" t="s">
        <v>583</v>
      </c>
      <c r="L276" s="0" t="n">
        <v>3</v>
      </c>
      <c r="M276" s="10" t="n">
        <f aca="false">_xlfn.NUMBERVALUE("" &amp; K276 &amp; "",".",",")</f>
        <v>3.46678456555556</v>
      </c>
      <c r="N276" s="10"/>
      <c r="O276" s="0" t="str">
        <f aca="false">VLOOKUP(C276,statusdetails!$A:$D,4,0)</f>
        <v>READY</v>
      </c>
    </row>
    <row r="277" customFormat="false" ht="12.8" hidden="true" customHeight="false" outlineLevel="0" collapsed="false">
      <c r="A277" s="0" t="n">
        <v>466367</v>
      </c>
      <c r="B277" s="0" t="n">
        <v>466367</v>
      </c>
      <c r="C277" s="0" t="n">
        <v>2</v>
      </c>
      <c r="D277" s="0" t="n">
        <v>9</v>
      </c>
      <c r="E277" s="0" t="n">
        <v>2102</v>
      </c>
      <c r="F277" s="0" t="n">
        <v>66</v>
      </c>
      <c r="G277" s="0" t="n">
        <v>112</v>
      </c>
      <c r="H277" s="0" t="s">
        <v>578</v>
      </c>
      <c r="I277" s="0" t="s">
        <v>584</v>
      </c>
      <c r="J277" s="9" t="n">
        <v>45901</v>
      </c>
      <c r="K277" s="0" t="s">
        <v>585</v>
      </c>
      <c r="L277" s="0" t="n">
        <v>3</v>
      </c>
      <c r="M277" s="3" t="n">
        <f aca="false">_xlfn.NUMBERVALUE("" &amp; K277 &amp; "",".",",")</f>
        <v>0.192948241944444</v>
      </c>
      <c r="O277" s="0" t="str">
        <f aca="false">VLOOKUP(C277,statusdetails!$A:$D,4,0)</f>
        <v>DELAY</v>
      </c>
    </row>
    <row r="278" customFormat="false" ht="12.8" hidden="true" customHeight="false" outlineLevel="0" collapsed="false">
      <c r="A278" s="0" t="n">
        <v>466368</v>
      </c>
      <c r="B278" s="0" t="n">
        <v>466368</v>
      </c>
      <c r="C278" s="0" t="n">
        <v>2</v>
      </c>
      <c r="D278" s="0" t="n">
        <v>9</v>
      </c>
      <c r="E278" s="0" t="n">
        <v>2635</v>
      </c>
      <c r="F278" s="0" t="n">
        <v>35</v>
      </c>
      <c r="G278" s="0" t="n">
        <v>96</v>
      </c>
      <c r="H278" s="0" t="s">
        <v>574</v>
      </c>
      <c r="I278" s="0" t="s">
        <v>586</v>
      </c>
      <c r="J278" s="9" t="n">
        <v>45901</v>
      </c>
      <c r="K278" s="0" t="s">
        <v>587</v>
      </c>
      <c r="L278" s="0" t="n">
        <v>3</v>
      </c>
      <c r="M278" s="3" t="n">
        <f aca="false">_xlfn.NUMBERVALUE("" &amp; K278 &amp; "",".",",")</f>
        <v>0.135838493055556</v>
      </c>
      <c r="O278" s="0" t="str">
        <f aca="false">VLOOKUP(C278,statusdetails!$A:$D,4,0)</f>
        <v>DELAY</v>
      </c>
    </row>
    <row r="279" customFormat="false" ht="12.8" hidden="true" customHeight="false" outlineLevel="0" collapsed="false">
      <c r="A279" s="0" t="n">
        <v>466369</v>
      </c>
      <c r="B279" s="0" t="n">
        <v>466369</v>
      </c>
      <c r="C279" s="0" t="n">
        <v>2</v>
      </c>
      <c r="D279" s="0" t="n">
        <v>9</v>
      </c>
      <c r="E279" s="0" t="n">
        <v>2388</v>
      </c>
      <c r="F279" s="0" t="n">
        <v>82</v>
      </c>
      <c r="G279" s="0" t="n">
        <v>28</v>
      </c>
      <c r="H279" s="0" t="s">
        <v>576</v>
      </c>
      <c r="I279" s="0" t="s">
        <v>588</v>
      </c>
      <c r="J279" s="9" t="n">
        <v>45901</v>
      </c>
      <c r="K279" s="0" t="s">
        <v>589</v>
      </c>
      <c r="L279" s="0" t="n">
        <v>3</v>
      </c>
      <c r="M279" s="3" t="n">
        <f aca="false">_xlfn.NUMBERVALUE("" &amp; K279 &amp; "",".",",")</f>
        <v>0.0958589469444445</v>
      </c>
      <c r="O279" s="0" t="str">
        <f aca="false">VLOOKUP(C279,statusdetails!$A:$D,4,0)</f>
        <v>DELAY</v>
      </c>
    </row>
    <row r="280" customFormat="false" ht="12.8" hidden="true" customHeight="false" outlineLevel="0" collapsed="false">
      <c r="A280" s="0" t="n">
        <v>466370</v>
      </c>
      <c r="B280" s="0" t="n">
        <v>466370</v>
      </c>
      <c r="C280" s="0" t="n">
        <v>1</v>
      </c>
      <c r="D280" s="0" t="n">
        <v>6</v>
      </c>
      <c r="E280" s="0" t="n">
        <v>2518</v>
      </c>
      <c r="F280" s="0" t="n">
        <v>82</v>
      </c>
      <c r="G280" s="0" t="n">
        <v>28</v>
      </c>
      <c r="H280" s="0" t="s">
        <v>588</v>
      </c>
      <c r="I280" s="0" t="s">
        <v>590</v>
      </c>
      <c r="J280" s="9" t="n">
        <v>45901</v>
      </c>
      <c r="K280" s="0" t="s">
        <v>591</v>
      </c>
      <c r="L280" s="0" t="n">
        <v>3</v>
      </c>
      <c r="M280" s="10" t="n">
        <f aca="false">_xlfn.NUMBERVALUE("" &amp; K280 &amp; "",".",",")</f>
        <v>0.570214885</v>
      </c>
      <c r="N280" s="10"/>
      <c r="O280" s="0" t="str">
        <f aca="false">VLOOKUP(C280,statusdetails!$A:$D,4,0)</f>
        <v>READY</v>
      </c>
    </row>
    <row r="281" customFormat="false" ht="12.8" hidden="true" customHeight="false" outlineLevel="0" collapsed="false">
      <c r="A281" s="0" t="n">
        <v>466371</v>
      </c>
      <c r="B281" s="0" t="n">
        <v>466371</v>
      </c>
      <c r="C281" s="0" t="n">
        <v>1</v>
      </c>
      <c r="D281" s="0" t="n">
        <v>6</v>
      </c>
      <c r="E281" s="0" t="n">
        <v>260</v>
      </c>
      <c r="F281" s="0" t="n">
        <v>66</v>
      </c>
      <c r="G281" s="0" t="n">
        <v>112</v>
      </c>
      <c r="H281" s="0" t="s">
        <v>584</v>
      </c>
      <c r="I281" s="0" t="s">
        <v>592</v>
      </c>
      <c r="J281" s="9" t="n">
        <v>45901</v>
      </c>
      <c r="K281" s="0" t="s">
        <v>593</v>
      </c>
      <c r="L281" s="0" t="n">
        <v>3</v>
      </c>
      <c r="M281" s="10" t="n">
        <f aca="false">_xlfn.NUMBERVALUE("" &amp; K281 &amp; "",".",",")</f>
        <v>0.486851706388889</v>
      </c>
      <c r="N281" s="10"/>
      <c r="O281" s="0" t="str">
        <f aca="false">VLOOKUP(C281,statusdetails!$A:$D,4,0)</f>
        <v>READY</v>
      </c>
    </row>
    <row r="282" customFormat="false" ht="12.8" hidden="true" customHeight="false" outlineLevel="0" collapsed="false">
      <c r="A282" s="0" t="n">
        <v>466372</v>
      </c>
      <c r="B282" s="0" t="n">
        <v>466372</v>
      </c>
      <c r="C282" s="0" t="n">
        <v>1</v>
      </c>
      <c r="D282" s="0" t="n">
        <v>6</v>
      </c>
      <c r="E282" s="0" t="n">
        <v>260</v>
      </c>
      <c r="F282" s="0" t="n">
        <v>35</v>
      </c>
      <c r="G282" s="0" t="n">
        <v>96</v>
      </c>
      <c r="H282" s="0" t="s">
        <v>586</v>
      </c>
      <c r="I282" s="0" t="s">
        <v>594</v>
      </c>
      <c r="J282" s="9" t="n">
        <v>45901</v>
      </c>
      <c r="K282" s="0" t="s">
        <v>595</v>
      </c>
      <c r="L282" s="0" t="n">
        <v>3</v>
      </c>
      <c r="M282" s="10" t="n">
        <f aca="false">_xlfn.NUMBERVALUE("" &amp; K282 &amp; "",".",",")</f>
        <v>0.557758271666667</v>
      </c>
      <c r="N282" s="10"/>
      <c r="O282" s="0" t="str">
        <f aca="false">VLOOKUP(C282,statusdetails!$A:$D,4,0)</f>
        <v>READY</v>
      </c>
    </row>
    <row r="283" customFormat="false" ht="12.8" hidden="true" customHeight="false" outlineLevel="0" collapsed="false">
      <c r="A283" s="0" t="n">
        <v>466373</v>
      </c>
      <c r="B283" s="0" t="n">
        <v>466373</v>
      </c>
      <c r="C283" s="0" t="n">
        <v>3</v>
      </c>
      <c r="D283" s="0" t="n">
        <v>12</v>
      </c>
      <c r="E283" s="0" t="n">
        <v>2504</v>
      </c>
      <c r="F283" s="0" t="n">
        <v>85</v>
      </c>
      <c r="G283" s="0" t="n">
        <v>0</v>
      </c>
      <c r="H283" s="0" t="s">
        <v>458</v>
      </c>
      <c r="I283" s="0" t="s">
        <v>596</v>
      </c>
      <c r="J283" s="9" t="n">
        <v>45901</v>
      </c>
      <c r="K283" s="0" t="s">
        <v>597</v>
      </c>
      <c r="L283" s="0" t="n">
        <v>3</v>
      </c>
      <c r="M283" s="10" t="n">
        <f aca="false">_xlfn.NUMBERVALUE("" &amp; K283 &amp; "",".",",")</f>
        <v>1.60855771527778</v>
      </c>
      <c r="N283" s="10"/>
      <c r="O283" s="0" t="str">
        <f aca="false">VLOOKUP(C283,statusdetails!$A:$D,4,0)</f>
        <v>STANDBY</v>
      </c>
      <c r="P283" s="0" t="str">
        <f aca="false">VLOOKUP(F283,equipment!$A:$E,4,0)</f>
        <v>CM02</v>
      </c>
      <c r="Q283" s="0" t="str">
        <f aca="false">VLOOKUP(F283,equipment!$A:$E,5,0)</f>
        <v>CM02 - 85</v>
      </c>
    </row>
    <row r="284" customFormat="false" ht="12.8" hidden="true" customHeight="false" outlineLevel="0" collapsed="false">
      <c r="A284" s="0" t="n">
        <v>466374</v>
      </c>
      <c r="B284" s="0" t="n">
        <v>466374</v>
      </c>
      <c r="C284" s="0" t="n">
        <v>2</v>
      </c>
      <c r="D284" s="0" t="n">
        <v>9</v>
      </c>
      <c r="E284" s="0" t="n">
        <v>2568</v>
      </c>
      <c r="F284" s="0" t="n">
        <v>66</v>
      </c>
      <c r="G284" s="0" t="n">
        <v>112</v>
      </c>
      <c r="H284" s="0" t="s">
        <v>592</v>
      </c>
      <c r="I284" s="0" t="s">
        <v>598</v>
      </c>
      <c r="J284" s="9" t="n">
        <v>45901</v>
      </c>
      <c r="K284" s="0" t="s">
        <v>599</v>
      </c>
      <c r="L284" s="0" t="n">
        <v>4</v>
      </c>
      <c r="M284" s="3" t="n">
        <f aca="false">_xlfn.NUMBERVALUE("" &amp; K284 &amp; "",".",",")</f>
        <v>0.258806162777778</v>
      </c>
      <c r="O284" s="0" t="str">
        <f aca="false">VLOOKUP(C284,statusdetails!$A:$D,4,0)</f>
        <v>DELAY</v>
      </c>
    </row>
    <row r="285" customFormat="false" ht="12.8" hidden="true" customHeight="false" outlineLevel="0" collapsed="false">
      <c r="A285" s="0" t="n">
        <v>466375</v>
      </c>
      <c r="B285" s="0" t="n">
        <v>466375</v>
      </c>
      <c r="C285" s="0" t="n">
        <v>4</v>
      </c>
      <c r="D285" s="0" t="n">
        <v>16</v>
      </c>
      <c r="E285" s="0" t="n">
        <v>1042</v>
      </c>
      <c r="F285" s="0" t="n">
        <v>47</v>
      </c>
      <c r="G285" s="0" t="n">
        <v>103</v>
      </c>
      <c r="H285" s="0" t="s">
        <v>494</v>
      </c>
      <c r="I285" s="0" t="s">
        <v>600</v>
      </c>
      <c r="J285" s="9" t="n">
        <v>45901</v>
      </c>
      <c r="K285" s="0" t="s">
        <v>601</v>
      </c>
      <c r="L285" s="0" t="n">
        <v>4</v>
      </c>
      <c r="M285" s="10" t="n">
        <f aca="false">_xlfn.NUMBERVALUE("" &amp; K285 &amp; "",".",",")</f>
        <v>0.279305209722222</v>
      </c>
      <c r="N285" s="10"/>
      <c r="O285" s="0" t="str">
        <f aca="false">VLOOKUP(C285,statusdetails!$A:$D,4,0)</f>
        <v>MAINT</v>
      </c>
    </row>
    <row r="286" customFormat="false" ht="12.8" hidden="true" customHeight="false" outlineLevel="0" collapsed="false">
      <c r="A286" s="0" t="n">
        <v>466376</v>
      </c>
      <c r="B286" s="0" t="n">
        <v>466376</v>
      </c>
      <c r="C286" s="0" t="n">
        <v>2</v>
      </c>
      <c r="D286" s="0" t="n">
        <v>9</v>
      </c>
      <c r="E286" s="0" t="n">
        <v>2568</v>
      </c>
      <c r="F286" s="0" t="n">
        <v>35</v>
      </c>
      <c r="G286" s="0" t="n">
        <v>96</v>
      </c>
      <c r="H286" s="0" t="s">
        <v>594</v>
      </c>
      <c r="I286" s="0" t="s">
        <v>602</v>
      </c>
      <c r="J286" s="9" t="n">
        <v>45901</v>
      </c>
      <c r="K286" s="0" t="s">
        <v>603</v>
      </c>
      <c r="L286" s="0" t="n">
        <v>4</v>
      </c>
      <c r="M286" s="3" t="n">
        <f aca="false">_xlfn.NUMBERVALUE("" &amp; K286 &amp; "",".",",")</f>
        <v>0.205491718055556</v>
      </c>
      <c r="O286" s="0" t="str">
        <f aca="false">VLOOKUP(C286,statusdetails!$A:$D,4,0)</f>
        <v>DELAY</v>
      </c>
    </row>
    <row r="287" customFormat="false" ht="12.8" hidden="true" customHeight="false" outlineLevel="0" collapsed="false">
      <c r="A287" s="0" t="n">
        <v>466377</v>
      </c>
      <c r="B287" s="0" t="n">
        <v>466377</v>
      </c>
      <c r="C287" s="0" t="n">
        <v>2</v>
      </c>
      <c r="D287" s="0" t="n">
        <v>9</v>
      </c>
      <c r="E287" s="0" t="n">
        <v>2399</v>
      </c>
      <c r="F287" s="0" t="n">
        <v>82</v>
      </c>
      <c r="G287" s="0" t="n">
        <v>28</v>
      </c>
      <c r="H287" s="0" t="s">
        <v>590</v>
      </c>
      <c r="I287" s="0" t="s">
        <v>604</v>
      </c>
      <c r="J287" s="9" t="n">
        <v>45901</v>
      </c>
      <c r="K287" s="0" t="s">
        <v>605</v>
      </c>
      <c r="L287" s="0" t="n">
        <v>4</v>
      </c>
      <c r="M287" s="3" t="n">
        <f aca="false">_xlfn.NUMBERVALUE("" &amp; K287 &amp; "",".",",")</f>
        <v>0.206096912222222</v>
      </c>
      <c r="O287" s="0" t="str">
        <f aca="false">VLOOKUP(C287,statusdetails!$A:$D,4,0)</f>
        <v>DELAY</v>
      </c>
    </row>
    <row r="288" customFormat="false" ht="12.8" hidden="true" customHeight="false" outlineLevel="0" collapsed="false">
      <c r="A288" s="0" t="n">
        <v>466378</v>
      </c>
      <c r="B288" s="0" t="n">
        <v>466378</v>
      </c>
      <c r="C288" s="0" t="n">
        <v>4</v>
      </c>
      <c r="D288" s="0" t="n">
        <v>16</v>
      </c>
      <c r="E288" s="0" t="n">
        <v>365</v>
      </c>
      <c r="F288" s="0" t="n">
        <v>32</v>
      </c>
      <c r="G288" s="0" t="n">
        <v>0</v>
      </c>
      <c r="H288" s="0" t="s">
        <v>358</v>
      </c>
      <c r="I288" s="0" t="s">
        <v>606</v>
      </c>
      <c r="J288" s="9" t="n">
        <v>45901</v>
      </c>
      <c r="K288" s="0" t="s">
        <v>607</v>
      </c>
      <c r="L288" s="0" t="n">
        <v>4</v>
      </c>
      <c r="M288" s="10" t="n">
        <f aca="false">_xlfn.NUMBERVALUE("" &amp; K288 &amp; "",".",",")</f>
        <v>9.17998937277778</v>
      </c>
      <c r="N288" s="10"/>
      <c r="O288" s="0" t="str">
        <f aca="false">VLOOKUP(C288,statusdetails!$A:$D,4,0)</f>
        <v>MAINT</v>
      </c>
    </row>
    <row r="289" customFormat="false" ht="12.8" hidden="true" customHeight="false" outlineLevel="0" collapsed="false">
      <c r="A289" s="0" t="n">
        <v>466379</v>
      </c>
      <c r="B289" s="0" t="n">
        <v>466379</v>
      </c>
      <c r="C289" s="0" t="n">
        <v>1</v>
      </c>
      <c r="D289" s="0" t="n">
        <v>6</v>
      </c>
      <c r="E289" s="0" t="n">
        <v>260</v>
      </c>
      <c r="F289" s="0" t="n">
        <v>66</v>
      </c>
      <c r="G289" s="0" t="n">
        <v>112</v>
      </c>
      <c r="H289" s="0" t="s">
        <v>598</v>
      </c>
      <c r="I289" s="0" t="s">
        <v>608</v>
      </c>
      <c r="J289" s="9" t="n">
        <v>45901</v>
      </c>
      <c r="K289" s="0" t="s">
        <v>609</v>
      </c>
      <c r="L289" s="0" t="n">
        <v>4</v>
      </c>
      <c r="M289" s="10" t="n">
        <f aca="false">_xlfn.NUMBERVALUE("" &amp; K289 &amp; "",".",",")</f>
        <v>0.195655277777778</v>
      </c>
      <c r="N289" s="10"/>
      <c r="O289" s="0" t="str">
        <f aca="false">VLOOKUP(C289,statusdetails!$A:$D,4,0)</f>
        <v>READY</v>
      </c>
    </row>
    <row r="290" customFormat="false" ht="12.8" hidden="true" customHeight="false" outlineLevel="0" collapsed="false">
      <c r="A290" s="0" t="n">
        <v>466380</v>
      </c>
      <c r="B290" s="0" t="n">
        <v>466380</v>
      </c>
      <c r="C290" s="0" t="n">
        <v>1</v>
      </c>
      <c r="D290" s="0" t="n">
        <v>6</v>
      </c>
      <c r="E290" s="0" t="n">
        <v>260</v>
      </c>
      <c r="F290" s="0" t="n">
        <v>34</v>
      </c>
      <c r="G290" s="0" t="n">
        <v>116</v>
      </c>
      <c r="H290" s="0" t="s">
        <v>382</v>
      </c>
      <c r="I290" s="0" t="s">
        <v>610</v>
      </c>
      <c r="J290" s="9" t="n">
        <v>45901</v>
      </c>
      <c r="K290" s="0" t="s">
        <v>611</v>
      </c>
      <c r="L290" s="0" t="n">
        <v>4</v>
      </c>
      <c r="M290" s="10" t="n">
        <f aca="false">_xlfn.NUMBERVALUE("" &amp; K290 &amp; "",".",",")</f>
        <v>1.58540166666667</v>
      </c>
      <c r="N290" s="10"/>
      <c r="O290" s="0" t="str">
        <f aca="false">VLOOKUP(C290,statusdetails!$A:$D,4,0)</f>
        <v>READY</v>
      </c>
    </row>
    <row r="291" customFormat="false" ht="12.8" hidden="true" customHeight="false" outlineLevel="0" collapsed="false">
      <c r="A291" s="0" t="n">
        <v>466381</v>
      </c>
      <c r="B291" s="0" t="n">
        <v>466381</v>
      </c>
      <c r="C291" s="0" t="n">
        <v>1</v>
      </c>
      <c r="D291" s="0" t="n">
        <v>6</v>
      </c>
      <c r="E291" s="0" t="n">
        <v>1397</v>
      </c>
      <c r="F291" s="0" t="n">
        <v>60</v>
      </c>
      <c r="G291" s="0" t="n">
        <v>163</v>
      </c>
      <c r="H291" s="0" t="s">
        <v>528</v>
      </c>
      <c r="I291" s="0" t="s">
        <v>612</v>
      </c>
      <c r="J291" s="9" t="n">
        <v>45901</v>
      </c>
      <c r="K291" s="0" t="s">
        <v>613</v>
      </c>
      <c r="L291" s="0" t="n">
        <v>4</v>
      </c>
      <c r="M291" s="10" t="n">
        <f aca="false">_xlfn.NUMBERVALUE("" &amp; K291 &amp; "",".",",")</f>
        <v>2.39322187361111</v>
      </c>
      <c r="N291" s="10"/>
      <c r="O291" s="0" t="str">
        <f aca="false">VLOOKUP(C291,statusdetails!$A:$D,4,0)</f>
        <v>READY</v>
      </c>
    </row>
    <row r="292" customFormat="false" ht="12.8" hidden="true" customHeight="false" outlineLevel="0" collapsed="false">
      <c r="A292" s="0" t="n">
        <v>466382</v>
      </c>
      <c r="B292" s="0" t="n">
        <v>466382</v>
      </c>
      <c r="C292" s="0" t="n">
        <v>1</v>
      </c>
      <c r="D292" s="0" t="n">
        <v>6</v>
      </c>
      <c r="E292" s="0" t="n">
        <v>260</v>
      </c>
      <c r="F292" s="0" t="n">
        <v>35</v>
      </c>
      <c r="G292" s="0" t="n">
        <v>96</v>
      </c>
      <c r="H292" s="0" t="s">
        <v>602</v>
      </c>
      <c r="I292" s="0" t="s">
        <v>614</v>
      </c>
      <c r="J292" s="9" t="n">
        <v>45901</v>
      </c>
      <c r="K292" s="0" t="s">
        <v>615</v>
      </c>
      <c r="L292" s="0" t="n">
        <v>4</v>
      </c>
      <c r="M292" s="10" t="n">
        <f aca="false">_xlfn.NUMBERVALUE("" &amp; K292 &amp; "",".",",")</f>
        <v>0.336968834722222</v>
      </c>
      <c r="N292" s="10"/>
      <c r="O292" s="0" t="str">
        <f aca="false">VLOOKUP(C292,statusdetails!$A:$D,4,0)</f>
        <v>READY</v>
      </c>
    </row>
    <row r="293" customFormat="false" ht="12.8" hidden="true" customHeight="false" outlineLevel="0" collapsed="false">
      <c r="A293" s="0" t="n">
        <v>466383</v>
      </c>
      <c r="B293" s="0" t="n">
        <v>466383</v>
      </c>
      <c r="C293" s="0" t="n">
        <v>1</v>
      </c>
      <c r="D293" s="0" t="n">
        <v>6</v>
      </c>
      <c r="E293" s="0" t="n">
        <v>2518</v>
      </c>
      <c r="F293" s="0" t="n">
        <v>82</v>
      </c>
      <c r="G293" s="0" t="n">
        <v>28</v>
      </c>
      <c r="H293" s="0" t="s">
        <v>604</v>
      </c>
      <c r="I293" s="0" t="s">
        <v>616</v>
      </c>
      <c r="J293" s="9" t="n">
        <v>45901</v>
      </c>
      <c r="K293" s="0" t="s">
        <v>617</v>
      </c>
      <c r="L293" s="0" t="n">
        <v>4</v>
      </c>
      <c r="M293" s="10" t="n">
        <f aca="false">_xlfn.NUMBERVALUE("" &amp; K293 &amp; "",".",",")</f>
        <v>0.5732955525</v>
      </c>
      <c r="N293" s="10"/>
      <c r="O293" s="0" t="str">
        <f aca="false">VLOOKUP(C293,statusdetails!$A:$D,4,0)</f>
        <v>READY</v>
      </c>
    </row>
    <row r="294" customFormat="false" ht="12.8" hidden="true" customHeight="false" outlineLevel="0" collapsed="false">
      <c r="A294" s="0" t="n">
        <v>466384</v>
      </c>
      <c r="B294" s="0" t="n">
        <v>466384</v>
      </c>
      <c r="C294" s="0" t="n">
        <v>1</v>
      </c>
      <c r="D294" s="0" t="n">
        <v>6</v>
      </c>
      <c r="E294" s="0" t="n">
        <v>1040</v>
      </c>
      <c r="F294" s="0" t="n">
        <v>47</v>
      </c>
      <c r="G294" s="0" t="n">
        <v>103</v>
      </c>
      <c r="H294" s="0" t="s">
        <v>600</v>
      </c>
      <c r="I294" s="0" t="s">
        <v>618</v>
      </c>
      <c r="J294" s="9" t="n">
        <v>45901</v>
      </c>
      <c r="K294" s="0" t="s">
        <v>619</v>
      </c>
      <c r="L294" s="0" t="n">
        <v>4</v>
      </c>
      <c r="M294" s="10" t="n">
        <f aca="false">_xlfn.NUMBERVALUE("" &amp; K294 &amp; "",".",",")</f>
        <v>1.92895132361111</v>
      </c>
      <c r="N294" s="10"/>
      <c r="O294" s="0" t="str">
        <f aca="false">VLOOKUP(C294,statusdetails!$A:$D,4,0)</f>
        <v>READY</v>
      </c>
    </row>
    <row r="295" customFormat="false" ht="12.8" hidden="true" customHeight="false" outlineLevel="0" collapsed="false">
      <c r="A295" s="0" t="n">
        <v>466385</v>
      </c>
      <c r="B295" s="0" t="n">
        <v>466385</v>
      </c>
      <c r="C295" s="0" t="n">
        <v>3</v>
      </c>
      <c r="D295" s="0" t="n">
        <v>14</v>
      </c>
      <c r="E295" s="0" t="n">
        <v>1159</v>
      </c>
      <c r="F295" s="0" t="n">
        <v>42</v>
      </c>
      <c r="G295" s="0" t="n">
        <v>35</v>
      </c>
      <c r="H295" s="0" t="s">
        <v>566</v>
      </c>
      <c r="I295" s="0" t="s">
        <v>620</v>
      </c>
      <c r="J295" s="9" t="n">
        <v>45901</v>
      </c>
      <c r="K295" s="0" t="s">
        <v>621</v>
      </c>
      <c r="L295" s="0" t="n">
        <v>4</v>
      </c>
      <c r="M295" s="10" t="n">
        <f aca="false">_xlfn.NUMBERVALUE("" &amp; K295 &amp; "",".",",")</f>
        <v>0.183458055555556</v>
      </c>
      <c r="N295" s="10"/>
      <c r="O295" s="0" t="str">
        <f aca="false">VLOOKUP(C295,statusdetails!$A:$D,4,0)</f>
        <v>STANDBY</v>
      </c>
      <c r="P295" s="0" t="str">
        <f aca="false">VLOOKUP(F295,equipment!$A:$E,4,0)</f>
        <v>PE301</v>
      </c>
      <c r="Q295" s="0" t="str">
        <f aca="false">VLOOKUP(F295,equipment!$A:$E,5,0)</f>
        <v>PE301 - 42</v>
      </c>
    </row>
    <row r="296" customFormat="false" ht="12.8" hidden="true" customHeight="false" outlineLevel="0" collapsed="false">
      <c r="A296" s="0" t="n">
        <v>466386</v>
      </c>
      <c r="B296" s="0" t="n">
        <v>466386</v>
      </c>
      <c r="C296" s="0" t="n">
        <v>2</v>
      </c>
      <c r="D296" s="0" t="n">
        <v>9</v>
      </c>
      <c r="E296" s="0" t="n">
        <v>2515</v>
      </c>
      <c r="F296" s="0" t="n">
        <v>88</v>
      </c>
      <c r="G296" s="0" t="n">
        <v>131</v>
      </c>
      <c r="H296" s="0" t="s">
        <v>556</v>
      </c>
      <c r="I296" s="0" t="s">
        <v>622</v>
      </c>
      <c r="J296" s="9" t="n">
        <v>45901</v>
      </c>
      <c r="K296" s="0" t="s">
        <v>623</v>
      </c>
      <c r="L296" s="0" t="n">
        <v>4</v>
      </c>
      <c r="M296" s="3" t="n">
        <f aca="false">_xlfn.NUMBERVALUE("" &amp; K296 &amp; "",".",",")</f>
        <v>0.053035235</v>
      </c>
      <c r="O296" s="0" t="str">
        <f aca="false">VLOOKUP(C296,statusdetails!$A:$D,4,0)</f>
        <v>DELAY</v>
      </c>
    </row>
    <row r="297" customFormat="false" ht="12.8" hidden="true" customHeight="false" outlineLevel="0" collapsed="false">
      <c r="A297" s="0" t="n">
        <v>466387</v>
      </c>
      <c r="B297" s="0" t="n">
        <v>466387</v>
      </c>
      <c r="C297" s="0" t="n">
        <v>1</v>
      </c>
      <c r="D297" s="0" t="n">
        <v>6</v>
      </c>
      <c r="E297" s="0" t="n">
        <v>2404</v>
      </c>
      <c r="F297" s="0" t="n">
        <v>88</v>
      </c>
      <c r="G297" s="0" t="n">
        <v>131</v>
      </c>
      <c r="H297" s="0" t="s">
        <v>622</v>
      </c>
      <c r="I297" s="0" t="s">
        <v>624</v>
      </c>
      <c r="J297" s="9" t="n">
        <v>45901</v>
      </c>
      <c r="K297" s="0" t="s">
        <v>625</v>
      </c>
      <c r="L297" s="0" t="n">
        <v>4</v>
      </c>
      <c r="M297" s="10" t="n">
        <f aca="false">_xlfn.NUMBERVALUE("" &amp; K297 &amp; "",".",",")</f>
        <v>0.249187256111111</v>
      </c>
      <c r="N297" s="10"/>
      <c r="O297" s="0" t="str">
        <f aca="false">VLOOKUP(C297,statusdetails!$A:$D,4,0)</f>
        <v>READY</v>
      </c>
    </row>
    <row r="298" customFormat="false" ht="12.8" hidden="true" customHeight="false" outlineLevel="0" collapsed="false">
      <c r="A298" s="0" t="n">
        <v>466388</v>
      </c>
      <c r="B298" s="0" t="n">
        <v>466388</v>
      </c>
      <c r="C298" s="0" t="n">
        <v>2</v>
      </c>
      <c r="D298" s="0" t="n">
        <v>9</v>
      </c>
      <c r="E298" s="0" t="n">
        <v>2568</v>
      </c>
      <c r="F298" s="0" t="n">
        <v>66</v>
      </c>
      <c r="G298" s="0" t="n">
        <v>112</v>
      </c>
      <c r="H298" s="0" t="s">
        <v>608</v>
      </c>
      <c r="I298" s="0" t="s">
        <v>626</v>
      </c>
      <c r="J298" s="9" t="n">
        <v>45901</v>
      </c>
      <c r="K298" s="0" t="s">
        <v>627</v>
      </c>
      <c r="L298" s="0" t="n">
        <v>4</v>
      </c>
      <c r="M298" s="3" t="n">
        <f aca="false">_xlfn.NUMBERVALUE("" &amp; K298 &amp; "",".",",")</f>
        <v>0.0428597222222222</v>
      </c>
      <c r="O298" s="0" t="str">
        <f aca="false">VLOOKUP(C298,statusdetails!$A:$D,4,0)</f>
        <v>DELAY</v>
      </c>
    </row>
    <row r="299" customFormat="false" ht="12.8" hidden="true" customHeight="false" outlineLevel="0" collapsed="false">
      <c r="A299" s="0" t="n">
        <v>466389</v>
      </c>
      <c r="B299" s="0" t="n">
        <v>466389</v>
      </c>
      <c r="C299" s="0" t="n">
        <v>1</v>
      </c>
      <c r="D299" s="0" t="n">
        <v>6</v>
      </c>
      <c r="E299" s="0" t="n">
        <v>260</v>
      </c>
      <c r="F299" s="0" t="n">
        <v>66</v>
      </c>
      <c r="G299" s="0" t="n">
        <v>112</v>
      </c>
      <c r="H299" s="0" t="s">
        <v>626</v>
      </c>
      <c r="I299" s="0" t="s">
        <v>628</v>
      </c>
      <c r="J299" s="9" t="n">
        <v>45901</v>
      </c>
      <c r="K299" s="0" t="s">
        <v>629</v>
      </c>
      <c r="L299" s="0" t="n">
        <v>4</v>
      </c>
      <c r="M299" s="10" t="n">
        <f aca="false">_xlfn.NUMBERVALUE("" &amp; K299 &amp; "",".",",")</f>
        <v>0.172340555555556</v>
      </c>
      <c r="N299" s="10"/>
      <c r="O299" s="0" t="str">
        <f aca="false">VLOOKUP(C299,statusdetails!$A:$D,4,0)</f>
        <v>READY</v>
      </c>
    </row>
    <row r="300" customFormat="false" ht="12.8" hidden="true" customHeight="false" outlineLevel="0" collapsed="false">
      <c r="A300" s="0" t="n">
        <v>466390</v>
      </c>
      <c r="B300" s="0" t="n">
        <v>466390</v>
      </c>
      <c r="C300" s="0" t="n">
        <v>1</v>
      </c>
      <c r="D300" s="0" t="n">
        <v>6</v>
      </c>
      <c r="E300" s="0" t="n">
        <v>811</v>
      </c>
      <c r="F300" s="0" t="n">
        <v>42</v>
      </c>
      <c r="G300" s="0" t="n">
        <v>35</v>
      </c>
      <c r="H300" s="0" t="s">
        <v>620</v>
      </c>
      <c r="I300" s="0" t="s">
        <v>630</v>
      </c>
      <c r="J300" s="9" t="n">
        <v>45901</v>
      </c>
      <c r="K300" s="0" t="s">
        <v>631</v>
      </c>
      <c r="L300" s="0" t="n">
        <v>4</v>
      </c>
      <c r="M300" s="10" t="n">
        <f aca="false">_xlfn.NUMBERVALUE("" &amp; K300 &amp; "",".",",")</f>
        <v>2.20799972222222</v>
      </c>
      <c r="N300" s="10"/>
      <c r="O300" s="0" t="str">
        <f aca="false">VLOOKUP(C300,statusdetails!$A:$D,4,0)</f>
        <v>READY</v>
      </c>
    </row>
    <row r="301" customFormat="false" ht="12.8" hidden="true" customHeight="false" outlineLevel="0" collapsed="false">
      <c r="A301" s="0" t="n">
        <v>466391</v>
      </c>
      <c r="B301" s="0" t="n">
        <v>466391</v>
      </c>
      <c r="C301" s="0" t="n">
        <v>2</v>
      </c>
      <c r="D301" s="0" t="n">
        <v>9</v>
      </c>
      <c r="E301" s="0" t="n">
        <v>2568</v>
      </c>
      <c r="F301" s="0" t="n">
        <v>35</v>
      </c>
      <c r="G301" s="0" t="n">
        <v>96</v>
      </c>
      <c r="H301" s="0" t="s">
        <v>614</v>
      </c>
      <c r="I301" s="0" t="s">
        <v>632</v>
      </c>
      <c r="J301" s="9" t="n">
        <v>45901</v>
      </c>
      <c r="K301" s="0" t="s">
        <v>633</v>
      </c>
      <c r="L301" s="0" t="n">
        <v>4</v>
      </c>
      <c r="M301" s="3" t="n">
        <f aca="false">_xlfn.NUMBERVALUE("" &amp; K301 &amp; "",".",",")</f>
        <v>0.00248073805555556</v>
      </c>
      <c r="O301" s="0" t="str">
        <f aca="false">VLOOKUP(C301,statusdetails!$A:$D,4,0)</f>
        <v>DELAY</v>
      </c>
    </row>
    <row r="302" customFormat="false" ht="12.8" hidden="true" customHeight="false" outlineLevel="0" collapsed="false">
      <c r="A302" s="0" t="n">
        <v>466392</v>
      </c>
      <c r="B302" s="0" t="n">
        <v>466392</v>
      </c>
      <c r="C302" s="0" t="n">
        <v>1</v>
      </c>
      <c r="D302" s="0" t="n">
        <v>6</v>
      </c>
      <c r="E302" s="0" t="n">
        <v>260</v>
      </c>
      <c r="F302" s="0" t="n">
        <v>35</v>
      </c>
      <c r="G302" s="0" t="n">
        <v>96</v>
      </c>
      <c r="H302" s="0" t="s">
        <v>632</v>
      </c>
      <c r="I302" s="0" t="s">
        <v>634</v>
      </c>
      <c r="J302" s="9" t="n">
        <v>45901</v>
      </c>
      <c r="K302" s="0" t="s">
        <v>635</v>
      </c>
      <c r="L302" s="0" t="n">
        <v>4</v>
      </c>
      <c r="M302" s="10" t="n">
        <f aca="false">_xlfn.NUMBERVALUE("" &amp; K302 &amp; "",".",",")</f>
        <v>0.01945</v>
      </c>
      <c r="N302" s="10"/>
      <c r="O302" s="0" t="str">
        <f aca="false">VLOOKUP(C302,statusdetails!$A:$D,4,0)</f>
        <v>READY</v>
      </c>
    </row>
    <row r="303" customFormat="false" ht="12.8" hidden="true" customHeight="false" outlineLevel="0" collapsed="false">
      <c r="A303" s="0" t="n">
        <v>466394</v>
      </c>
      <c r="B303" s="0" t="n">
        <v>466394</v>
      </c>
      <c r="C303" s="0" t="n">
        <v>1</v>
      </c>
      <c r="D303" s="0" t="n">
        <v>6</v>
      </c>
      <c r="E303" s="0" t="n">
        <v>260</v>
      </c>
      <c r="F303" s="0" t="n">
        <v>35</v>
      </c>
      <c r="G303" s="0" t="n">
        <v>96</v>
      </c>
      <c r="H303" s="0" t="s">
        <v>634</v>
      </c>
      <c r="I303" s="0" t="s">
        <v>636</v>
      </c>
      <c r="J303" s="9" t="n">
        <v>45901</v>
      </c>
      <c r="K303" s="0" t="s">
        <v>637</v>
      </c>
      <c r="L303" s="0" t="n">
        <v>4</v>
      </c>
      <c r="M303" s="10" t="n">
        <f aca="false">_xlfn.NUMBERVALUE("" &amp; K303 &amp; "",".",",")</f>
        <v>0.205004661111111</v>
      </c>
      <c r="N303" s="10"/>
      <c r="O303" s="0" t="str">
        <f aca="false">VLOOKUP(C303,statusdetails!$A:$D,4,0)</f>
        <v>READY</v>
      </c>
    </row>
    <row r="304" customFormat="false" ht="12.8" hidden="true" customHeight="false" outlineLevel="0" collapsed="false">
      <c r="A304" s="0" t="n">
        <v>466395</v>
      </c>
      <c r="B304" s="0" t="n">
        <v>466395</v>
      </c>
      <c r="C304" s="0" t="n">
        <v>1</v>
      </c>
      <c r="D304" s="0" t="n">
        <v>6</v>
      </c>
      <c r="E304" s="0" t="n">
        <v>260</v>
      </c>
      <c r="F304" s="0" t="n">
        <v>33</v>
      </c>
      <c r="G304" s="0" t="n">
        <v>20</v>
      </c>
      <c r="H304" s="0" t="s">
        <v>460</v>
      </c>
      <c r="I304" s="0" t="s">
        <v>638</v>
      </c>
      <c r="J304" s="9" t="n">
        <v>45901</v>
      </c>
      <c r="K304" s="0" t="s">
        <v>639</v>
      </c>
      <c r="L304" s="0" t="n">
        <v>4</v>
      </c>
      <c r="M304" s="10" t="n">
        <f aca="false">_xlfn.NUMBERVALUE("" &amp; K304 &amp; "",".",",")</f>
        <v>2.03103064666667</v>
      </c>
      <c r="N304" s="10"/>
      <c r="O304" s="0" t="str">
        <f aca="false">VLOOKUP(C304,statusdetails!$A:$D,4,0)</f>
        <v>READY</v>
      </c>
    </row>
    <row r="305" customFormat="false" ht="12.8" hidden="true" customHeight="false" outlineLevel="0" collapsed="false">
      <c r="A305" s="0" t="n">
        <v>466396</v>
      </c>
      <c r="B305" s="0" t="n">
        <v>466396</v>
      </c>
      <c r="C305" s="0" t="n">
        <v>2</v>
      </c>
      <c r="D305" s="0" t="n">
        <v>9</v>
      </c>
      <c r="E305" s="0" t="n">
        <v>2568</v>
      </c>
      <c r="F305" s="0" t="n">
        <v>66</v>
      </c>
      <c r="G305" s="0" t="n">
        <v>112</v>
      </c>
      <c r="H305" s="0" t="s">
        <v>628</v>
      </c>
      <c r="I305" s="0" t="s">
        <v>640</v>
      </c>
      <c r="J305" s="9" t="n">
        <v>45901</v>
      </c>
      <c r="K305" s="0" t="s">
        <v>641</v>
      </c>
      <c r="L305" s="0" t="n">
        <v>4</v>
      </c>
      <c r="M305" s="3" t="n">
        <f aca="false">_xlfn.NUMBERVALUE("" &amp; K305 &amp; "",".",",")</f>
        <v>0.0684461111111111</v>
      </c>
      <c r="O305" s="0" t="str">
        <f aca="false">VLOOKUP(C305,statusdetails!$A:$D,4,0)</f>
        <v>DELAY</v>
      </c>
    </row>
    <row r="306" customFormat="false" ht="12.8" hidden="true" customHeight="false" outlineLevel="0" collapsed="false">
      <c r="A306" s="0" t="n">
        <v>466397</v>
      </c>
      <c r="B306" s="0" t="n">
        <v>466397</v>
      </c>
      <c r="C306" s="0" t="n">
        <v>4</v>
      </c>
      <c r="D306" s="0" t="n">
        <v>16</v>
      </c>
      <c r="E306" s="0" t="n">
        <v>2505</v>
      </c>
      <c r="F306" s="0" t="n">
        <v>88</v>
      </c>
      <c r="G306" s="0" t="n">
        <v>131</v>
      </c>
      <c r="H306" s="0" t="s">
        <v>624</v>
      </c>
      <c r="I306" s="0" t="s">
        <v>642</v>
      </c>
      <c r="J306" s="9" t="n">
        <v>45901</v>
      </c>
      <c r="K306" s="0" t="s">
        <v>643</v>
      </c>
      <c r="L306" s="0" t="n">
        <v>4</v>
      </c>
      <c r="M306" s="10" t="n">
        <f aca="false">_xlfn.NUMBERVALUE("" &amp; K306 &amp; "",".",",")</f>
        <v>1.00372716722222</v>
      </c>
      <c r="N306" s="10"/>
      <c r="O306" s="0" t="str">
        <f aca="false">VLOOKUP(C306,statusdetails!$A:$D,4,0)</f>
        <v>MAINT</v>
      </c>
    </row>
    <row r="307" customFormat="false" ht="12.8" hidden="true" customHeight="false" outlineLevel="0" collapsed="false">
      <c r="A307" s="0" t="n">
        <v>466398</v>
      </c>
      <c r="B307" s="0" t="n">
        <v>466398</v>
      </c>
      <c r="C307" s="0" t="n">
        <v>1</v>
      </c>
      <c r="D307" s="0" t="n">
        <v>6</v>
      </c>
      <c r="E307" s="0" t="n">
        <v>260</v>
      </c>
      <c r="F307" s="0" t="n">
        <v>66</v>
      </c>
      <c r="G307" s="0" t="n">
        <v>112</v>
      </c>
      <c r="H307" s="0" t="s">
        <v>640</v>
      </c>
      <c r="I307" s="0" t="s">
        <v>644</v>
      </c>
      <c r="J307" s="9" t="n">
        <v>45901</v>
      </c>
      <c r="K307" s="0" t="s">
        <v>645</v>
      </c>
      <c r="L307" s="0" t="n">
        <v>4</v>
      </c>
      <c r="M307" s="10" t="n">
        <f aca="false">_xlfn.NUMBERVALUE("" &amp; K307 &amp; "",".",",")</f>
        <v>0.0110211111111111</v>
      </c>
      <c r="N307" s="10"/>
      <c r="O307" s="0" t="str">
        <f aca="false">VLOOKUP(C307,statusdetails!$A:$D,4,0)</f>
        <v>READY</v>
      </c>
    </row>
    <row r="308" customFormat="false" ht="12.8" hidden="true" customHeight="false" outlineLevel="0" collapsed="false">
      <c r="A308" s="0" t="n">
        <v>466399</v>
      </c>
      <c r="B308" s="0" t="n">
        <v>466399</v>
      </c>
      <c r="C308" s="0" t="n">
        <v>3</v>
      </c>
      <c r="D308" s="0" t="n">
        <v>14</v>
      </c>
      <c r="E308" s="0" t="n">
        <v>1162</v>
      </c>
      <c r="F308" s="0" t="n">
        <v>66</v>
      </c>
      <c r="G308" s="0" t="n">
        <v>112</v>
      </c>
      <c r="H308" s="0" t="s">
        <v>644</v>
      </c>
      <c r="I308" s="0" t="s">
        <v>646</v>
      </c>
      <c r="J308" s="9" t="n">
        <v>45901</v>
      </c>
      <c r="K308" s="0" t="s">
        <v>647</v>
      </c>
      <c r="L308" s="0" t="n">
        <v>4</v>
      </c>
      <c r="M308" s="10" t="n">
        <f aca="false">_xlfn.NUMBERVALUE("" &amp; K308 &amp; "",".",",")</f>
        <v>0.137568055555556</v>
      </c>
      <c r="N308" s="10"/>
      <c r="O308" s="0" t="str">
        <f aca="false">VLOOKUP(C308,statusdetails!$A:$D,4,0)</f>
        <v>STANDBY</v>
      </c>
      <c r="P308" s="0" t="str">
        <f aca="false">VLOOKUP(F308,equipment!$A:$E,4,0)</f>
        <v>CM407</v>
      </c>
      <c r="Q308" s="0" t="str">
        <f aca="false">VLOOKUP(F308,equipment!$A:$E,5,0)</f>
        <v>CM407 - 66</v>
      </c>
    </row>
    <row r="309" customFormat="false" ht="12.8" hidden="true" customHeight="false" outlineLevel="0" collapsed="false">
      <c r="A309" s="0" t="n">
        <v>466401</v>
      </c>
      <c r="B309" s="0" t="n">
        <v>466401</v>
      </c>
      <c r="C309" s="0" t="n">
        <v>2</v>
      </c>
      <c r="D309" s="0" t="n">
        <v>9</v>
      </c>
      <c r="E309" s="0" t="n">
        <v>2568</v>
      </c>
      <c r="F309" s="0" t="n">
        <v>35</v>
      </c>
      <c r="G309" s="0" t="n">
        <v>96</v>
      </c>
      <c r="H309" s="0" t="s">
        <v>636</v>
      </c>
      <c r="I309" s="0" t="s">
        <v>648</v>
      </c>
      <c r="J309" s="9" t="n">
        <v>45901</v>
      </c>
      <c r="K309" s="0" t="s">
        <v>649</v>
      </c>
      <c r="L309" s="0" t="n">
        <v>5</v>
      </c>
      <c r="M309" s="3" t="n">
        <f aca="false">_xlfn.NUMBERVALUE("" &amp; K309 &amp; "",".",",")</f>
        <v>0.00118061666666667</v>
      </c>
      <c r="O309" s="0" t="str">
        <f aca="false">VLOOKUP(C309,statusdetails!$A:$D,4,0)</f>
        <v>DELAY</v>
      </c>
    </row>
    <row r="310" customFormat="false" ht="12.8" hidden="true" customHeight="false" outlineLevel="0" collapsed="false">
      <c r="A310" s="0" t="n">
        <v>466402</v>
      </c>
      <c r="B310" s="0" t="n">
        <v>466402</v>
      </c>
      <c r="C310" s="0" t="n">
        <v>1</v>
      </c>
      <c r="D310" s="0" t="n">
        <v>6</v>
      </c>
      <c r="E310" s="0" t="n">
        <v>260</v>
      </c>
      <c r="F310" s="0" t="n">
        <v>35</v>
      </c>
      <c r="G310" s="0" t="n">
        <v>96</v>
      </c>
      <c r="H310" s="0" t="s">
        <v>648</v>
      </c>
      <c r="I310" s="0" t="s">
        <v>650</v>
      </c>
      <c r="J310" s="9" t="n">
        <v>45901</v>
      </c>
      <c r="K310" s="0" t="s">
        <v>651</v>
      </c>
      <c r="L310" s="0" t="n">
        <v>5</v>
      </c>
      <c r="M310" s="10" t="n">
        <f aca="false">_xlfn.NUMBERVALUE("" &amp; K310 &amp; "",".",",")</f>
        <v>0.0157478838888889</v>
      </c>
      <c r="N310" s="10"/>
      <c r="O310" s="0" t="str">
        <f aca="false">VLOOKUP(C310,statusdetails!$A:$D,4,0)</f>
        <v>READY</v>
      </c>
    </row>
    <row r="311" customFormat="false" ht="12.8" hidden="true" customHeight="false" outlineLevel="0" collapsed="false">
      <c r="A311" s="0" t="n">
        <v>466403</v>
      </c>
      <c r="B311" s="0" t="n">
        <v>466403</v>
      </c>
      <c r="C311" s="0" t="n">
        <v>2</v>
      </c>
      <c r="D311" s="0" t="n">
        <v>9</v>
      </c>
      <c r="E311" s="0" t="n">
        <v>2399</v>
      </c>
      <c r="F311" s="0" t="n">
        <v>82</v>
      </c>
      <c r="G311" s="0" t="n">
        <v>28</v>
      </c>
      <c r="H311" s="0" t="s">
        <v>616</v>
      </c>
      <c r="I311" s="0" t="s">
        <v>652</v>
      </c>
      <c r="J311" s="9" t="n">
        <v>45901</v>
      </c>
      <c r="K311" s="0" t="s">
        <v>653</v>
      </c>
      <c r="L311" s="0" t="n">
        <v>5</v>
      </c>
      <c r="M311" s="3" t="n">
        <f aca="false">_xlfn.NUMBERVALUE("" &amp; K311 &amp; "",".",",")</f>
        <v>0.0211354866666667</v>
      </c>
      <c r="O311" s="0" t="str">
        <f aca="false">VLOOKUP(C311,statusdetails!$A:$D,4,0)</f>
        <v>DELAY</v>
      </c>
    </row>
    <row r="312" customFormat="false" ht="12.8" hidden="true" customHeight="false" outlineLevel="0" collapsed="false">
      <c r="A312" s="0" t="n">
        <v>466404</v>
      </c>
      <c r="B312" s="0" t="n">
        <v>466404</v>
      </c>
      <c r="C312" s="0" t="n">
        <v>2</v>
      </c>
      <c r="D312" s="0" t="n">
        <v>9</v>
      </c>
      <c r="E312" s="0" t="n">
        <v>2568</v>
      </c>
      <c r="F312" s="0" t="n">
        <v>35</v>
      </c>
      <c r="G312" s="0" t="n">
        <v>96</v>
      </c>
      <c r="H312" s="0" t="s">
        <v>650</v>
      </c>
      <c r="I312" s="0" t="s">
        <v>654</v>
      </c>
      <c r="J312" s="9" t="n">
        <v>45901</v>
      </c>
      <c r="K312" s="0" t="s">
        <v>655</v>
      </c>
      <c r="L312" s="0" t="n">
        <v>5</v>
      </c>
      <c r="M312" s="3" t="n">
        <f aca="false">_xlfn.NUMBERVALUE("" &amp; K312 &amp; "",".",",")</f>
        <v>0.000367671666666667</v>
      </c>
      <c r="O312" s="0" t="str">
        <f aca="false">VLOOKUP(C312,statusdetails!$A:$D,4,0)</f>
        <v>DELAY</v>
      </c>
    </row>
    <row r="313" customFormat="false" ht="12.8" hidden="true" customHeight="false" outlineLevel="0" collapsed="false">
      <c r="A313" s="0" t="n">
        <v>466405</v>
      </c>
      <c r="B313" s="0" t="n">
        <v>466405</v>
      </c>
      <c r="C313" s="0" t="n">
        <v>1</v>
      </c>
      <c r="D313" s="0" t="n">
        <v>6</v>
      </c>
      <c r="E313" s="0" t="n">
        <v>260</v>
      </c>
      <c r="F313" s="0" t="n">
        <v>35</v>
      </c>
      <c r="G313" s="0" t="n">
        <v>96</v>
      </c>
      <c r="H313" s="0" t="s">
        <v>654</v>
      </c>
      <c r="I313" s="0" t="s">
        <v>656</v>
      </c>
      <c r="J313" s="9" t="n">
        <v>45901</v>
      </c>
      <c r="K313" s="0" t="s">
        <v>657</v>
      </c>
      <c r="L313" s="0" t="n">
        <v>5</v>
      </c>
      <c r="M313" s="10" t="n">
        <f aca="false">_xlfn.NUMBERVALUE("" &amp; K313 &amp; "",".",",")</f>
        <v>1.38383095388889</v>
      </c>
      <c r="N313" s="10"/>
      <c r="O313" s="0" t="str">
        <f aca="false">VLOOKUP(C313,statusdetails!$A:$D,4,0)</f>
        <v>READY</v>
      </c>
    </row>
    <row r="314" customFormat="false" ht="12.8" hidden="true" customHeight="false" outlineLevel="0" collapsed="false">
      <c r="A314" s="0" t="n">
        <v>466406</v>
      </c>
      <c r="B314" s="0" t="n">
        <v>466406</v>
      </c>
      <c r="C314" s="0" t="n">
        <v>1</v>
      </c>
      <c r="D314" s="0" t="n">
        <v>6</v>
      </c>
      <c r="E314" s="0" t="n">
        <v>2518</v>
      </c>
      <c r="F314" s="0" t="n">
        <v>82</v>
      </c>
      <c r="G314" s="0" t="n">
        <v>28</v>
      </c>
      <c r="H314" s="0" t="s">
        <v>652</v>
      </c>
      <c r="I314" s="0" t="s">
        <v>658</v>
      </c>
      <c r="J314" s="9" t="n">
        <v>45901</v>
      </c>
      <c r="K314" s="0" t="s">
        <v>659</v>
      </c>
      <c r="L314" s="0" t="n">
        <v>5</v>
      </c>
      <c r="M314" s="10" t="n">
        <f aca="false">_xlfn.NUMBERVALUE("" &amp; K314 &amp; "",".",",")</f>
        <v>1.37317449861111</v>
      </c>
      <c r="N314" s="10"/>
      <c r="O314" s="0" t="str">
        <f aca="false">VLOOKUP(C314,statusdetails!$A:$D,4,0)</f>
        <v>READY</v>
      </c>
    </row>
    <row r="315" customFormat="false" ht="12.8" hidden="true" customHeight="false" outlineLevel="0" collapsed="false">
      <c r="A315" s="0" t="n">
        <v>466407</v>
      </c>
      <c r="B315" s="0" t="n">
        <v>466407</v>
      </c>
      <c r="C315" s="0" t="n">
        <v>1</v>
      </c>
      <c r="D315" s="0" t="n">
        <v>6</v>
      </c>
      <c r="E315" s="0" t="n">
        <v>260</v>
      </c>
      <c r="F315" s="0" t="n">
        <v>66</v>
      </c>
      <c r="G315" s="0" t="n">
        <v>112</v>
      </c>
      <c r="H315" s="0" t="s">
        <v>646</v>
      </c>
      <c r="I315" s="0" t="s">
        <v>660</v>
      </c>
      <c r="J315" s="9" t="n">
        <v>45901</v>
      </c>
      <c r="K315" s="0" t="s">
        <v>661</v>
      </c>
      <c r="L315" s="0" t="n">
        <v>5</v>
      </c>
      <c r="M315" s="10" t="n">
        <f aca="false">_xlfn.NUMBERVALUE("" &amp; K315 &amp; "",".",",")</f>
        <v>0.403408063888889</v>
      </c>
      <c r="N315" s="10"/>
      <c r="O315" s="0" t="str">
        <f aca="false">VLOOKUP(C315,statusdetails!$A:$D,4,0)</f>
        <v>READY</v>
      </c>
    </row>
    <row r="316" customFormat="false" ht="12.8" hidden="true" customHeight="false" outlineLevel="0" collapsed="false">
      <c r="A316" s="0" t="n">
        <v>466408</v>
      </c>
      <c r="B316" s="0" t="n">
        <v>466408</v>
      </c>
      <c r="C316" s="0" t="n">
        <v>3</v>
      </c>
      <c r="D316" s="0" t="n">
        <v>14</v>
      </c>
      <c r="E316" s="0" t="n">
        <v>2503</v>
      </c>
      <c r="F316" s="0" t="n">
        <v>84</v>
      </c>
      <c r="G316" s="0" t="n">
        <v>4</v>
      </c>
      <c r="H316" s="0" t="s">
        <v>580</v>
      </c>
      <c r="I316" s="0" t="s">
        <v>662</v>
      </c>
      <c r="J316" s="9" t="n">
        <v>45901</v>
      </c>
      <c r="K316" s="0" t="s">
        <v>663</v>
      </c>
      <c r="L316" s="0" t="n">
        <v>5</v>
      </c>
      <c r="M316" s="10" t="n">
        <f aca="false">_xlfn.NUMBERVALUE("" &amp; K316 &amp; "",".",",")</f>
        <v>0.144490307777778</v>
      </c>
      <c r="N316" s="10"/>
      <c r="O316" s="0" t="str">
        <f aca="false">VLOOKUP(C316,statusdetails!$A:$D,4,0)</f>
        <v>STANDBY</v>
      </c>
      <c r="P316" s="0" t="str">
        <f aca="false">VLOOKUP(F316,equipment!$A:$E,4,0)</f>
        <v>CM01</v>
      </c>
      <c r="Q316" s="0" t="str">
        <f aca="false">VLOOKUP(F316,equipment!$A:$E,5,0)</f>
        <v>CM01 - 84</v>
      </c>
    </row>
    <row r="317" customFormat="false" ht="12.8" hidden="true" customHeight="false" outlineLevel="0" collapsed="false">
      <c r="A317" s="0" t="n">
        <v>466409</v>
      </c>
      <c r="B317" s="0" t="n">
        <v>466409</v>
      </c>
      <c r="C317" s="0" t="n">
        <v>1</v>
      </c>
      <c r="D317" s="0" t="n">
        <v>6</v>
      </c>
      <c r="E317" s="0" t="n">
        <v>2404</v>
      </c>
      <c r="F317" s="0" t="n">
        <v>84</v>
      </c>
      <c r="G317" s="0" t="n">
        <v>4</v>
      </c>
      <c r="H317" s="0" t="s">
        <v>662</v>
      </c>
      <c r="I317" s="0" t="s">
        <v>664</v>
      </c>
      <c r="J317" s="9" t="n">
        <v>45901</v>
      </c>
      <c r="K317" s="0" t="s">
        <v>665</v>
      </c>
      <c r="L317" s="0" t="n">
        <v>5</v>
      </c>
      <c r="M317" s="10" t="n">
        <f aca="false">_xlfn.NUMBERVALUE("" &amp; K317 &amp; "",".",",")</f>
        <v>1.42940770333333</v>
      </c>
      <c r="N317" s="10"/>
      <c r="O317" s="0" t="str">
        <f aca="false">VLOOKUP(C317,statusdetails!$A:$D,4,0)</f>
        <v>READY</v>
      </c>
    </row>
    <row r="318" customFormat="false" ht="12.8" hidden="true" customHeight="false" outlineLevel="0" collapsed="false">
      <c r="A318" s="0" t="n">
        <v>466410</v>
      </c>
      <c r="B318" s="0" t="n">
        <v>466410</v>
      </c>
      <c r="C318" s="0" t="n">
        <v>3</v>
      </c>
      <c r="D318" s="0" t="n">
        <v>12</v>
      </c>
      <c r="E318" s="0" t="n">
        <v>2094</v>
      </c>
      <c r="F318" s="0" t="n">
        <v>66</v>
      </c>
      <c r="G318" s="0" t="n">
        <v>112</v>
      </c>
      <c r="H318" s="0" t="s">
        <v>660</v>
      </c>
      <c r="I318" s="0" t="s">
        <v>666</v>
      </c>
      <c r="J318" s="9" t="n">
        <v>45901</v>
      </c>
      <c r="K318" s="0" t="s">
        <v>667</v>
      </c>
      <c r="L318" s="0" t="n">
        <v>5</v>
      </c>
      <c r="M318" s="10" t="n">
        <f aca="false">_xlfn.NUMBERVALUE("" &amp; K318 &amp; "",".",",")</f>
        <v>0.022853445</v>
      </c>
      <c r="N318" s="10"/>
      <c r="O318" s="0" t="str">
        <f aca="false">VLOOKUP(C318,statusdetails!$A:$D,4,0)</f>
        <v>STANDBY</v>
      </c>
      <c r="P318" s="0" t="str">
        <f aca="false">VLOOKUP(F318,equipment!$A:$E,4,0)</f>
        <v>CM407</v>
      </c>
      <c r="Q318" s="0" t="str">
        <f aca="false">VLOOKUP(F318,equipment!$A:$E,5,0)</f>
        <v>CM407 - 66</v>
      </c>
    </row>
    <row r="319" customFormat="false" ht="12.8" hidden="true" customHeight="false" outlineLevel="0" collapsed="false">
      <c r="A319" s="0" t="n">
        <v>466411</v>
      </c>
      <c r="B319" s="0" t="n">
        <v>466411</v>
      </c>
      <c r="C319" s="0" t="n">
        <v>1</v>
      </c>
      <c r="D319" s="0" t="n">
        <v>6</v>
      </c>
      <c r="E319" s="0" t="n">
        <v>260</v>
      </c>
      <c r="F319" s="0" t="n">
        <v>66</v>
      </c>
      <c r="G319" s="0" t="n">
        <v>112</v>
      </c>
      <c r="H319" s="0" t="s">
        <v>666</v>
      </c>
      <c r="I319" s="0" t="s">
        <v>668</v>
      </c>
      <c r="J319" s="9" t="n">
        <v>45901</v>
      </c>
      <c r="K319" s="0" t="s">
        <v>669</v>
      </c>
      <c r="L319" s="0" t="n">
        <v>5</v>
      </c>
      <c r="M319" s="10" t="n">
        <f aca="false">_xlfn.NUMBERVALUE("" &amp; K319 &amp; "",".",",")</f>
        <v>0.924406782222222</v>
      </c>
      <c r="N319" s="10"/>
      <c r="O319" s="0" t="str">
        <f aca="false">VLOOKUP(C319,statusdetails!$A:$D,4,0)</f>
        <v>READY</v>
      </c>
    </row>
    <row r="320" customFormat="false" ht="12.8" hidden="true" customHeight="false" outlineLevel="0" collapsed="false">
      <c r="A320" s="0" t="n">
        <v>466412</v>
      </c>
      <c r="B320" s="0" t="n">
        <v>466412</v>
      </c>
      <c r="C320" s="0" t="n">
        <v>3</v>
      </c>
      <c r="D320" s="0" t="n">
        <v>14</v>
      </c>
      <c r="E320" s="0" t="n">
        <v>2503</v>
      </c>
      <c r="F320" s="0" t="n">
        <v>89</v>
      </c>
      <c r="G320" s="0" t="n">
        <v>2</v>
      </c>
      <c r="H320" s="0" t="s">
        <v>506</v>
      </c>
      <c r="I320" s="0" t="s">
        <v>670</v>
      </c>
      <c r="J320" s="9" t="n">
        <v>45901</v>
      </c>
      <c r="K320" s="0" t="s">
        <v>671</v>
      </c>
      <c r="L320" s="0" t="n">
        <v>5</v>
      </c>
      <c r="M320" s="10" t="n">
        <f aca="false">_xlfn.NUMBERVALUE("" &amp; K320 &amp; "",".",",")</f>
        <v>0.0583102544444444</v>
      </c>
      <c r="N320" s="10"/>
      <c r="O320" s="0" t="str">
        <f aca="false">VLOOKUP(C320,statusdetails!$A:$D,4,0)</f>
        <v>STANDBY</v>
      </c>
      <c r="P320" s="0" t="str">
        <f aca="false">VLOOKUP(F320,equipment!$A:$E,4,0)</f>
        <v>CM06</v>
      </c>
      <c r="Q320" s="0" t="str">
        <f aca="false">VLOOKUP(F320,equipment!$A:$E,5,0)</f>
        <v>CM06 - 89</v>
      </c>
    </row>
    <row r="321" customFormat="false" ht="12.8" hidden="true" customHeight="false" outlineLevel="0" collapsed="false">
      <c r="A321" s="0" t="n">
        <v>466413</v>
      </c>
      <c r="B321" s="0" t="n">
        <v>466413</v>
      </c>
      <c r="C321" s="0" t="n">
        <v>1</v>
      </c>
      <c r="D321" s="0" t="n">
        <v>6</v>
      </c>
      <c r="E321" s="0" t="n">
        <v>2404</v>
      </c>
      <c r="F321" s="0" t="n">
        <v>85</v>
      </c>
      <c r="G321" s="0" t="n">
        <v>131</v>
      </c>
      <c r="H321" s="0" t="s">
        <v>596</v>
      </c>
      <c r="I321" s="0" t="s">
        <v>672</v>
      </c>
      <c r="J321" s="9" t="n">
        <v>45901</v>
      </c>
      <c r="K321" s="0" t="s">
        <v>673</v>
      </c>
      <c r="L321" s="0" t="n">
        <v>5</v>
      </c>
      <c r="M321" s="10" t="n">
        <f aca="false">_xlfn.NUMBERVALUE("" &amp; K321 &amp; "",".",",")</f>
        <v>1.29174489333333</v>
      </c>
      <c r="N321" s="10"/>
      <c r="O321" s="0" t="str">
        <f aca="false">VLOOKUP(C321,statusdetails!$A:$D,4,0)</f>
        <v>READY</v>
      </c>
    </row>
    <row r="322" customFormat="false" ht="12.8" hidden="true" customHeight="false" outlineLevel="0" collapsed="false">
      <c r="A322" s="0" t="n">
        <v>466414</v>
      </c>
      <c r="B322" s="0" t="n">
        <v>466414</v>
      </c>
      <c r="C322" s="0" t="n">
        <v>1</v>
      </c>
      <c r="D322" s="0" t="n">
        <v>6</v>
      </c>
      <c r="E322" s="0" t="n">
        <v>2404</v>
      </c>
      <c r="F322" s="0" t="n">
        <v>89</v>
      </c>
      <c r="G322" s="0" t="n">
        <v>2</v>
      </c>
      <c r="H322" s="0" t="s">
        <v>670</v>
      </c>
      <c r="I322" s="0" t="s">
        <v>674</v>
      </c>
      <c r="J322" s="9" t="n">
        <v>45901</v>
      </c>
      <c r="K322" s="0" t="s">
        <v>675</v>
      </c>
      <c r="L322" s="0" t="n">
        <v>5</v>
      </c>
      <c r="M322" s="10" t="n">
        <f aca="false">_xlfn.NUMBERVALUE("" &amp; K322 &amp; "",".",",")</f>
        <v>1.24610333916667</v>
      </c>
      <c r="N322" s="10"/>
      <c r="O322" s="0" t="str">
        <f aca="false">VLOOKUP(C322,statusdetails!$A:$D,4,0)</f>
        <v>READY</v>
      </c>
    </row>
    <row r="323" customFormat="false" ht="12.8" hidden="true" customHeight="false" outlineLevel="0" collapsed="false">
      <c r="A323" s="0" t="n">
        <v>466415</v>
      </c>
      <c r="B323" s="0" t="n">
        <v>466415</v>
      </c>
      <c r="C323" s="0" t="n">
        <v>4</v>
      </c>
      <c r="D323" s="0" t="n">
        <v>15</v>
      </c>
      <c r="E323" s="0" t="n">
        <v>2411</v>
      </c>
      <c r="F323" s="0" t="n">
        <v>88</v>
      </c>
      <c r="G323" s="0" t="n">
        <v>0</v>
      </c>
      <c r="H323" s="0" t="s">
        <v>642</v>
      </c>
      <c r="I323" s="0" t="s">
        <v>676</v>
      </c>
      <c r="J323" s="9" t="n">
        <v>45901</v>
      </c>
      <c r="K323" s="0" t="s">
        <v>677</v>
      </c>
      <c r="L323" s="0" t="n">
        <v>5</v>
      </c>
      <c r="M323" s="10" t="n">
        <f aca="false">_xlfn.NUMBERVALUE("" &amp; K323 &amp; "",".",",")</f>
        <v>1.46278868444444</v>
      </c>
      <c r="N323" s="10"/>
      <c r="O323" s="0" t="str">
        <f aca="false">VLOOKUP(C323,statusdetails!$A:$D,4,0)</f>
        <v>MAINT</v>
      </c>
    </row>
    <row r="324" customFormat="false" ht="12.8" hidden="true" customHeight="false" outlineLevel="0" collapsed="false">
      <c r="A324" s="0" t="n">
        <v>466416</v>
      </c>
      <c r="B324" s="0" t="n">
        <v>466416</v>
      </c>
      <c r="C324" s="0" t="n">
        <v>1</v>
      </c>
      <c r="D324" s="0" t="n">
        <v>6</v>
      </c>
      <c r="E324" s="0" t="n">
        <v>260</v>
      </c>
      <c r="F324" s="0" t="n">
        <v>34</v>
      </c>
      <c r="G324" s="0" t="n">
        <v>116</v>
      </c>
      <c r="H324" s="0" t="s">
        <v>610</v>
      </c>
      <c r="I324" s="0" t="s">
        <v>678</v>
      </c>
      <c r="J324" s="9" t="n">
        <v>45901</v>
      </c>
      <c r="K324" s="0" t="s">
        <v>679</v>
      </c>
      <c r="L324" s="0" t="n">
        <v>6</v>
      </c>
      <c r="M324" s="10" t="n">
        <f aca="false">_xlfn.NUMBERVALUE("" &amp; K324 &amp; "",".",",")</f>
        <v>3.05052254722222</v>
      </c>
      <c r="N324" s="10"/>
      <c r="O324" s="0" t="str">
        <f aca="false">VLOOKUP(C324,statusdetails!$A:$D,4,0)</f>
        <v>READY</v>
      </c>
    </row>
    <row r="325" customFormat="false" ht="12.8" hidden="true" customHeight="false" outlineLevel="0" collapsed="false">
      <c r="A325" s="0" t="n">
        <v>466417</v>
      </c>
      <c r="B325" s="0" t="n">
        <v>466417</v>
      </c>
      <c r="C325" s="0" t="n">
        <v>4</v>
      </c>
      <c r="D325" s="0" t="n">
        <v>16</v>
      </c>
      <c r="E325" s="0" t="n">
        <v>1042</v>
      </c>
      <c r="F325" s="0" t="n">
        <v>47</v>
      </c>
      <c r="G325" s="0" t="n">
        <v>103</v>
      </c>
      <c r="H325" s="0" t="s">
        <v>618</v>
      </c>
      <c r="I325" s="0" t="s">
        <v>680</v>
      </c>
      <c r="J325" s="9" t="n">
        <v>45901</v>
      </c>
      <c r="K325" s="0" t="s">
        <v>681</v>
      </c>
      <c r="L325" s="0" t="n">
        <v>6</v>
      </c>
      <c r="M325" s="10" t="n">
        <f aca="false">_xlfn.NUMBERVALUE("" &amp; K325 &amp; "",".",",")</f>
        <v>5.23664593333333</v>
      </c>
      <c r="N325" s="10"/>
      <c r="O325" s="0" t="str">
        <f aca="false">VLOOKUP(C325,statusdetails!$A:$D,4,0)</f>
        <v>MAINT</v>
      </c>
    </row>
    <row r="326" customFormat="false" ht="12.8" hidden="true" customHeight="false" outlineLevel="0" collapsed="false">
      <c r="A326" s="0" t="n">
        <v>466418</v>
      </c>
      <c r="B326" s="0" t="n">
        <v>466418</v>
      </c>
      <c r="C326" s="0" t="n">
        <v>3</v>
      </c>
      <c r="D326" s="0" t="n">
        <v>12</v>
      </c>
      <c r="E326" s="0" t="n">
        <v>2094</v>
      </c>
      <c r="F326" s="0" t="n">
        <v>66</v>
      </c>
      <c r="G326" s="0" t="n">
        <v>112</v>
      </c>
      <c r="H326" s="0" t="s">
        <v>668</v>
      </c>
      <c r="I326" s="0" t="s">
        <v>682</v>
      </c>
      <c r="J326" s="9" t="n">
        <v>45901</v>
      </c>
      <c r="K326" s="0" t="s">
        <v>683</v>
      </c>
      <c r="L326" s="0" t="n">
        <v>6</v>
      </c>
      <c r="M326" s="10" t="n">
        <f aca="false">_xlfn.NUMBERVALUE("" &amp; K326 &amp; "",".",",")</f>
        <v>0.600756615555556</v>
      </c>
      <c r="N326" s="10"/>
      <c r="O326" s="0" t="str">
        <f aca="false">VLOOKUP(C326,statusdetails!$A:$D,4,0)</f>
        <v>STANDBY</v>
      </c>
      <c r="P326" s="0" t="str">
        <f aca="false">VLOOKUP(F326,equipment!$A:$E,4,0)</f>
        <v>CM407</v>
      </c>
      <c r="Q326" s="0" t="str">
        <f aca="false">VLOOKUP(F326,equipment!$A:$E,5,0)</f>
        <v>CM407 - 66</v>
      </c>
    </row>
    <row r="327" customFormat="false" ht="12.8" hidden="true" customHeight="false" outlineLevel="0" collapsed="false">
      <c r="A327" s="0" t="n">
        <v>466419</v>
      </c>
      <c r="B327" s="0" t="n">
        <v>466419</v>
      </c>
      <c r="C327" s="0" t="n">
        <v>3</v>
      </c>
      <c r="D327" s="0" t="n">
        <v>12</v>
      </c>
      <c r="E327" s="0" t="n">
        <v>2094</v>
      </c>
      <c r="F327" s="0" t="n">
        <v>35</v>
      </c>
      <c r="G327" s="0" t="n">
        <v>96</v>
      </c>
      <c r="H327" s="0" t="s">
        <v>656</v>
      </c>
      <c r="I327" s="0" t="s">
        <v>684</v>
      </c>
      <c r="J327" s="9" t="n">
        <v>45901</v>
      </c>
      <c r="K327" s="0" t="s">
        <v>685</v>
      </c>
      <c r="L327" s="0" t="n">
        <v>6</v>
      </c>
      <c r="M327" s="10" t="n">
        <f aca="false">_xlfn.NUMBERVALUE("" &amp; K327 &amp; "",".",",")</f>
        <v>0.595722102222222</v>
      </c>
      <c r="N327" s="10"/>
      <c r="O327" s="0" t="str">
        <f aca="false">VLOOKUP(C327,statusdetails!$A:$D,4,0)</f>
        <v>STANDBY</v>
      </c>
      <c r="P327" s="0" t="str">
        <f aca="false">VLOOKUP(F327,equipment!$A:$E,4,0)</f>
        <v>CM405</v>
      </c>
      <c r="Q327" s="0" t="str">
        <f aca="false">VLOOKUP(F327,equipment!$A:$E,5,0)</f>
        <v>CM405 - 35</v>
      </c>
    </row>
    <row r="328" customFormat="false" ht="12.8" hidden="true" customHeight="false" outlineLevel="0" collapsed="false">
      <c r="A328" s="0" t="n">
        <v>466420</v>
      </c>
      <c r="B328" s="0" t="n">
        <v>466420</v>
      </c>
      <c r="C328" s="0" t="n">
        <v>2</v>
      </c>
      <c r="D328" s="0" t="n">
        <v>9</v>
      </c>
      <c r="E328" s="0" t="n">
        <v>2399</v>
      </c>
      <c r="F328" s="0" t="n">
        <v>82</v>
      </c>
      <c r="G328" s="0" t="n">
        <v>28</v>
      </c>
      <c r="H328" s="0" t="s">
        <v>658</v>
      </c>
      <c r="I328" s="0" t="s">
        <v>686</v>
      </c>
      <c r="J328" s="9" t="n">
        <v>45901</v>
      </c>
      <c r="K328" s="0" t="s">
        <v>687</v>
      </c>
      <c r="L328" s="0" t="n">
        <v>6</v>
      </c>
      <c r="M328" s="3" t="n">
        <f aca="false">_xlfn.NUMBERVALUE("" &amp; K328 &amp; "",".",",")</f>
        <v>0.429404030555556</v>
      </c>
      <c r="O328" s="0" t="str">
        <f aca="false">VLOOKUP(C328,statusdetails!$A:$D,4,0)</f>
        <v>DELAY</v>
      </c>
    </row>
    <row r="329" customFormat="false" ht="12.8" hidden="true" customHeight="false" outlineLevel="0" collapsed="false">
      <c r="A329" s="0" t="n">
        <v>466421</v>
      </c>
      <c r="B329" s="0" t="n">
        <v>466421</v>
      </c>
      <c r="C329" s="0" t="n">
        <v>3</v>
      </c>
      <c r="D329" s="0" t="n">
        <v>12</v>
      </c>
      <c r="E329" s="0" t="n">
        <v>394</v>
      </c>
      <c r="F329" s="0" t="n">
        <v>91</v>
      </c>
      <c r="G329" s="0" t="n">
        <v>0</v>
      </c>
      <c r="H329" s="0" t="s">
        <v>582</v>
      </c>
      <c r="I329" s="0" t="s">
        <v>688</v>
      </c>
      <c r="J329" s="9" t="n">
        <v>45901</v>
      </c>
      <c r="K329" s="0" t="s">
        <v>689</v>
      </c>
      <c r="L329" s="0" t="n">
        <v>6</v>
      </c>
      <c r="M329" s="10" t="n">
        <f aca="false">_xlfn.NUMBERVALUE("" &amp; K329 &amp; "",".",",")</f>
        <v>0.371330694722222</v>
      </c>
      <c r="N329" s="10"/>
      <c r="O329" s="0" t="str">
        <f aca="false">VLOOKUP(C329,statusdetails!$A:$D,4,0)</f>
        <v>STANDBY</v>
      </c>
      <c r="P329" s="0" t="str">
        <f aca="false">VLOOKUP(F329,equipment!$A:$E,4,0)</f>
        <v>DZ205</v>
      </c>
      <c r="Q329" s="0" t="str">
        <f aca="false">VLOOKUP(F329,equipment!$A:$E,5,0)</f>
        <v>DZ205 - 91</v>
      </c>
    </row>
    <row r="330" customFormat="false" ht="12.8" hidden="true" customHeight="false" outlineLevel="0" collapsed="false">
      <c r="A330" s="0" t="n">
        <v>466422</v>
      </c>
      <c r="B330" s="0" t="n">
        <v>466422</v>
      </c>
      <c r="C330" s="0" t="n">
        <v>3</v>
      </c>
      <c r="D330" s="0" t="n">
        <v>12</v>
      </c>
      <c r="E330" s="0" t="n">
        <v>394</v>
      </c>
      <c r="F330" s="0" t="n">
        <v>37</v>
      </c>
      <c r="G330" s="0" t="n">
        <v>0</v>
      </c>
      <c r="H330" s="0" t="s">
        <v>564</v>
      </c>
      <c r="I330" s="0" t="s">
        <v>690</v>
      </c>
      <c r="J330" s="9" t="n">
        <v>45901</v>
      </c>
      <c r="K330" s="0" t="s">
        <v>691</v>
      </c>
      <c r="L330" s="0" t="n">
        <v>6</v>
      </c>
      <c r="M330" s="10" t="n">
        <f aca="false">_xlfn.NUMBERVALUE("" &amp; K330 &amp; "",".",",")</f>
        <v>0.523816278333333</v>
      </c>
      <c r="N330" s="10"/>
      <c r="O330" s="0" t="str">
        <f aca="false">VLOOKUP(C330,statusdetails!$A:$D,4,0)</f>
        <v>STANDBY</v>
      </c>
      <c r="P330" s="0" t="str">
        <f aca="false">VLOOKUP(F330,equipment!$A:$E,4,0)</f>
        <v>DZ201</v>
      </c>
      <c r="Q330" s="0" t="str">
        <f aca="false">VLOOKUP(F330,equipment!$A:$E,5,0)</f>
        <v>DZ201 - 37</v>
      </c>
    </row>
    <row r="331" customFormat="false" ht="12.8" hidden="true" customHeight="false" outlineLevel="0" collapsed="false">
      <c r="A331" s="0" t="n">
        <v>466423</v>
      </c>
      <c r="B331" s="0" t="n">
        <v>466423</v>
      </c>
      <c r="C331" s="0" t="n">
        <v>3</v>
      </c>
      <c r="D331" s="0" t="n">
        <v>14</v>
      </c>
      <c r="E331" s="0" t="n">
        <v>2406</v>
      </c>
      <c r="F331" s="0" t="n">
        <v>86</v>
      </c>
      <c r="G331" s="0" t="n">
        <v>139</v>
      </c>
      <c r="H331" s="0" t="s">
        <v>560</v>
      </c>
      <c r="I331" s="0" t="s">
        <v>692</v>
      </c>
      <c r="J331" s="9" t="n">
        <v>45901</v>
      </c>
      <c r="K331" s="0" t="s">
        <v>693</v>
      </c>
      <c r="L331" s="0" t="n">
        <v>6</v>
      </c>
      <c r="M331" s="10" t="n">
        <f aca="false">_xlfn.NUMBERVALUE("" &amp; K331 &amp; "",".",",")</f>
        <v>0.182261770555556</v>
      </c>
      <c r="N331" s="10"/>
      <c r="O331" s="0" t="str">
        <f aca="false">VLOOKUP(C331,statusdetails!$A:$D,4,0)</f>
        <v>STANDBY</v>
      </c>
      <c r="P331" s="0" t="str">
        <f aca="false">VLOOKUP(F331,equipment!$A:$E,4,0)</f>
        <v>CM03</v>
      </c>
      <c r="Q331" s="0" t="str">
        <f aca="false">VLOOKUP(F331,equipment!$A:$E,5,0)</f>
        <v>CM03 - 86</v>
      </c>
    </row>
    <row r="332" customFormat="false" ht="12.8" hidden="true" customHeight="false" outlineLevel="0" collapsed="false">
      <c r="A332" s="0" t="n">
        <v>466424</v>
      </c>
      <c r="B332" s="0" t="n">
        <v>466424</v>
      </c>
      <c r="C332" s="0" t="n">
        <v>3</v>
      </c>
      <c r="D332" s="0" t="n">
        <v>14</v>
      </c>
      <c r="E332" s="0" t="n">
        <v>2406</v>
      </c>
      <c r="F332" s="0" t="n">
        <v>89</v>
      </c>
      <c r="G332" s="0" t="n">
        <v>2</v>
      </c>
      <c r="H332" s="0" t="s">
        <v>674</v>
      </c>
      <c r="I332" s="0" t="s">
        <v>694</v>
      </c>
      <c r="J332" s="9" t="n">
        <v>45901</v>
      </c>
      <c r="K332" s="0" t="s">
        <v>695</v>
      </c>
      <c r="L332" s="0" t="n">
        <v>6</v>
      </c>
      <c r="M332" s="10" t="n">
        <f aca="false">_xlfn.NUMBERVALUE("" &amp; K332 &amp; "",".",",")</f>
        <v>0.173102843055556</v>
      </c>
      <c r="N332" s="10"/>
      <c r="O332" s="0" t="str">
        <f aca="false">VLOOKUP(C332,statusdetails!$A:$D,4,0)</f>
        <v>STANDBY</v>
      </c>
      <c r="P332" s="0" t="str">
        <f aca="false">VLOOKUP(F332,equipment!$A:$E,4,0)</f>
        <v>CM06</v>
      </c>
      <c r="Q332" s="0" t="str">
        <f aca="false">VLOOKUP(F332,equipment!$A:$E,5,0)</f>
        <v>CM06 - 89</v>
      </c>
    </row>
    <row r="333" customFormat="false" ht="12.8" hidden="true" customHeight="false" outlineLevel="0" collapsed="false">
      <c r="A333" s="0" t="n">
        <v>466425</v>
      </c>
      <c r="B333" s="0" t="n">
        <v>466425</v>
      </c>
      <c r="C333" s="0" t="n">
        <v>3</v>
      </c>
      <c r="D333" s="0" t="n">
        <v>14</v>
      </c>
      <c r="E333" s="0" t="n">
        <v>2392</v>
      </c>
      <c r="F333" s="0" t="n">
        <v>96</v>
      </c>
      <c r="G333" s="0" t="n">
        <v>124</v>
      </c>
      <c r="H333" s="0" t="s">
        <v>554</v>
      </c>
      <c r="I333" s="0" t="s">
        <v>696</v>
      </c>
      <c r="J333" s="9" t="n">
        <v>45901</v>
      </c>
      <c r="K333" s="0" t="s">
        <v>697</v>
      </c>
      <c r="L333" s="0" t="n">
        <v>6</v>
      </c>
      <c r="M333" s="10" t="n">
        <f aca="false">_xlfn.NUMBERVALUE("" &amp; K333 &amp; "",".",",")</f>
        <v>0.167767941111111</v>
      </c>
      <c r="N333" s="10"/>
      <c r="O333" s="0" t="str">
        <f aca="false">VLOOKUP(C333,statusdetails!$A:$D,4,0)</f>
        <v>STANDBY</v>
      </c>
      <c r="P333" s="0" t="str">
        <f aca="false">VLOOKUP(F333,equipment!$A:$E,4,0)</f>
        <v>EX503</v>
      </c>
      <c r="Q333" s="0" t="str">
        <f aca="false">VLOOKUP(F333,equipment!$A:$E,5,0)</f>
        <v>EX503 - 96</v>
      </c>
    </row>
    <row r="334" customFormat="false" ht="12.8" hidden="true" customHeight="false" outlineLevel="0" collapsed="false">
      <c r="A334" s="0" t="n">
        <v>466426</v>
      </c>
      <c r="B334" s="0" t="n">
        <v>466426</v>
      </c>
      <c r="C334" s="0" t="n">
        <v>3</v>
      </c>
      <c r="D334" s="0" t="n">
        <v>14</v>
      </c>
      <c r="E334" s="0" t="n">
        <v>2406</v>
      </c>
      <c r="F334" s="0" t="n">
        <v>84</v>
      </c>
      <c r="G334" s="0" t="n">
        <v>4</v>
      </c>
      <c r="H334" s="0" t="s">
        <v>664</v>
      </c>
      <c r="I334" s="0" t="s">
        <v>698</v>
      </c>
      <c r="J334" s="9" t="n">
        <v>45901</v>
      </c>
      <c r="K334" s="0" t="s">
        <v>699</v>
      </c>
      <c r="L334" s="0" t="n">
        <v>6</v>
      </c>
      <c r="M334" s="10" t="n">
        <f aca="false">_xlfn.NUMBERVALUE("" &amp; K334 &amp; "",".",",")</f>
        <v>0.171452620555556</v>
      </c>
      <c r="N334" s="10"/>
      <c r="O334" s="0" t="str">
        <f aca="false">VLOOKUP(C334,statusdetails!$A:$D,4,0)</f>
        <v>STANDBY</v>
      </c>
      <c r="P334" s="0" t="str">
        <f aca="false">VLOOKUP(F334,equipment!$A:$E,4,0)</f>
        <v>CM01</v>
      </c>
      <c r="Q334" s="0" t="str">
        <f aca="false">VLOOKUP(F334,equipment!$A:$E,5,0)</f>
        <v>CM01 - 84</v>
      </c>
    </row>
    <row r="335" customFormat="false" ht="12.8" hidden="true" customHeight="false" outlineLevel="0" collapsed="false">
      <c r="A335" s="0" t="n">
        <v>466427</v>
      </c>
      <c r="B335" s="0" t="n">
        <v>466427</v>
      </c>
      <c r="C335" s="0" t="n">
        <v>3</v>
      </c>
      <c r="D335" s="0" t="n">
        <v>14</v>
      </c>
      <c r="E335" s="0" t="n">
        <v>2406</v>
      </c>
      <c r="F335" s="0" t="n">
        <v>87</v>
      </c>
      <c r="G335" s="0" t="n">
        <v>140</v>
      </c>
      <c r="H335" s="0" t="s">
        <v>558</v>
      </c>
      <c r="I335" s="0" t="s">
        <v>700</v>
      </c>
      <c r="J335" s="9" t="n">
        <v>45901</v>
      </c>
      <c r="K335" s="0" t="s">
        <v>701</v>
      </c>
      <c r="L335" s="0" t="n">
        <v>6</v>
      </c>
      <c r="M335" s="10" t="n">
        <f aca="false">_xlfn.NUMBERVALUE("" &amp; K335 &amp; "",".",",")</f>
        <v>0.167625445833333</v>
      </c>
      <c r="N335" s="10"/>
      <c r="O335" s="0" t="str">
        <f aca="false">VLOOKUP(C335,statusdetails!$A:$D,4,0)</f>
        <v>STANDBY</v>
      </c>
      <c r="P335" s="0" t="str">
        <f aca="false">VLOOKUP(F335,equipment!$A:$E,4,0)</f>
        <v>CM04</v>
      </c>
      <c r="Q335" s="0" t="str">
        <f aca="false">VLOOKUP(F335,equipment!$A:$E,5,0)</f>
        <v>CM04 - 87</v>
      </c>
    </row>
    <row r="336" customFormat="false" ht="12.8" hidden="true" customHeight="false" outlineLevel="0" collapsed="false">
      <c r="A336" s="0" t="n">
        <v>466428</v>
      </c>
      <c r="B336" s="0" t="n">
        <v>466428</v>
      </c>
      <c r="C336" s="0" t="n">
        <v>3</v>
      </c>
      <c r="D336" s="0" t="n">
        <v>14</v>
      </c>
      <c r="E336" s="0" t="n">
        <v>2406</v>
      </c>
      <c r="F336" s="0" t="n">
        <v>85</v>
      </c>
      <c r="G336" s="0" t="n">
        <v>131</v>
      </c>
      <c r="H336" s="0" t="s">
        <v>672</v>
      </c>
      <c r="I336" s="0" t="s">
        <v>702</v>
      </c>
      <c r="J336" s="9" t="n">
        <v>45901</v>
      </c>
      <c r="K336" s="0" t="s">
        <v>703</v>
      </c>
      <c r="L336" s="0" t="n">
        <v>6</v>
      </c>
      <c r="M336" s="10" t="n">
        <f aca="false">_xlfn.NUMBERVALUE("" &amp; K336 &amp; "",".",",")</f>
        <v>0.139846190833333</v>
      </c>
      <c r="N336" s="10"/>
      <c r="O336" s="0" t="str">
        <f aca="false">VLOOKUP(C336,statusdetails!$A:$D,4,0)</f>
        <v>STANDBY</v>
      </c>
      <c r="P336" s="0" t="str">
        <f aca="false">VLOOKUP(F336,equipment!$A:$E,4,0)</f>
        <v>CM02</v>
      </c>
      <c r="Q336" s="0" t="str">
        <f aca="false">VLOOKUP(F336,equipment!$A:$E,5,0)</f>
        <v>CM02 - 85</v>
      </c>
    </row>
    <row r="337" customFormat="false" ht="12.8" hidden="true" customHeight="false" outlineLevel="0" collapsed="false">
      <c r="A337" s="0" t="n">
        <v>466429</v>
      </c>
      <c r="B337" s="0" t="n">
        <v>466429</v>
      </c>
      <c r="C337" s="0" t="n">
        <v>3</v>
      </c>
      <c r="D337" s="0" t="n">
        <v>14</v>
      </c>
      <c r="E337" s="0" t="n">
        <v>1787</v>
      </c>
      <c r="F337" s="0" t="n">
        <v>60</v>
      </c>
      <c r="G337" s="0" t="n">
        <v>163</v>
      </c>
      <c r="H337" s="0" t="s">
        <v>612</v>
      </c>
      <c r="I337" s="0" t="s">
        <v>704</v>
      </c>
      <c r="J337" s="9" t="n">
        <v>45901</v>
      </c>
      <c r="K337" s="0" t="s">
        <v>705</v>
      </c>
      <c r="L337" s="0" t="n">
        <v>6</v>
      </c>
      <c r="M337" s="10" t="n">
        <f aca="false">_xlfn.NUMBERVALUE("" &amp; K337 &amp; "",".",",")</f>
        <v>0.179136891944444</v>
      </c>
      <c r="N337" s="10"/>
      <c r="O337" s="0" t="str">
        <f aca="false">VLOOKUP(C337,statusdetails!$A:$D,4,0)</f>
        <v>STANDBY</v>
      </c>
      <c r="P337" s="0" t="str">
        <f aca="false">VLOOKUP(F337,equipment!$A:$E,4,0)</f>
        <v>EX802</v>
      </c>
      <c r="Q337" s="0" t="str">
        <f aca="false">VLOOKUP(F337,equipment!$A:$E,5,0)</f>
        <v>EX802 - 60</v>
      </c>
    </row>
    <row r="338" customFormat="false" ht="12.8" hidden="true" customHeight="false" outlineLevel="0" collapsed="false">
      <c r="A338" s="0" t="n">
        <v>466430</v>
      </c>
      <c r="B338" s="0" t="n">
        <v>466430</v>
      </c>
      <c r="C338" s="0" t="n">
        <v>3</v>
      </c>
      <c r="D338" s="0" t="n">
        <v>14</v>
      </c>
      <c r="E338" s="0" t="n">
        <v>1789</v>
      </c>
      <c r="F338" s="0" t="n">
        <v>33</v>
      </c>
      <c r="G338" s="0" t="n">
        <v>20</v>
      </c>
      <c r="H338" s="0" t="s">
        <v>638</v>
      </c>
      <c r="I338" s="0" t="s">
        <v>706</v>
      </c>
      <c r="J338" s="9" t="n">
        <v>45901</v>
      </c>
      <c r="K338" s="0" t="s">
        <v>707</v>
      </c>
      <c r="L338" s="0" t="n">
        <v>6</v>
      </c>
      <c r="M338" s="10" t="n">
        <f aca="false">_xlfn.NUMBERVALUE("" &amp; K338 &amp; "",".",",")</f>
        <v>0.153950846111111</v>
      </c>
      <c r="N338" s="10"/>
      <c r="O338" s="0" t="str">
        <f aca="false">VLOOKUP(C338,statusdetails!$A:$D,4,0)</f>
        <v>STANDBY</v>
      </c>
      <c r="P338" s="0" t="str">
        <f aca="false">VLOOKUP(F338,equipment!$A:$E,4,0)</f>
        <v>CM406</v>
      </c>
      <c r="Q338" s="0" t="str">
        <f aca="false">VLOOKUP(F338,equipment!$A:$E,5,0)</f>
        <v>CM406 - 33</v>
      </c>
    </row>
    <row r="339" customFormat="false" ht="12.8" hidden="true" customHeight="false" outlineLevel="0" collapsed="false">
      <c r="A339" s="0" t="n">
        <v>466431</v>
      </c>
      <c r="B339" s="0" t="n">
        <v>466431</v>
      </c>
      <c r="C339" s="0" t="n">
        <v>3</v>
      </c>
      <c r="D339" s="0" t="n">
        <v>14</v>
      </c>
      <c r="E339" s="0" t="n">
        <v>2392</v>
      </c>
      <c r="F339" s="0" t="n">
        <v>82</v>
      </c>
      <c r="G339" s="0" t="n">
        <v>28</v>
      </c>
      <c r="H339" s="0" t="s">
        <v>686</v>
      </c>
      <c r="I339" s="0" t="s">
        <v>708</v>
      </c>
      <c r="J339" s="9" t="n">
        <v>45901</v>
      </c>
      <c r="K339" s="0" t="s">
        <v>709</v>
      </c>
      <c r="L339" s="0" t="n">
        <v>6</v>
      </c>
      <c r="M339" s="10" t="n">
        <f aca="false">_xlfn.NUMBERVALUE("" &amp; K339 &amp; "",".",",")</f>
        <v>0.0911155952777778</v>
      </c>
      <c r="N339" s="10"/>
      <c r="O339" s="0" t="str">
        <f aca="false">VLOOKUP(C339,statusdetails!$A:$D,4,0)</f>
        <v>STANDBY</v>
      </c>
      <c r="P339" s="0" t="str">
        <f aca="false">VLOOKUP(F339,equipment!$A:$E,4,0)</f>
        <v>EX502</v>
      </c>
      <c r="Q339" s="0" t="str">
        <f aca="false">VLOOKUP(F339,equipment!$A:$E,5,0)</f>
        <v>EX502 - 82</v>
      </c>
    </row>
    <row r="340" customFormat="false" ht="12.8" hidden="true" customHeight="false" outlineLevel="0" collapsed="false">
      <c r="A340" s="0" t="n">
        <v>466432</v>
      </c>
      <c r="B340" s="0" t="n">
        <v>466432</v>
      </c>
      <c r="C340" s="0" t="n">
        <v>3</v>
      </c>
      <c r="D340" s="0" t="n">
        <v>14</v>
      </c>
      <c r="E340" s="0" t="n">
        <v>2083</v>
      </c>
      <c r="F340" s="0" t="n">
        <v>42</v>
      </c>
      <c r="G340" s="0" t="n">
        <v>35</v>
      </c>
      <c r="H340" s="0" t="s">
        <v>630</v>
      </c>
      <c r="I340" s="0" t="s">
        <v>710</v>
      </c>
      <c r="J340" s="9" t="n">
        <v>45901</v>
      </c>
      <c r="K340" s="0" t="s">
        <v>711</v>
      </c>
      <c r="L340" s="0" t="n">
        <v>6</v>
      </c>
      <c r="M340" s="10" t="n">
        <f aca="false">_xlfn.NUMBERVALUE("" &amp; K340 &amp; "",".",",")</f>
        <v>0.0945955555555555</v>
      </c>
      <c r="N340" s="10"/>
      <c r="O340" s="0" t="str">
        <f aca="false">VLOOKUP(C340,statusdetails!$A:$D,4,0)</f>
        <v>STANDBY</v>
      </c>
      <c r="P340" s="0" t="str">
        <f aca="false">VLOOKUP(F340,equipment!$A:$E,4,0)</f>
        <v>PE301</v>
      </c>
      <c r="Q340" s="0" t="str">
        <f aca="false">VLOOKUP(F340,equipment!$A:$E,5,0)</f>
        <v>PE301 - 42</v>
      </c>
    </row>
    <row r="341" customFormat="false" ht="12.8" hidden="true" customHeight="false" outlineLevel="0" collapsed="false">
      <c r="A341" s="0" t="n">
        <v>466433</v>
      </c>
      <c r="B341" s="0" t="n">
        <v>466433</v>
      </c>
      <c r="C341" s="0" t="n">
        <v>1</v>
      </c>
      <c r="D341" s="0" t="n">
        <v>2303</v>
      </c>
      <c r="E341" s="0" t="n">
        <v>2586</v>
      </c>
      <c r="F341" s="0" t="n">
        <v>82</v>
      </c>
      <c r="G341" s="0" t="n">
        <v>28</v>
      </c>
      <c r="H341" s="0" t="s">
        <v>708</v>
      </c>
      <c r="I341" s="0" t="s">
        <v>712</v>
      </c>
      <c r="J341" s="9" t="n">
        <v>45901</v>
      </c>
      <c r="K341" s="0" t="s">
        <v>713</v>
      </c>
      <c r="L341" s="0" t="n">
        <v>6</v>
      </c>
      <c r="M341" s="10" t="n">
        <f aca="false">_xlfn.NUMBERVALUE("" &amp; K341 &amp; "",".",",")</f>
        <v>0.0729081069444444</v>
      </c>
      <c r="N341" s="10"/>
      <c r="O341" s="0" t="str">
        <f aca="false">VLOOKUP(C341,statusdetails!$A:$D,4,0)</f>
        <v>READY</v>
      </c>
    </row>
    <row r="342" customFormat="false" ht="12.8" hidden="true" customHeight="false" outlineLevel="0" collapsed="false">
      <c r="A342" s="0" t="n">
        <v>466434</v>
      </c>
      <c r="B342" s="0" t="n">
        <v>466434</v>
      </c>
      <c r="C342" s="0" t="n">
        <v>3</v>
      </c>
      <c r="D342" s="0" t="n">
        <v>12</v>
      </c>
      <c r="E342" s="0" t="n">
        <v>608</v>
      </c>
      <c r="F342" s="0" t="n">
        <v>41</v>
      </c>
      <c r="G342" s="0" t="n">
        <v>87</v>
      </c>
      <c r="H342" s="0" t="s">
        <v>562</v>
      </c>
      <c r="I342" s="0" t="s">
        <v>714</v>
      </c>
      <c r="J342" s="9" t="n">
        <v>45901</v>
      </c>
      <c r="K342" s="0" t="s">
        <v>715</v>
      </c>
      <c r="L342" s="0" t="n">
        <v>6</v>
      </c>
      <c r="M342" s="10" t="n">
        <f aca="false">_xlfn.NUMBERVALUE("" &amp; K342 &amp; "",".",",")</f>
        <v>0.0822303833333333</v>
      </c>
      <c r="N342" s="10"/>
      <c r="O342" s="0" t="str">
        <f aca="false">VLOOKUP(C342,statusdetails!$A:$D,4,0)</f>
        <v>STANDBY</v>
      </c>
      <c r="P342" s="0" t="str">
        <f aca="false">VLOOKUP(F342,equipment!$A:$E,4,0)</f>
        <v>MO102</v>
      </c>
      <c r="Q342" s="0" t="str">
        <f aca="false">VLOOKUP(F342,equipment!$A:$E,5,0)</f>
        <v>MO102 - 41</v>
      </c>
    </row>
    <row r="343" customFormat="false" ht="12.8" hidden="true" customHeight="false" outlineLevel="0" collapsed="false">
      <c r="A343" s="0" t="n">
        <v>466435</v>
      </c>
      <c r="B343" s="0" t="n">
        <v>466435</v>
      </c>
      <c r="C343" s="0" t="n">
        <v>1</v>
      </c>
      <c r="D343" s="0" t="n">
        <v>6</v>
      </c>
      <c r="E343" s="0" t="n">
        <v>2518</v>
      </c>
      <c r="F343" s="0" t="n">
        <v>96</v>
      </c>
      <c r="G343" s="0" t="n">
        <v>124</v>
      </c>
      <c r="H343" s="0" t="s">
        <v>696</v>
      </c>
      <c r="I343" s="0" t="s">
        <v>716</v>
      </c>
      <c r="J343" s="9" t="n">
        <v>45901</v>
      </c>
      <c r="K343" s="0" t="s">
        <v>717</v>
      </c>
      <c r="L343" s="0" t="n">
        <v>6</v>
      </c>
      <c r="M343" s="10" t="n">
        <f aca="false">_xlfn.NUMBERVALUE("" &amp; K343 &amp; "",".",",")</f>
        <v>3.41558611861111</v>
      </c>
      <c r="N343" s="10"/>
      <c r="O343" s="0" t="str">
        <f aca="false">VLOOKUP(C343,statusdetails!$A:$D,4,0)</f>
        <v>READY</v>
      </c>
    </row>
    <row r="344" customFormat="false" ht="12.8" hidden="true" customHeight="false" outlineLevel="0" collapsed="false">
      <c r="A344" s="0" t="n">
        <v>466436</v>
      </c>
      <c r="B344" s="0" t="n">
        <v>466436</v>
      </c>
      <c r="C344" s="0" t="n">
        <v>1</v>
      </c>
      <c r="D344" s="0" t="n">
        <v>6</v>
      </c>
      <c r="E344" s="0" t="n">
        <v>2404</v>
      </c>
      <c r="F344" s="0" t="n">
        <v>85</v>
      </c>
      <c r="G344" s="0" t="n">
        <v>131</v>
      </c>
      <c r="H344" s="0" t="s">
        <v>702</v>
      </c>
      <c r="I344" s="0" t="s">
        <v>718</v>
      </c>
      <c r="J344" s="9" t="n">
        <v>45901</v>
      </c>
      <c r="K344" s="0" t="s">
        <v>719</v>
      </c>
      <c r="L344" s="0" t="n">
        <v>6</v>
      </c>
      <c r="M344" s="10" t="n">
        <f aca="false">_xlfn.NUMBERVALUE("" &amp; K344 &amp; "",".",",")</f>
        <v>4.20102480472222</v>
      </c>
      <c r="N344" s="10"/>
      <c r="O344" s="0" t="str">
        <f aca="false">VLOOKUP(C344,statusdetails!$A:$D,4,0)</f>
        <v>READY</v>
      </c>
    </row>
    <row r="345" customFormat="false" ht="12.8" hidden="true" customHeight="false" outlineLevel="0" collapsed="false">
      <c r="A345" s="0" t="n">
        <v>466437</v>
      </c>
      <c r="B345" s="0" t="n">
        <v>466437</v>
      </c>
      <c r="C345" s="0" t="n">
        <v>1</v>
      </c>
      <c r="D345" s="0" t="n">
        <v>6</v>
      </c>
      <c r="E345" s="0" t="n">
        <v>2404</v>
      </c>
      <c r="F345" s="0" t="n">
        <v>86</v>
      </c>
      <c r="G345" s="0" t="n">
        <v>139</v>
      </c>
      <c r="H345" s="0" t="s">
        <v>692</v>
      </c>
      <c r="I345" s="0" t="s">
        <v>720</v>
      </c>
      <c r="J345" s="9" t="n">
        <v>45901</v>
      </c>
      <c r="K345" s="0" t="s">
        <v>721</v>
      </c>
      <c r="L345" s="0" t="n">
        <v>6</v>
      </c>
      <c r="M345" s="10" t="n">
        <f aca="false">_xlfn.NUMBERVALUE("" &amp; K345 &amp; "",".",",")</f>
        <v>2.50252687805556</v>
      </c>
      <c r="N345" s="10"/>
      <c r="O345" s="0" t="str">
        <f aca="false">VLOOKUP(C345,statusdetails!$A:$D,4,0)</f>
        <v>READY</v>
      </c>
    </row>
    <row r="346" customFormat="false" ht="12.8" hidden="true" customHeight="false" outlineLevel="0" collapsed="false">
      <c r="A346" s="0" t="n">
        <v>466438</v>
      </c>
      <c r="B346" s="0" t="n">
        <v>466438</v>
      </c>
      <c r="C346" s="0" t="n">
        <v>1</v>
      </c>
      <c r="D346" s="0" t="n">
        <v>6</v>
      </c>
      <c r="E346" s="0" t="n">
        <v>2404</v>
      </c>
      <c r="F346" s="0" t="n">
        <v>89</v>
      </c>
      <c r="G346" s="0" t="n">
        <v>2</v>
      </c>
      <c r="H346" s="0" t="s">
        <v>694</v>
      </c>
      <c r="I346" s="0" t="s">
        <v>722</v>
      </c>
      <c r="J346" s="9" t="n">
        <v>45901</v>
      </c>
      <c r="K346" s="0" t="s">
        <v>723</v>
      </c>
      <c r="L346" s="0" t="n">
        <v>6</v>
      </c>
      <c r="M346" s="10" t="n">
        <f aca="false">_xlfn.NUMBERVALUE("" &amp; K346 &amp; "",".",",")</f>
        <v>3.37628354</v>
      </c>
      <c r="N346" s="10"/>
      <c r="O346" s="0" t="str">
        <f aca="false">VLOOKUP(C346,statusdetails!$A:$D,4,0)</f>
        <v>READY</v>
      </c>
    </row>
    <row r="347" customFormat="false" ht="12.8" hidden="true" customHeight="false" outlineLevel="0" collapsed="false">
      <c r="A347" s="0" t="n">
        <v>466439</v>
      </c>
      <c r="B347" s="0" t="n">
        <v>466439</v>
      </c>
      <c r="C347" s="0" t="n">
        <v>1</v>
      </c>
      <c r="D347" s="0" t="n">
        <v>6</v>
      </c>
      <c r="E347" s="0" t="n">
        <v>2404</v>
      </c>
      <c r="F347" s="0" t="n">
        <v>87</v>
      </c>
      <c r="G347" s="0" t="n">
        <v>140</v>
      </c>
      <c r="H347" s="0" t="s">
        <v>700</v>
      </c>
      <c r="I347" s="0" t="s">
        <v>724</v>
      </c>
      <c r="J347" s="9" t="n">
        <v>45901</v>
      </c>
      <c r="K347" s="0" t="s">
        <v>725</v>
      </c>
      <c r="L347" s="0" t="n">
        <v>6</v>
      </c>
      <c r="M347" s="10" t="n">
        <f aca="false">_xlfn.NUMBERVALUE("" &amp; K347 &amp; "",".",",")</f>
        <v>3.41209937</v>
      </c>
      <c r="N347" s="10"/>
      <c r="O347" s="0" t="str">
        <f aca="false">VLOOKUP(C347,statusdetails!$A:$D,4,0)</f>
        <v>READY</v>
      </c>
    </row>
    <row r="348" customFormat="false" ht="12.8" hidden="true" customHeight="false" outlineLevel="0" collapsed="false">
      <c r="A348" s="0" t="n">
        <v>466440</v>
      </c>
      <c r="B348" s="0" t="n">
        <v>466440</v>
      </c>
      <c r="C348" s="0" t="n">
        <v>1</v>
      </c>
      <c r="D348" s="0" t="n">
        <v>6</v>
      </c>
      <c r="E348" s="0" t="n">
        <v>2404</v>
      </c>
      <c r="F348" s="0" t="n">
        <v>84</v>
      </c>
      <c r="G348" s="0" t="n">
        <v>4</v>
      </c>
      <c r="H348" s="0" t="s">
        <v>698</v>
      </c>
      <c r="I348" s="0" t="s">
        <v>726</v>
      </c>
      <c r="J348" s="9" t="n">
        <v>45901</v>
      </c>
      <c r="K348" s="0" t="s">
        <v>727</v>
      </c>
      <c r="L348" s="0" t="n">
        <v>6</v>
      </c>
      <c r="M348" s="10" t="n">
        <f aca="false">_xlfn.NUMBERVALUE("" &amp; K348 &amp; "",".",",")</f>
        <v>3.40252912055556</v>
      </c>
      <c r="N348" s="10"/>
      <c r="O348" s="0" t="str">
        <f aca="false">VLOOKUP(C348,statusdetails!$A:$D,4,0)</f>
        <v>READY</v>
      </c>
    </row>
    <row r="349" customFormat="false" ht="12.8" hidden="true" customHeight="false" outlineLevel="0" collapsed="false">
      <c r="A349" s="0" t="n">
        <v>466441</v>
      </c>
      <c r="B349" s="0" t="n">
        <v>466441</v>
      </c>
      <c r="C349" s="0" t="n">
        <v>1</v>
      </c>
      <c r="D349" s="0" t="n">
        <v>6</v>
      </c>
      <c r="E349" s="0" t="n">
        <v>260</v>
      </c>
      <c r="F349" s="0" t="n">
        <v>33</v>
      </c>
      <c r="G349" s="0" t="n">
        <v>0</v>
      </c>
      <c r="H349" s="0" t="s">
        <v>706</v>
      </c>
      <c r="I349" s="0" t="s">
        <v>728</v>
      </c>
      <c r="J349" s="9" t="n">
        <v>45901</v>
      </c>
      <c r="K349" s="0" t="s">
        <v>729</v>
      </c>
      <c r="L349" s="0" t="n">
        <v>6</v>
      </c>
      <c r="M349" s="10" t="n">
        <f aca="false">_xlfn.NUMBERVALUE("" &amp; K349 &amp; "",".",",")</f>
        <v>3.00481599444444</v>
      </c>
      <c r="N349" s="10"/>
      <c r="O349" s="0" t="str">
        <f aca="false">VLOOKUP(C349,statusdetails!$A:$D,4,0)</f>
        <v>READY</v>
      </c>
    </row>
    <row r="350" customFormat="false" ht="12.8" hidden="true" customHeight="false" outlineLevel="0" collapsed="false">
      <c r="A350" s="0" t="n">
        <v>466442</v>
      </c>
      <c r="B350" s="0" t="n">
        <v>466442</v>
      </c>
      <c r="C350" s="0" t="n">
        <v>1</v>
      </c>
      <c r="D350" s="0" t="n">
        <v>6</v>
      </c>
      <c r="E350" s="0" t="n">
        <v>260</v>
      </c>
      <c r="F350" s="0" t="n">
        <v>66</v>
      </c>
      <c r="G350" s="0" t="n">
        <v>113</v>
      </c>
      <c r="H350" s="0" t="s">
        <v>682</v>
      </c>
      <c r="I350" s="0" t="s">
        <v>730</v>
      </c>
      <c r="J350" s="9" t="n">
        <v>45902</v>
      </c>
      <c r="K350" s="0" t="s">
        <v>731</v>
      </c>
      <c r="L350" s="0" t="n">
        <v>7</v>
      </c>
      <c r="M350" s="10" t="n">
        <f aca="false">_xlfn.NUMBERVALUE("" &amp; K350 &amp; "",".",",")</f>
        <v>1.74184039</v>
      </c>
      <c r="N350" s="10"/>
      <c r="O350" s="0" t="str">
        <f aca="false">VLOOKUP(C350,statusdetails!$A:$D,4,0)</f>
        <v>READY</v>
      </c>
    </row>
    <row r="351" customFormat="false" ht="12.8" hidden="true" customHeight="false" outlineLevel="0" collapsed="false">
      <c r="A351" s="0" t="n">
        <v>466443</v>
      </c>
      <c r="B351" s="0" t="n">
        <v>466443</v>
      </c>
      <c r="C351" s="0" t="n">
        <v>2</v>
      </c>
      <c r="D351" s="0" t="n">
        <v>7</v>
      </c>
      <c r="E351" s="0" t="n">
        <v>1026</v>
      </c>
      <c r="F351" s="0" t="n">
        <v>35</v>
      </c>
      <c r="G351" s="0" t="n">
        <v>126</v>
      </c>
      <c r="H351" s="0" t="s">
        <v>684</v>
      </c>
      <c r="I351" s="0" t="s">
        <v>732</v>
      </c>
      <c r="J351" s="9" t="n">
        <v>45902</v>
      </c>
      <c r="K351" s="0" t="s">
        <v>733</v>
      </c>
      <c r="L351" s="0" t="n">
        <v>7</v>
      </c>
      <c r="M351" s="3" t="n">
        <f aca="false">_xlfn.NUMBERVALUE("" &amp; K351 &amp; "",".",",")</f>
        <v>0.291398595</v>
      </c>
      <c r="O351" s="0" t="str">
        <f aca="false">VLOOKUP(C351,statusdetails!$A:$D,4,0)</f>
        <v>DELAY</v>
      </c>
    </row>
    <row r="352" customFormat="false" ht="12.8" hidden="true" customHeight="false" outlineLevel="0" collapsed="false">
      <c r="A352" s="0" t="n">
        <v>466444</v>
      </c>
      <c r="B352" s="0" t="n">
        <v>466444</v>
      </c>
      <c r="C352" s="0" t="n">
        <v>1</v>
      </c>
      <c r="D352" s="0" t="n">
        <v>6</v>
      </c>
      <c r="E352" s="0" t="n">
        <v>811</v>
      </c>
      <c r="F352" s="0" t="n">
        <v>42</v>
      </c>
      <c r="G352" s="0" t="n">
        <v>99</v>
      </c>
      <c r="H352" s="0" t="s">
        <v>710</v>
      </c>
      <c r="I352" s="0" t="s">
        <v>734</v>
      </c>
      <c r="J352" s="9" t="n">
        <v>45902</v>
      </c>
      <c r="K352" s="0" t="s">
        <v>735</v>
      </c>
      <c r="L352" s="0" t="n">
        <v>7</v>
      </c>
      <c r="M352" s="10" t="n">
        <f aca="false">_xlfn.NUMBERVALUE("" &amp; K352 &amp; "",".",",")</f>
        <v>0.50081</v>
      </c>
      <c r="N352" s="10"/>
      <c r="O352" s="0" t="str">
        <f aca="false">VLOOKUP(C352,statusdetails!$A:$D,4,0)</f>
        <v>READY</v>
      </c>
    </row>
    <row r="353" customFormat="false" ht="12.8" hidden="true" customHeight="false" outlineLevel="0" collapsed="false">
      <c r="A353" s="0" t="n">
        <v>466445</v>
      </c>
      <c r="B353" s="0" t="n">
        <v>466445</v>
      </c>
      <c r="C353" s="0" t="n">
        <v>2</v>
      </c>
      <c r="D353" s="0" t="n">
        <v>7</v>
      </c>
      <c r="E353" s="0" t="n">
        <v>2385</v>
      </c>
      <c r="F353" s="0" t="n">
        <v>82</v>
      </c>
      <c r="G353" s="0" t="n">
        <v>10</v>
      </c>
      <c r="H353" s="0" t="s">
        <v>712</v>
      </c>
      <c r="I353" s="0" t="s">
        <v>736</v>
      </c>
      <c r="J353" s="9" t="n">
        <v>45902</v>
      </c>
      <c r="K353" s="0" t="s">
        <v>737</v>
      </c>
      <c r="L353" s="0" t="n">
        <v>7</v>
      </c>
      <c r="M353" s="3" t="n">
        <f aca="false">_xlfn.NUMBERVALUE("" &amp; K353 &amp; "",".",",")</f>
        <v>0.00183170138888889</v>
      </c>
      <c r="O353" s="0" t="str">
        <f aca="false">VLOOKUP(C353,statusdetails!$A:$D,4,0)</f>
        <v>DELAY</v>
      </c>
    </row>
    <row r="354" customFormat="false" ht="12.8" hidden="true" customHeight="false" outlineLevel="0" collapsed="false">
      <c r="A354" s="0" t="n">
        <v>466446</v>
      </c>
      <c r="B354" s="0" t="n">
        <v>466446</v>
      </c>
      <c r="C354" s="0" t="n">
        <v>1</v>
      </c>
      <c r="D354" s="0" t="n">
        <v>2303</v>
      </c>
      <c r="E354" s="0" t="n">
        <v>2517</v>
      </c>
      <c r="F354" s="0" t="n">
        <v>82</v>
      </c>
      <c r="G354" s="0" t="n">
        <v>10</v>
      </c>
      <c r="H354" s="0" t="s">
        <v>736</v>
      </c>
      <c r="I354" s="0" t="s">
        <v>738</v>
      </c>
      <c r="J354" s="9" t="n">
        <v>45902</v>
      </c>
      <c r="K354" s="0" t="s">
        <v>739</v>
      </c>
      <c r="L354" s="0" t="n">
        <v>7</v>
      </c>
      <c r="M354" s="10" t="n">
        <f aca="false">_xlfn.NUMBERVALUE("" &amp; K354 &amp; "",".",",")</f>
        <v>0.0296528161111111</v>
      </c>
      <c r="N354" s="10"/>
      <c r="O354" s="0" t="str">
        <f aca="false">VLOOKUP(C354,statusdetails!$A:$D,4,0)</f>
        <v>READY</v>
      </c>
    </row>
    <row r="355" customFormat="false" ht="12.8" hidden="true" customHeight="false" outlineLevel="0" collapsed="false">
      <c r="A355" s="0" t="n">
        <v>466447</v>
      </c>
      <c r="B355" s="0" t="n">
        <v>466447</v>
      </c>
      <c r="C355" s="0" t="n">
        <v>1</v>
      </c>
      <c r="D355" s="0" t="n">
        <v>6</v>
      </c>
      <c r="E355" s="0" t="n">
        <v>1397</v>
      </c>
      <c r="F355" s="0" t="n">
        <v>60</v>
      </c>
      <c r="G355" s="0" t="n">
        <v>163</v>
      </c>
      <c r="H355" s="0" t="s">
        <v>704</v>
      </c>
      <c r="I355" s="0" t="s">
        <v>740</v>
      </c>
      <c r="J355" s="9" t="n">
        <v>45902</v>
      </c>
      <c r="K355" s="0" t="s">
        <v>741</v>
      </c>
      <c r="L355" s="0" t="n">
        <v>7</v>
      </c>
      <c r="M355" s="10" t="n">
        <f aca="false">_xlfn.NUMBERVALUE("" &amp; K355 &amp; "",".",",")</f>
        <v>0.389872500555556</v>
      </c>
      <c r="N355" s="10"/>
      <c r="O355" s="0" t="str">
        <f aca="false">VLOOKUP(C355,statusdetails!$A:$D,4,0)</f>
        <v>READY</v>
      </c>
    </row>
    <row r="356" customFormat="false" ht="12.8" hidden="true" customHeight="false" outlineLevel="0" collapsed="false">
      <c r="A356" s="0" t="n">
        <v>466448</v>
      </c>
      <c r="B356" s="0" t="n">
        <v>466448</v>
      </c>
      <c r="C356" s="0" t="n">
        <v>1</v>
      </c>
      <c r="D356" s="0" t="n">
        <v>6</v>
      </c>
      <c r="E356" s="0" t="n">
        <v>372</v>
      </c>
      <c r="F356" s="0" t="n">
        <v>91</v>
      </c>
      <c r="G356" s="0" t="n">
        <v>0</v>
      </c>
      <c r="H356" s="0" t="s">
        <v>688</v>
      </c>
      <c r="I356" s="0" t="s">
        <v>742</v>
      </c>
      <c r="J356" s="9" t="n">
        <v>45902</v>
      </c>
      <c r="K356" s="0" t="s">
        <v>743</v>
      </c>
      <c r="L356" s="0" t="n">
        <v>7</v>
      </c>
      <c r="M356" s="10" t="n">
        <f aca="false">_xlfn.NUMBERVALUE("" &amp; K356 &amp; "",".",",")</f>
        <v>11.8119598119444</v>
      </c>
      <c r="N356" s="10"/>
      <c r="O356" s="0" t="str">
        <f aca="false">VLOOKUP(C356,statusdetails!$A:$D,4,0)</f>
        <v>READY</v>
      </c>
    </row>
    <row r="357" customFormat="false" ht="12.8" hidden="true" customHeight="false" outlineLevel="0" collapsed="false">
      <c r="A357" s="0" t="n">
        <v>466449</v>
      </c>
      <c r="B357" s="0" t="n">
        <v>466449</v>
      </c>
      <c r="C357" s="0" t="n">
        <v>1</v>
      </c>
      <c r="D357" s="0" t="n">
        <v>6</v>
      </c>
      <c r="E357" s="0" t="n">
        <v>586</v>
      </c>
      <c r="F357" s="0" t="n">
        <v>41</v>
      </c>
      <c r="G357" s="0" t="n">
        <v>87</v>
      </c>
      <c r="H357" s="0" t="s">
        <v>714</v>
      </c>
      <c r="I357" s="0" t="s">
        <v>744</v>
      </c>
      <c r="J357" s="9" t="n">
        <v>45902</v>
      </c>
      <c r="K357" s="0" t="s">
        <v>745</v>
      </c>
      <c r="L357" s="0" t="n">
        <v>7</v>
      </c>
      <c r="M357" s="10" t="n">
        <f aca="false">_xlfn.NUMBERVALUE("" &amp; K357 &amp; "",".",",")</f>
        <v>6.83272534527778</v>
      </c>
      <c r="N357" s="10"/>
      <c r="O357" s="0" t="str">
        <f aca="false">VLOOKUP(C357,statusdetails!$A:$D,4,0)</f>
        <v>READY</v>
      </c>
    </row>
    <row r="358" customFormat="false" ht="12.8" hidden="true" customHeight="false" outlineLevel="0" collapsed="false">
      <c r="A358" s="0" t="n">
        <v>466450</v>
      </c>
      <c r="B358" s="0" t="n">
        <v>466450</v>
      </c>
      <c r="C358" s="0" t="n">
        <v>2</v>
      </c>
      <c r="D358" s="0" t="n">
        <v>7</v>
      </c>
      <c r="E358" s="0" t="n">
        <v>2385</v>
      </c>
      <c r="F358" s="0" t="n">
        <v>82</v>
      </c>
      <c r="G358" s="0" t="n">
        <v>10</v>
      </c>
      <c r="H358" s="0" t="s">
        <v>738</v>
      </c>
      <c r="I358" s="0" t="s">
        <v>746</v>
      </c>
      <c r="J358" s="9" t="n">
        <v>45902</v>
      </c>
      <c r="K358" s="0" t="s">
        <v>747</v>
      </c>
      <c r="L358" s="0" t="n">
        <v>7</v>
      </c>
      <c r="M358" s="3" t="n">
        <f aca="false">_xlfn.NUMBERVALUE("" &amp; K358 &amp; "",".",",")</f>
        <v>0.259536664444444</v>
      </c>
      <c r="O358" s="0" t="str">
        <f aca="false">VLOOKUP(C358,statusdetails!$A:$D,4,0)</f>
        <v>DELAY</v>
      </c>
    </row>
    <row r="359" customFormat="false" ht="12.8" hidden="true" customHeight="false" outlineLevel="0" collapsed="false">
      <c r="A359" s="0" t="n">
        <v>466451</v>
      </c>
      <c r="B359" s="0" t="n">
        <v>466451</v>
      </c>
      <c r="C359" s="0" t="n">
        <v>1</v>
      </c>
      <c r="D359" s="0" t="n">
        <v>6</v>
      </c>
      <c r="E359" s="0" t="n">
        <v>372</v>
      </c>
      <c r="F359" s="0" t="n">
        <v>37</v>
      </c>
      <c r="G359" s="0" t="n">
        <v>74</v>
      </c>
      <c r="H359" s="0" t="s">
        <v>690</v>
      </c>
      <c r="I359" s="0" t="s">
        <v>748</v>
      </c>
      <c r="J359" s="9" t="n">
        <v>45902</v>
      </c>
      <c r="K359" s="0" t="s">
        <v>749</v>
      </c>
      <c r="L359" s="0" t="n">
        <v>7</v>
      </c>
      <c r="M359" s="10" t="n">
        <f aca="false">_xlfn.NUMBERVALUE("" &amp; K359 &amp; "",".",",")</f>
        <v>11.3041477777778</v>
      </c>
      <c r="N359" s="10"/>
      <c r="O359" s="0" t="str">
        <f aca="false">VLOOKUP(C359,statusdetails!$A:$D,4,0)</f>
        <v>READY</v>
      </c>
    </row>
    <row r="360" customFormat="false" ht="12.8" hidden="true" customHeight="false" outlineLevel="0" collapsed="false">
      <c r="A360" s="0" t="n">
        <v>466452</v>
      </c>
      <c r="B360" s="0" t="n">
        <v>466452</v>
      </c>
      <c r="C360" s="0" t="n">
        <v>1</v>
      </c>
      <c r="D360" s="0" t="n">
        <v>6</v>
      </c>
      <c r="E360" s="0" t="n">
        <v>260</v>
      </c>
      <c r="F360" s="0" t="n">
        <v>35</v>
      </c>
      <c r="G360" s="0" t="n">
        <v>126</v>
      </c>
      <c r="H360" s="0" t="s">
        <v>732</v>
      </c>
      <c r="I360" s="0" t="s">
        <v>750</v>
      </c>
      <c r="J360" s="9" t="n">
        <v>45902</v>
      </c>
      <c r="K360" s="0" t="s">
        <v>751</v>
      </c>
      <c r="L360" s="0" t="n">
        <v>7</v>
      </c>
      <c r="M360" s="10" t="n">
        <f aca="false">_xlfn.NUMBERVALUE("" &amp; K360 &amp; "",".",",")</f>
        <v>2.49006240194444</v>
      </c>
      <c r="N360" s="10"/>
      <c r="O360" s="0" t="str">
        <f aca="false">VLOOKUP(C360,statusdetails!$A:$D,4,0)</f>
        <v>READY</v>
      </c>
    </row>
    <row r="361" customFormat="false" ht="12.8" hidden="true" customHeight="false" outlineLevel="0" collapsed="false">
      <c r="A361" s="0" t="n">
        <v>466453</v>
      </c>
      <c r="B361" s="0" t="n">
        <v>466453</v>
      </c>
      <c r="C361" s="0" t="n">
        <v>1</v>
      </c>
      <c r="D361" s="0" t="n">
        <v>6</v>
      </c>
      <c r="E361" s="0" t="n">
        <v>2518</v>
      </c>
      <c r="F361" s="0" t="n">
        <v>82</v>
      </c>
      <c r="G361" s="0" t="n">
        <v>10</v>
      </c>
      <c r="H361" s="0" t="s">
        <v>746</v>
      </c>
      <c r="I361" s="0" t="s">
        <v>752</v>
      </c>
      <c r="J361" s="9" t="n">
        <v>45902</v>
      </c>
      <c r="K361" s="0" t="s">
        <v>753</v>
      </c>
      <c r="L361" s="0" t="n">
        <v>7</v>
      </c>
      <c r="M361" s="10" t="n">
        <f aca="false">_xlfn.NUMBERVALUE("" &amp; K361 &amp; "",".",",")</f>
        <v>1.66618210277778</v>
      </c>
      <c r="N361" s="10"/>
      <c r="O361" s="0" t="str">
        <f aca="false">VLOOKUP(C361,statusdetails!$A:$D,4,0)</f>
        <v>READY</v>
      </c>
    </row>
    <row r="362" customFormat="false" ht="12.8" hidden="true" customHeight="false" outlineLevel="0" collapsed="false">
      <c r="A362" s="0" t="n">
        <v>466454</v>
      </c>
      <c r="B362" s="0" t="n">
        <v>466454</v>
      </c>
      <c r="C362" s="0" t="n">
        <v>4</v>
      </c>
      <c r="D362" s="0" t="n">
        <v>16</v>
      </c>
      <c r="E362" s="0" t="n">
        <v>2505</v>
      </c>
      <c r="F362" s="0" t="n">
        <v>88</v>
      </c>
      <c r="G362" s="0" t="n">
        <v>0</v>
      </c>
      <c r="H362" s="0" t="s">
        <v>676</v>
      </c>
      <c r="I362" s="0" t="s">
        <v>754</v>
      </c>
      <c r="J362" s="9" t="n">
        <v>45902</v>
      </c>
      <c r="K362" s="0" t="s">
        <v>755</v>
      </c>
      <c r="L362" s="0" t="n">
        <v>7</v>
      </c>
      <c r="M362" s="10" t="n">
        <f aca="false">_xlfn.NUMBERVALUE("" &amp; K362 &amp; "",".",",")</f>
        <v>3.50684327333333</v>
      </c>
      <c r="N362" s="10"/>
      <c r="O362" s="0" t="str">
        <f aca="false">VLOOKUP(C362,statusdetails!$A:$D,4,0)</f>
        <v>MAINT</v>
      </c>
    </row>
    <row r="363" customFormat="false" ht="12.8" hidden="true" customHeight="false" outlineLevel="0" collapsed="false">
      <c r="A363" s="0" t="n">
        <v>466455</v>
      </c>
      <c r="B363" s="0" t="n">
        <v>466455</v>
      </c>
      <c r="C363" s="0" t="n">
        <v>3</v>
      </c>
      <c r="D363" s="0" t="n">
        <v>12</v>
      </c>
      <c r="E363" s="0" t="n">
        <v>2093</v>
      </c>
      <c r="F363" s="0" t="n">
        <v>60</v>
      </c>
      <c r="G363" s="0" t="n">
        <v>163</v>
      </c>
      <c r="H363" s="0" t="s">
        <v>740</v>
      </c>
      <c r="I363" s="0" t="s">
        <v>756</v>
      </c>
      <c r="J363" s="9" t="n">
        <v>45902</v>
      </c>
      <c r="K363" s="0" t="s">
        <v>757</v>
      </c>
      <c r="L363" s="0" t="n">
        <v>7</v>
      </c>
      <c r="M363" s="10" t="n">
        <f aca="false">_xlfn.NUMBERVALUE("" &amp; K363 &amp; "",".",",")</f>
        <v>0.240092620833333</v>
      </c>
      <c r="N363" s="10"/>
      <c r="O363" s="0" t="str">
        <f aca="false">VLOOKUP(C363,statusdetails!$A:$D,4,0)</f>
        <v>STANDBY</v>
      </c>
      <c r="P363" s="0" t="str">
        <f aca="false">VLOOKUP(F363,equipment!$A:$E,4,0)</f>
        <v>EX802</v>
      </c>
      <c r="Q363" s="0" t="str">
        <f aca="false">VLOOKUP(F363,equipment!$A:$E,5,0)</f>
        <v>EX802 - 60</v>
      </c>
    </row>
    <row r="364" customFormat="false" ht="12.8" hidden="true" customHeight="false" outlineLevel="0" collapsed="false">
      <c r="A364" s="0" t="n">
        <v>466456</v>
      </c>
      <c r="B364" s="0" t="n">
        <v>466456</v>
      </c>
      <c r="C364" s="0" t="n">
        <v>2</v>
      </c>
      <c r="D364" s="0" t="n">
        <v>7</v>
      </c>
      <c r="E364" s="0" t="n">
        <v>821</v>
      </c>
      <c r="F364" s="0" t="n">
        <v>42</v>
      </c>
      <c r="G364" s="0" t="n">
        <v>99</v>
      </c>
      <c r="H364" s="0" t="s">
        <v>734</v>
      </c>
      <c r="I364" s="0" t="s">
        <v>758</v>
      </c>
      <c r="J364" s="9" t="n">
        <v>45902</v>
      </c>
      <c r="K364" s="0" t="s">
        <v>759</v>
      </c>
      <c r="L364" s="0" t="n">
        <v>7</v>
      </c>
      <c r="M364" s="3" t="n">
        <f aca="false">_xlfn.NUMBERVALUE("" &amp; K364 &amp; "",".",",")</f>
        <v>0.0432394444444444</v>
      </c>
      <c r="O364" s="0" t="str">
        <f aca="false">VLOOKUP(C364,statusdetails!$A:$D,4,0)</f>
        <v>DELAY</v>
      </c>
    </row>
    <row r="365" customFormat="false" ht="12.8" hidden="true" customHeight="false" outlineLevel="0" collapsed="false">
      <c r="A365" s="0" t="n">
        <v>466457</v>
      </c>
      <c r="B365" s="0" t="n">
        <v>466457</v>
      </c>
      <c r="C365" s="0" t="n">
        <v>2</v>
      </c>
      <c r="D365" s="0" t="n">
        <v>7</v>
      </c>
      <c r="E365" s="0" t="n">
        <v>2064</v>
      </c>
      <c r="F365" s="0" t="n">
        <v>42</v>
      </c>
      <c r="G365" s="0" t="n">
        <v>99</v>
      </c>
      <c r="H365" s="0" t="s">
        <v>758</v>
      </c>
      <c r="I365" s="0" t="s">
        <v>760</v>
      </c>
      <c r="J365" s="9" t="n">
        <v>45902</v>
      </c>
      <c r="K365" s="0" t="s">
        <v>761</v>
      </c>
      <c r="L365" s="0" t="n">
        <v>7</v>
      </c>
      <c r="M365" s="3" t="n">
        <f aca="false">_xlfn.NUMBERVALUE("" &amp; K365 &amp; "",".",",")</f>
        <v>0.0247636111111111</v>
      </c>
      <c r="O365" s="0" t="str">
        <f aca="false">VLOOKUP(C365,statusdetails!$A:$D,4,0)</f>
        <v>DELAY</v>
      </c>
    </row>
    <row r="366" customFormat="false" ht="12.8" hidden="true" customHeight="false" outlineLevel="0" collapsed="false">
      <c r="A366" s="0" t="n">
        <v>466458</v>
      </c>
      <c r="B366" s="0" t="n">
        <v>466458</v>
      </c>
      <c r="C366" s="0" t="n">
        <v>1</v>
      </c>
      <c r="D366" s="0" t="n">
        <v>6</v>
      </c>
      <c r="E366" s="0" t="n">
        <v>2524</v>
      </c>
      <c r="F366" s="0" t="n">
        <v>74</v>
      </c>
      <c r="G366" s="0" t="n">
        <v>0</v>
      </c>
      <c r="H366" s="0" t="s">
        <v>536</v>
      </c>
      <c r="I366" s="0" t="s">
        <v>762</v>
      </c>
      <c r="J366" s="9" t="n">
        <v>45902</v>
      </c>
      <c r="K366" s="0" t="s">
        <v>763</v>
      </c>
      <c r="L366" s="0" t="n">
        <v>7</v>
      </c>
      <c r="M366" s="10" t="n">
        <f aca="false">_xlfn.NUMBERVALUE("" &amp; K366 &amp; "",".",",")</f>
        <v>11.2709534633333</v>
      </c>
      <c r="N366" s="10"/>
      <c r="O366" s="0" t="str">
        <f aca="false">VLOOKUP(C366,statusdetails!$A:$D,4,0)</f>
        <v>READY</v>
      </c>
    </row>
    <row r="367" customFormat="false" ht="12.8" hidden="true" customHeight="false" outlineLevel="0" collapsed="false">
      <c r="A367" s="0" t="n">
        <v>466459</v>
      </c>
      <c r="B367" s="0" t="n">
        <v>466459</v>
      </c>
      <c r="C367" s="0" t="n">
        <v>1</v>
      </c>
      <c r="D367" s="0" t="n">
        <v>6</v>
      </c>
      <c r="E367" s="0" t="n">
        <v>2524</v>
      </c>
      <c r="F367" s="0" t="n">
        <v>49</v>
      </c>
      <c r="G367" s="0" t="n">
        <v>0</v>
      </c>
      <c r="H367" s="0" t="s">
        <v>330</v>
      </c>
      <c r="I367" s="0" t="s">
        <v>764</v>
      </c>
      <c r="J367" s="9" t="n">
        <v>45902</v>
      </c>
      <c r="K367" s="0" t="s">
        <v>765</v>
      </c>
      <c r="L367" s="0" t="n">
        <v>7</v>
      </c>
      <c r="M367" s="10" t="n">
        <f aca="false">_xlfn.NUMBERVALUE("" &amp; K367 &amp; "",".",",")</f>
        <v>3.80827407583333</v>
      </c>
      <c r="N367" s="10"/>
      <c r="O367" s="0" t="str">
        <f aca="false">VLOOKUP(C367,statusdetails!$A:$D,4,0)</f>
        <v>READY</v>
      </c>
    </row>
    <row r="368" customFormat="false" ht="12.8" hidden="true" customHeight="false" outlineLevel="0" collapsed="false">
      <c r="A368" s="0" t="n">
        <v>466460</v>
      </c>
      <c r="B368" s="0" t="n">
        <v>466460</v>
      </c>
      <c r="C368" s="0" t="n">
        <v>2</v>
      </c>
      <c r="D368" s="0" t="n">
        <v>7</v>
      </c>
      <c r="E368" s="0" t="n">
        <v>821</v>
      </c>
      <c r="F368" s="0" t="n">
        <v>42</v>
      </c>
      <c r="G368" s="0" t="n">
        <v>99</v>
      </c>
      <c r="H368" s="0" t="s">
        <v>760</v>
      </c>
      <c r="I368" s="0" t="s">
        <v>766</v>
      </c>
      <c r="J368" s="9" t="n">
        <v>45902</v>
      </c>
      <c r="K368" s="0" t="s">
        <v>767</v>
      </c>
      <c r="L368" s="0" t="n">
        <v>7</v>
      </c>
      <c r="M368" s="3" t="n">
        <f aca="false">_xlfn.NUMBERVALUE("" &amp; K368 &amp; "",".",",")</f>
        <v>0.204971111111111</v>
      </c>
      <c r="O368" s="0" t="str">
        <f aca="false">VLOOKUP(C368,statusdetails!$A:$D,4,0)</f>
        <v>DELAY</v>
      </c>
    </row>
    <row r="369" customFormat="false" ht="12.8" hidden="true" customHeight="false" outlineLevel="0" collapsed="false">
      <c r="A369" s="0" t="n">
        <v>466461</v>
      </c>
      <c r="B369" s="0" t="n">
        <v>466461</v>
      </c>
      <c r="C369" s="0" t="n">
        <v>1</v>
      </c>
      <c r="D369" s="0" t="n">
        <v>6</v>
      </c>
      <c r="E369" s="0" t="n">
        <v>1397</v>
      </c>
      <c r="F369" s="0" t="n">
        <v>60</v>
      </c>
      <c r="G369" s="0" t="n">
        <v>163</v>
      </c>
      <c r="H369" s="0" t="s">
        <v>756</v>
      </c>
      <c r="I369" s="0" t="s">
        <v>768</v>
      </c>
      <c r="J369" s="9" t="n">
        <v>45902</v>
      </c>
      <c r="K369" s="0" t="s">
        <v>769</v>
      </c>
      <c r="L369" s="0" t="n">
        <v>7</v>
      </c>
      <c r="M369" s="10" t="n">
        <f aca="false">_xlfn.NUMBERVALUE("" &amp; K369 &amp; "",".",",")</f>
        <v>2.65537650305556</v>
      </c>
      <c r="N369" s="10"/>
      <c r="O369" s="0" t="str">
        <f aca="false">VLOOKUP(C369,statusdetails!$A:$D,4,0)</f>
        <v>READY</v>
      </c>
    </row>
    <row r="370" customFormat="false" ht="12.8" hidden="true" customHeight="false" outlineLevel="0" collapsed="false">
      <c r="A370" s="0" t="n">
        <v>466462</v>
      </c>
      <c r="B370" s="0" t="n">
        <v>466462</v>
      </c>
      <c r="C370" s="0" t="n">
        <v>1</v>
      </c>
      <c r="D370" s="0" t="n">
        <v>6</v>
      </c>
      <c r="E370" s="0" t="n">
        <v>811</v>
      </c>
      <c r="F370" s="0" t="n">
        <v>42</v>
      </c>
      <c r="G370" s="0" t="n">
        <v>99</v>
      </c>
      <c r="H370" s="0" t="s">
        <v>766</v>
      </c>
      <c r="I370" s="0" t="s">
        <v>770</v>
      </c>
      <c r="J370" s="9" t="n">
        <v>45902</v>
      </c>
      <c r="K370" s="0" t="s">
        <v>771</v>
      </c>
      <c r="L370" s="0" t="n">
        <v>7</v>
      </c>
      <c r="M370" s="10" t="n">
        <f aca="false">_xlfn.NUMBERVALUE("" &amp; K370 &amp; "",".",",")</f>
        <v>0.237881111111111</v>
      </c>
      <c r="N370" s="10"/>
      <c r="O370" s="0" t="str">
        <f aca="false">VLOOKUP(C370,statusdetails!$A:$D,4,0)</f>
        <v>READY</v>
      </c>
    </row>
    <row r="371" customFormat="false" ht="12.8" hidden="true" customHeight="false" outlineLevel="0" collapsed="false">
      <c r="A371" s="0" t="n">
        <v>466463</v>
      </c>
      <c r="B371" s="0" t="n">
        <v>466463</v>
      </c>
      <c r="C371" s="0" t="n">
        <v>2</v>
      </c>
      <c r="D371" s="0" t="n">
        <v>9</v>
      </c>
      <c r="E371" s="0" t="n">
        <v>2509</v>
      </c>
      <c r="F371" s="0" t="n">
        <v>42</v>
      </c>
      <c r="G371" s="0" t="n">
        <v>99</v>
      </c>
      <c r="H371" s="0" t="s">
        <v>770</v>
      </c>
      <c r="I371" s="0" t="s">
        <v>772</v>
      </c>
      <c r="J371" s="9" t="n">
        <v>45902</v>
      </c>
      <c r="K371" s="0" t="s">
        <v>773</v>
      </c>
      <c r="L371" s="0" t="n">
        <v>8</v>
      </c>
      <c r="M371" s="3" t="n">
        <f aca="false">_xlfn.NUMBERVALUE("" &amp; K371 &amp; "",".",",")</f>
        <v>0.912975322222222</v>
      </c>
      <c r="O371" s="0" t="str">
        <f aca="false">VLOOKUP(C371,statusdetails!$A:$D,4,0)</f>
        <v>DELAY</v>
      </c>
    </row>
    <row r="372" customFormat="false" ht="12.8" hidden="true" customHeight="false" outlineLevel="0" collapsed="false">
      <c r="A372" s="0" t="n">
        <v>466464</v>
      </c>
      <c r="B372" s="0" t="n">
        <v>466464</v>
      </c>
      <c r="C372" s="0" t="n">
        <v>2</v>
      </c>
      <c r="D372" s="0" t="n">
        <v>9</v>
      </c>
      <c r="E372" s="0" t="n">
        <v>1059</v>
      </c>
      <c r="F372" s="0" t="n">
        <v>66</v>
      </c>
      <c r="G372" s="0" t="n">
        <v>113</v>
      </c>
      <c r="H372" s="0" t="s">
        <v>730</v>
      </c>
      <c r="I372" s="0" t="s">
        <v>774</v>
      </c>
      <c r="J372" s="9" t="n">
        <v>45902</v>
      </c>
      <c r="K372" s="0" t="s">
        <v>775</v>
      </c>
      <c r="L372" s="0" t="n">
        <v>8</v>
      </c>
      <c r="M372" s="3" t="n">
        <f aca="false">_xlfn.NUMBERVALUE("" &amp; K372 &amp; "",".",",")</f>
        <v>0.0476039427777778</v>
      </c>
      <c r="O372" s="0" t="str">
        <f aca="false">VLOOKUP(C372,statusdetails!$A:$D,4,0)</f>
        <v>DELAY</v>
      </c>
    </row>
    <row r="373" customFormat="false" ht="12.8" hidden="true" customHeight="false" outlineLevel="0" collapsed="false">
      <c r="A373" s="0" t="n">
        <v>466465</v>
      </c>
      <c r="B373" s="0" t="n">
        <v>466465</v>
      </c>
      <c r="C373" s="0" t="n">
        <v>1</v>
      </c>
      <c r="D373" s="0" t="n">
        <v>6</v>
      </c>
      <c r="E373" s="0" t="n">
        <v>260</v>
      </c>
      <c r="F373" s="0" t="n">
        <v>66</v>
      </c>
      <c r="G373" s="0" t="n">
        <v>113</v>
      </c>
      <c r="H373" s="0" t="s">
        <v>774</v>
      </c>
      <c r="I373" s="0" t="s">
        <v>776</v>
      </c>
      <c r="J373" s="9" t="n">
        <v>45902</v>
      </c>
      <c r="K373" s="0" t="s">
        <v>777</v>
      </c>
      <c r="L373" s="0" t="n">
        <v>8</v>
      </c>
      <c r="M373" s="10" t="n">
        <f aca="false">_xlfn.NUMBERVALUE("" &amp; K373 &amp; "",".",",")</f>
        <v>0.898034061388889</v>
      </c>
      <c r="N373" s="10"/>
      <c r="O373" s="0" t="str">
        <f aca="false">VLOOKUP(C373,statusdetails!$A:$D,4,0)</f>
        <v>READY</v>
      </c>
    </row>
    <row r="374" customFormat="false" ht="12.8" hidden="true" customHeight="false" outlineLevel="0" collapsed="false">
      <c r="A374" s="0" t="n">
        <v>466466</v>
      </c>
      <c r="B374" s="0" t="n">
        <v>466466</v>
      </c>
      <c r="C374" s="0" t="n">
        <v>3</v>
      </c>
      <c r="D374" s="0" t="n">
        <v>12</v>
      </c>
      <c r="E374" s="0" t="n">
        <v>2613</v>
      </c>
      <c r="F374" s="0" t="n">
        <v>42</v>
      </c>
      <c r="G374" s="0" t="n">
        <v>99</v>
      </c>
      <c r="H374" s="0" t="s">
        <v>772</v>
      </c>
      <c r="I374" s="0" t="s">
        <v>778</v>
      </c>
      <c r="J374" s="9" t="n">
        <v>45902</v>
      </c>
      <c r="K374" s="0" t="s">
        <v>779</v>
      </c>
      <c r="L374" s="0" t="n">
        <v>8</v>
      </c>
      <c r="M374" s="10" t="n">
        <f aca="false">_xlfn.NUMBERVALUE("" &amp; K374 &amp; "",".",",")</f>
        <v>6.4695169</v>
      </c>
      <c r="N374" s="10"/>
      <c r="O374" s="0" t="str">
        <f aca="false">VLOOKUP(C374,statusdetails!$A:$D,4,0)</f>
        <v>STANDBY</v>
      </c>
      <c r="P374" s="0" t="str">
        <f aca="false">VLOOKUP(F374,equipment!$A:$E,4,0)</f>
        <v>PE301</v>
      </c>
      <c r="Q374" s="0" t="str">
        <f aca="false">VLOOKUP(F374,equipment!$A:$E,5,0)</f>
        <v>PE301 - 42</v>
      </c>
    </row>
    <row r="375" customFormat="false" ht="12.8" hidden="true" customHeight="false" outlineLevel="0" collapsed="false">
      <c r="A375" s="0" t="n">
        <v>466467</v>
      </c>
      <c r="B375" s="0" t="n">
        <v>466467</v>
      </c>
      <c r="C375" s="0" t="n">
        <v>4</v>
      </c>
      <c r="D375" s="0" t="n">
        <v>15</v>
      </c>
      <c r="E375" s="0" t="n">
        <v>2396</v>
      </c>
      <c r="F375" s="0" t="n">
        <v>82</v>
      </c>
      <c r="G375" s="0" t="n">
        <v>10</v>
      </c>
      <c r="H375" s="0" t="s">
        <v>752</v>
      </c>
      <c r="I375" s="0" t="s">
        <v>780</v>
      </c>
      <c r="J375" s="9" t="n">
        <v>45902</v>
      </c>
      <c r="K375" s="0" t="s">
        <v>781</v>
      </c>
      <c r="L375" s="0" t="n">
        <v>8</v>
      </c>
      <c r="M375" s="10" t="n">
        <f aca="false">_xlfn.NUMBERVALUE("" &amp; K375 &amp; "",".",",")</f>
        <v>1.06405464583333</v>
      </c>
      <c r="N375" s="10"/>
      <c r="O375" s="0" t="str">
        <f aca="false">VLOOKUP(C375,statusdetails!$A:$D,4,0)</f>
        <v>MAINT</v>
      </c>
    </row>
    <row r="376" customFormat="false" ht="12.8" hidden="true" customHeight="false" outlineLevel="0" collapsed="false">
      <c r="A376" s="0" t="n">
        <v>466468</v>
      </c>
      <c r="B376" s="0" t="n">
        <v>466468</v>
      </c>
      <c r="C376" s="0" t="n">
        <v>3</v>
      </c>
      <c r="D376" s="0" t="n">
        <v>12</v>
      </c>
      <c r="E376" s="0" t="n">
        <v>1011</v>
      </c>
      <c r="F376" s="0" t="n">
        <v>34</v>
      </c>
      <c r="G376" s="0" t="n">
        <v>119</v>
      </c>
      <c r="H376" s="0" t="s">
        <v>678</v>
      </c>
      <c r="I376" s="0" t="s">
        <v>782</v>
      </c>
      <c r="J376" s="9" t="n">
        <v>45902</v>
      </c>
      <c r="K376" s="0" t="s">
        <v>783</v>
      </c>
      <c r="L376" s="0" t="n">
        <v>9</v>
      </c>
      <c r="M376" s="10" t="n">
        <f aca="false">_xlfn.NUMBERVALUE("" &amp; K376 &amp; "",".",",")</f>
        <v>0.348694119444444</v>
      </c>
      <c r="N376" s="10"/>
      <c r="O376" s="0" t="str">
        <f aca="false">VLOOKUP(C376,statusdetails!$A:$D,4,0)</f>
        <v>STANDBY</v>
      </c>
      <c r="P376" s="0" t="str">
        <f aca="false">VLOOKUP(F376,equipment!$A:$E,4,0)</f>
        <v>CM404</v>
      </c>
      <c r="Q376" s="0" t="str">
        <f aca="false">VLOOKUP(F376,equipment!$A:$E,5,0)</f>
        <v>CM404 - 34</v>
      </c>
    </row>
    <row r="377" customFormat="false" ht="12.8" hidden="true" customHeight="false" outlineLevel="0" collapsed="false">
      <c r="A377" s="0" t="n">
        <v>466469</v>
      </c>
      <c r="B377" s="0" t="n">
        <v>466469</v>
      </c>
      <c r="C377" s="0" t="n">
        <v>3</v>
      </c>
      <c r="D377" s="0" t="n">
        <v>14</v>
      </c>
      <c r="E377" s="0" t="n">
        <v>1162</v>
      </c>
      <c r="F377" s="0" t="n">
        <v>34</v>
      </c>
      <c r="G377" s="0" t="n">
        <v>119</v>
      </c>
      <c r="H377" s="0" t="s">
        <v>782</v>
      </c>
      <c r="I377" s="0" t="s">
        <v>784</v>
      </c>
      <c r="J377" s="9" t="n">
        <v>45902</v>
      </c>
      <c r="K377" s="0" t="s">
        <v>785</v>
      </c>
      <c r="L377" s="0" t="n">
        <v>9</v>
      </c>
      <c r="M377" s="10" t="n">
        <f aca="false">_xlfn.NUMBERVALUE("" &amp; K377 &amp; "",".",",")</f>
        <v>0.0566611111111111</v>
      </c>
      <c r="N377" s="10"/>
      <c r="O377" s="0" t="str">
        <f aca="false">VLOOKUP(C377,statusdetails!$A:$D,4,0)</f>
        <v>STANDBY</v>
      </c>
      <c r="P377" s="0" t="str">
        <f aca="false">VLOOKUP(F377,equipment!$A:$E,4,0)</f>
        <v>CM404</v>
      </c>
      <c r="Q377" s="0" t="str">
        <f aca="false">VLOOKUP(F377,equipment!$A:$E,5,0)</f>
        <v>CM404 - 34</v>
      </c>
    </row>
    <row r="378" customFormat="false" ht="12.8" hidden="true" customHeight="false" outlineLevel="0" collapsed="false">
      <c r="A378" s="0" t="n">
        <v>466470</v>
      </c>
      <c r="B378" s="0" t="n">
        <v>466470</v>
      </c>
      <c r="C378" s="0" t="n">
        <v>3</v>
      </c>
      <c r="D378" s="0" t="n">
        <v>14</v>
      </c>
      <c r="E378" s="0" t="n">
        <v>2555</v>
      </c>
      <c r="F378" s="0" t="n">
        <v>86</v>
      </c>
      <c r="G378" s="0" t="n">
        <v>142</v>
      </c>
      <c r="H378" s="0" t="s">
        <v>720</v>
      </c>
      <c r="I378" s="0" t="s">
        <v>786</v>
      </c>
      <c r="J378" s="9" t="n">
        <v>45902</v>
      </c>
      <c r="K378" s="0" t="s">
        <v>787</v>
      </c>
      <c r="L378" s="0" t="n">
        <v>9</v>
      </c>
      <c r="M378" s="10" t="n">
        <f aca="false">_xlfn.NUMBERVALUE("" &amp; K378 &amp; "",".",",")</f>
        <v>0.118982200277778</v>
      </c>
      <c r="N378" s="10"/>
      <c r="O378" s="0" t="str">
        <f aca="false">VLOOKUP(C378,statusdetails!$A:$D,4,0)</f>
        <v>STANDBY</v>
      </c>
      <c r="P378" s="0" t="str">
        <f aca="false">VLOOKUP(F378,equipment!$A:$E,4,0)</f>
        <v>CM03</v>
      </c>
      <c r="Q378" s="0" t="str">
        <f aca="false">VLOOKUP(F378,equipment!$A:$E,5,0)</f>
        <v>CM03 - 86</v>
      </c>
    </row>
    <row r="379" customFormat="false" ht="12.8" hidden="true" customHeight="false" outlineLevel="0" collapsed="false">
      <c r="A379" s="0" t="n">
        <v>466471</v>
      </c>
      <c r="B379" s="0" t="n">
        <v>466471</v>
      </c>
      <c r="C379" s="0" t="n">
        <v>1</v>
      </c>
      <c r="D379" s="0" t="n">
        <v>6</v>
      </c>
      <c r="E379" s="0" t="n">
        <v>260</v>
      </c>
      <c r="F379" s="0" t="n">
        <v>34</v>
      </c>
      <c r="G379" s="0" t="n">
        <v>119</v>
      </c>
      <c r="H379" s="0" t="s">
        <v>784</v>
      </c>
      <c r="I379" s="0" t="s">
        <v>788</v>
      </c>
      <c r="J379" s="9" t="n">
        <v>45902</v>
      </c>
      <c r="K379" s="0" t="s">
        <v>789</v>
      </c>
      <c r="L379" s="0" t="n">
        <v>9</v>
      </c>
      <c r="M379" s="10" t="n">
        <f aca="false">_xlfn.NUMBERVALUE("" &amp; K379 &amp; "",".",",")</f>
        <v>0.433691220555556</v>
      </c>
      <c r="N379" s="10"/>
      <c r="O379" s="0" t="str">
        <f aca="false">VLOOKUP(C379,statusdetails!$A:$D,4,0)</f>
        <v>READY</v>
      </c>
    </row>
    <row r="380" customFormat="false" ht="12.8" hidden="true" customHeight="false" outlineLevel="0" collapsed="false">
      <c r="A380" s="0" t="n">
        <v>466472</v>
      </c>
      <c r="B380" s="0" t="n">
        <v>466472</v>
      </c>
      <c r="C380" s="0" t="n">
        <v>1</v>
      </c>
      <c r="D380" s="0" t="n">
        <v>6</v>
      </c>
      <c r="E380" s="0" t="n">
        <v>2404</v>
      </c>
      <c r="F380" s="0" t="n">
        <v>86</v>
      </c>
      <c r="G380" s="0" t="n">
        <v>142</v>
      </c>
      <c r="H380" s="0" t="s">
        <v>786</v>
      </c>
      <c r="I380" s="0" t="s">
        <v>790</v>
      </c>
      <c r="J380" s="9" t="n">
        <v>45902</v>
      </c>
      <c r="K380" s="0" t="s">
        <v>791</v>
      </c>
      <c r="L380" s="0" t="n">
        <v>9</v>
      </c>
      <c r="M380" s="10" t="n">
        <f aca="false">_xlfn.NUMBERVALUE("" &amp; K380 &amp; "",".",",")</f>
        <v>1.09694535166667</v>
      </c>
      <c r="N380" s="10"/>
      <c r="O380" s="0" t="str">
        <f aca="false">VLOOKUP(C380,statusdetails!$A:$D,4,0)</f>
        <v>READY</v>
      </c>
    </row>
    <row r="381" customFormat="false" ht="12.8" hidden="true" customHeight="false" outlineLevel="0" collapsed="false">
      <c r="A381" s="0" t="n">
        <v>466473</v>
      </c>
      <c r="B381" s="0" t="n">
        <v>466473</v>
      </c>
      <c r="C381" s="0" t="n">
        <v>3</v>
      </c>
      <c r="D381" s="0" t="n">
        <v>14</v>
      </c>
      <c r="E381" s="0" t="n">
        <v>1162</v>
      </c>
      <c r="F381" s="0" t="n">
        <v>66</v>
      </c>
      <c r="G381" s="0" t="n">
        <v>113</v>
      </c>
      <c r="H381" s="0" t="s">
        <v>776</v>
      </c>
      <c r="I381" s="0" t="s">
        <v>792</v>
      </c>
      <c r="J381" s="9" t="n">
        <v>45902</v>
      </c>
      <c r="K381" s="0" t="s">
        <v>793</v>
      </c>
      <c r="L381" s="0" t="n">
        <v>9</v>
      </c>
      <c r="M381" s="10" t="n">
        <f aca="false">_xlfn.NUMBERVALUE("" &amp; K381 &amp; "",".",",")</f>
        <v>0.0649622791666667</v>
      </c>
      <c r="N381" s="10"/>
      <c r="O381" s="0" t="str">
        <f aca="false">VLOOKUP(C381,statusdetails!$A:$D,4,0)</f>
        <v>STANDBY</v>
      </c>
      <c r="P381" s="0" t="str">
        <f aca="false">VLOOKUP(F381,equipment!$A:$E,4,0)</f>
        <v>CM407</v>
      </c>
      <c r="Q381" s="0" t="str">
        <f aca="false">VLOOKUP(F381,equipment!$A:$E,5,0)</f>
        <v>CM407 - 66</v>
      </c>
    </row>
    <row r="382" customFormat="false" ht="12.8" hidden="true" customHeight="false" outlineLevel="0" collapsed="false">
      <c r="A382" s="0" t="n">
        <v>466474</v>
      </c>
      <c r="B382" s="0" t="n">
        <v>466474</v>
      </c>
      <c r="C382" s="0" t="n">
        <v>1</v>
      </c>
      <c r="D382" s="0" t="n">
        <v>6</v>
      </c>
      <c r="E382" s="0" t="n">
        <v>260</v>
      </c>
      <c r="F382" s="0" t="n">
        <v>66</v>
      </c>
      <c r="G382" s="0" t="n">
        <v>113</v>
      </c>
      <c r="H382" s="0" t="s">
        <v>792</v>
      </c>
      <c r="I382" s="0" t="s">
        <v>794</v>
      </c>
      <c r="J382" s="9" t="n">
        <v>45902</v>
      </c>
      <c r="K382" s="0" t="s">
        <v>795</v>
      </c>
      <c r="L382" s="0" t="n">
        <v>9</v>
      </c>
      <c r="M382" s="10" t="n">
        <f aca="false">_xlfn.NUMBERVALUE("" &amp; K382 &amp; "",".",",")</f>
        <v>0.820628308888889</v>
      </c>
      <c r="N382" s="10"/>
      <c r="O382" s="0" t="str">
        <f aca="false">VLOOKUP(C382,statusdetails!$A:$D,4,0)</f>
        <v>READY</v>
      </c>
    </row>
    <row r="383" customFormat="false" ht="12.8" hidden="true" customHeight="false" outlineLevel="0" collapsed="false">
      <c r="A383" s="0" t="n">
        <v>466475</v>
      </c>
      <c r="B383" s="0" t="n">
        <v>466475</v>
      </c>
      <c r="C383" s="0" t="n">
        <v>3</v>
      </c>
      <c r="D383" s="0" t="n">
        <v>14</v>
      </c>
      <c r="E383" s="0" t="n">
        <v>1162</v>
      </c>
      <c r="F383" s="0" t="n">
        <v>35</v>
      </c>
      <c r="G383" s="0" t="n">
        <v>126</v>
      </c>
      <c r="H383" s="0" t="s">
        <v>750</v>
      </c>
      <c r="I383" s="0" t="s">
        <v>796</v>
      </c>
      <c r="J383" s="9" t="n">
        <v>45902</v>
      </c>
      <c r="K383" s="0" t="s">
        <v>797</v>
      </c>
      <c r="L383" s="0" t="n">
        <v>9</v>
      </c>
      <c r="M383" s="10" t="n">
        <f aca="false">_xlfn.NUMBERVALUE("" &amp; K383 &amp; "",".",",")</f>
        <v>0.0520370580555556</v>
      </c>
      <c r="N383" s="10"/>
      <c r="O383" s="0" t="str">
        <f aca="false">VLOOKUP(C383,statusdetails!$A:$D,4,0)</f>
        <v>STANDBY</v>
      </c>
      <c r="P383" s="0" t="str">
        <f aca="false">VLOOKUP(F383,equipment!$A:$E,4,0)</f>
        <v>CM405</v>
      </c>
      <c r="Q383" s="0" t="str">
        <f aca="false">VLOOKUP(F383,equipment!$A:$E,5,0)</f>
        <v>CM405 - 35</v>
      </c>
    </row>
    <row r="384" customFormat="false" ht="12.8" hidden="true" customHeight="false" outlineLevel="0" collapsed="false">
      <c r="A384" s="0" t="n">
        <v>466476</v>
      </c>
      <c r="B384" s="0" t="n">
        <v>466476</v>
      </c>
      <c r="C384" s="0" t="n">
        <v>1</v>
      </c>
      <c r="D384" s="0" t="n">
        <v>6</v>
      </c>
      <c r="E384" s="0" t="n">
        <v>260</v>
      </c>
      <c r="F384" s="0" t="n">
        <v>35</v>
      </c>
      <c r="G384" s="0" t="n">
        <v>126</v>
      </c>
      <c r="H384" s="0" t="s">
        <v>796</v>
      </c>
      <c r="I384" s="0" t="s">
        <v>798</v>
      </c>
      <c r="J384" s="9" t="n">
        <v>45902</v>
      </c>
      <c r="K384" s="0" t="s">
        <v>799</v>
      </c>
      <c r="L384" s="0" t="n">
        <v>9</v>
      </c>
      <c r="M384" s="10" t="n">
        <f aca="false">_xlfn.NUMBERVALUE("" &amp; K384 &amp; "",".",",")</f>
        <v>0.6381861775</v>
      </c>
      <c r="N384" s="10"/>
      <c r="O384" s="0" t="str">
        <f aca="false">VLOOKUP(C384,statusdetails!$A:$D,4,0)</f>
        <v>READY</v>
      </c>
    </row>
    <row r="385" customFormat="false" ht="12.8" hidden="true" customHeight="false" outlineLevel="0" collapsed="false">
      <c r="A385" s="0" t="n">
        <v>466477</v>
      </c>
      <c r="B385" s="0" t="n">
        <v>466477</v>
      </c>
      <c r="C385" s="0" t="n">
        <v>2</v>
      </c>
      <c r="D385" s="0" t="n">
        <v>9</v>
      </c>
      <c r="E385" s="0" t="n">
        <v>2635</v>
      </c>
      <c r="F385" s="0" t="n">
        <v>34</v>
      </c>
      <c r="G385" s="0" t="n">
        <v>119</v>
      </c>
      <c r="H385" s="0" t="s">
        <v>788</v>
      </c>
      <c r="I385" s="0" t="s">
        <v>800</v>
      </c>
      <c r="J385" s="9" t="n">
        <v>45902</v>
      </c>
      <c r="K385" s="0" t="s">
        <v>801</v>
      </c>
      <c r="L385" s="0" t="n">
        <v>9</v>
      </c>
      <c r="M385" s="3" t="n">
        <f aca="false">_xlfn.NUMBERVALUE("" &amp; K385 &amp; "",".",",")</f>
        <v>0.127725168333333</v>
      </c>
      <c r="O385" s="0" t="str">
        <f aca="false">VLOOKUP(C385,statusdetails!$A:$D,4,0)</f>
        <v>DELAY</v>
      </c>
    </row>
    <row r="386" customFormat="false" ht="12.8" hidden="true" customHeight="false" outlineLevel="0" collapsed="false">
      <c r="A386" s="0" t="n">
        <v>466478</v>
      </c>
      <c r="B386" s="0" t="n">
        <v>466478</v>
      </c>
      <c r="C386" s="0" t="n">
        <v>3</v>
      </c>
      <c r="D386" s="0" t="n">
        <v>14</v>
      </c>
      <c r="E386" s="0" t="n">
        <v>1162</v>
      </c>
      <c r="F386" s="0" t="n">
        <v>33</v>
      </c>
      <c r="G386" s="0" t="n">
        <v>78</v>
      </c>
      <c r="H386" s="0" t="s">
        <v>728</v>
      </c>
      <c r="I386" s="0" t="s">
        <v>802</v>
      </c>
      <c r="J386" s="9" t="n">
        <v>45902</v>
      </c>
      <c r="K386" s="0" t="s">
        <v>803</v>
      </c>
      <c r="L386" s="0" t="n">
        <v>10</v>
      </c>
      <c r="M386" s="10" t="n">
        <f aca="false">_xlfn.NUMBERVALUE("" &amp; K386 &amp; "",".",",")</f>
        <v>0.0676623805555556</v>
      </c>
      <c r="N386" s="10"/>
      <c r="O386" s="0" t="str">
        <f aca="false">VLOOKUP(C386,statusdetails!$A:$D,4,0)</f>
        <v>STANDBY</v>
      </c>
      <c r="P386" s="0" t="str">
        <f aca="false">VLOOKUP(F386,equipment!$A:$E,4,0)</f>
        <v>CM406</v>
      </c>
      <c r="Q386" s="0" t="str">
        <f aca="false">VLOOKUP(F386,equipment!$A:$E,5,0)</f>
        <v>CM406 - 33</v>
      </c>
    </row>
    <row r="387" customFormat="false" ht="12.8" hidden="true" customHeight="false" outlineLevel="0" collapsed="false">
      <c r="A387" s="0" t="n">
        <v>466479</v>
      </c>
      <c r="B387" s="0" t="n">
        <v>466479</v>
      </c>
      <c r="C387" s="0" t="n">
        <v>1</v>
      </c>
      <c r="D387" s="0" t="n">
        <v>6</v>
      </c>
      <c r="E387" s="0" t="n">
        <v>2518</v>
      </c>
      <c r="F387" s="0" t="n">
        <v>82</v>
      </c>
      <c r="G387" s="0" t="n">
        <v>10</v>
      </c>
      <c r="H387" s="0" t="s">
        <v>780</v>
      </c>
      <c r="I387" s="0" t="s">
        <v>804</v>
      </c>
      <c r="J387" s="9" t="n">
        <v>45902</v>
      </c>
      <c r="K387" s="0" t="s">
        <v>805</v>
      </c>
      <c r="L387" s="0" t="n">
        <v>10</v>
      </c>
      <c r="M387" s="10" t="n">
        <f aca="false">_xlfn.NUMBERVALUE("" &amp; K387 &amp; "",".",",")</f>
        <v>0.00952150138888889</v>
      </c>
      <c r="N387" s="10"/>
      <c r="O387" s="0" t="str">
        <f aca="false">VLOOKUP(C387,statusdetails!$A:$D,4,0)</f>
        <v>READY</v>
      </c>
    </row>
    <row r="388" customFormat="false" ht="12.8" hidden="true" customHeight="false" outlineLevel="0" collapsed="false">
      <c r="A388" s="0" t="n">
        <v>466480</v>
      </c>
      <c r="B388" s="0" t="n">
        <v>466480</v>
      </c>
      <c r="C388" s="0" t="n">
        <v>1</v>
      </c>
      <c r="D388" s="0" t="n">
        <v>6</v>
      </c>
      <c r="E388" s="0" t="n">
        <v>2518</v>
      </c>
      <c r="F388" s="0" t="n">
        <v>82</v>
      </c>
      <c r="G388" s="0" t="n">
        <v>10</v>
      </c>
      <c r="H388" s="0" t="s">
        <v>804</v>
      </c>
      <c r="I388" s="0" t="s">
        <v>806</v>
      </c>
      <c r="J388" s="9" t="n">
        <v>45902</v>
      </c>
      <c r="K388" s="0" t="s">
        <v>807</v>
      </c>
      <c r="L388" s="0" t="n">
        <v>10</v>
      </c>
      <c r="M388" s="10" t="n">
        <f aca="false">_xlfn.NUMBERVALUE("" &amp; K388 &amp; "",".",",")</f>
        <v>0.514023384444444</v>
      </c>
      <c r="N388" s="10"/>
      <c r="O388" s="0" t="str">
        <f aca="false">VLOOKUP(C388,statusdetails!$A:$D,4,0)</f>
        <v>READY</v>
      </c>
    </row>
    <row r="389" customFormat="false" ht="12.8" hidden="true" customHeight="false" outlineLevel="0" collapsed="false">
      <c r="A389" s="0" t="n">
        <v>466481</v>
      </c>
      <c r="B389" s="0" t="n">
        <v>466481</v>
      </c>
      <c r="C389" s="0" t="n">
        <v>1</v>
      </c>
      <c r="D389" s="0" t="n">
        <v>6</v>
      </c>
      <c r="E389" s="0" t="n">
        <v>260</v>
      </c>
      <c r="F389" s="0" t="n">
        <v>34</v>
      </c>
      <c r="G389" s="0" t="n">
        <v>119</v>
      </c>
      <c r="H389" s="0" t="s">
        <v>800</v>
      </c>
      <c r="I389" s="0" t="s">
        <v>808</v>
      </c>
      <c r="J389" s="9" t="n">
        <v>45902</v>
      </c>
      <c r="K389" s="0" t="s">
        <v>809</v>
      </c>
      <c r="L389" s="0" t="n">
        <v>10</v>
      </c>
      <c r="M389" s="10" t="n">
        <f aca="false">_xlfn.NUMBERVALUE("" &amp; K389 &amp; "",".",",")</f>
        <v>0.719045555555555</v>
      </c>
      <c r="N389" s="10"/>
      <c r="O389" s="0" t="str">
        <f aca="false">VLOOKUP(C389,statusdetails!$A:$D,4,0)</f>
        <v>READY</v>
      </c>
    </row>
    <row r="390" customFormat="false" ht="12.8" hidden="true" customHeight="false" outlineLevel="0" collapsed="false">
      <c r="A390" s="0" t="n">
        <v>466483</v>
      </c>
      <c r="B390" s="0" t="n">
        <v>466483</v>
      </c>
      <c r="C390" s="0" t="n">
        <v>1</v>
      </c>
      <c r="D390" s="0" t="n">
        <v>6</v>
      </c>
      <c r="E390" s="0" t="n">
        <v>260</v>
      </c>
      <c r="F390" s="0" t="n">
        <v>33</v>
      </c>
      <c r="G390" s="0" t="n">
        <v>78</v>
      </c>
      <c r="H390" s="0" t="s">
        <v>802</v>
      </c>
      <c r="I390" s="0" t="s">
        <v>810</v>
      </c>
      <c r="J390" s="9" t="n">
        <v>45902</v>
      </c>
      <c r="K390" s="0" t="s">
        <v>811</v>
      </c>
      <c r="L390" s="0" t="n">
        <v>10</v>
      </c>
      <c r="M390" s="10" t="n">
        <f aca="false">_xlfn.NUMBERVALUE("" &amp; K390 &amp; "",".",",")</f>
        <v>0.452965849722222</v>
      </c>
      <c r="N390" s="10"/>
      <c r="O390" s="0" t="str">
        <f aca="false">VLOOKUP(C390,statusdetails!$A:$D,4,0)</f>
        <v>READY</v>
      </c>
    </row>
    <row r="391" customFormat="false" ht="12.8" hidden="true" customHeight="false" outlineLevel="0" collapsed="false">
      <c r="A391" s="0" t="n">
        <v>466484</v>
      </c>
      <c r="B391" s="0" t="n">
        <v>466484</v>
      </c>
      <c r="C391" s="0" t="n">
        <v>3</v>
      </c>
      <c r="D391" s="0" t="n">
        <v>14</v>
      </c>
      <c r="E391" s="0" t="n">
        <v>1511</v>
      </c>
      <c r="F391" s="0" t="n">
        <v>60</v>
      </c>
      <c r="G391" s="0" t="n">
        <v>163</v>
      </c>
      <c r="H391" s="0" t="s">
        <v>768</v>
      </c>
      <c r="I391" s="11" t="n">
        <v>45902.4352893519</v>
      </c>
      <c r="J391" s="9" t="n">
        <v>45902</v>
      </c>
      <c r="K391" s="0" t="s">
        <v>812</v>
      </c>
      <c r="L391" s="0" t="n">
        <v>10</v>
      </c>
      <c r="M391" s="10" t="n">
        <f aca="false">_xlfn.NUMBERVALUE("" &amp; K391 &amp; "",".",",")</f>
        <v>0.142788110833333</v>
      </c>
      <c r="N391" s="10"/>
      <c r="O391" s="0" t="str">
        <f aca="false">VLOOKUP(C391,statusdetails!$A:$D,4,0)</f>
        <v>STANDBY</v>
      </c>
      <c r="P391" s="0" t="str">
        <f aca="false">VLOOKUP(F391,equipment!$A:$E,4,0)</f>
        <v>EX802</v>
      </c>
      <c r="Q391" s="0" t="str">
        <f aca="false">VLOOKUP(F391,equipment!$A:$E,5,0)</f>
        <v>EX802 - 60</v>
      </c>
    </row>
    <row r="392" customFormat="false" ht="12.8" hidden="true" customHeight="false" outlineLevel="0" collapsed="false">
      <c r="A392" s="0" t="n">
        <v>466485</v>
      </c>
      <c r="B392" s="0" t="n">
        <v>466485</v>
      </c>
      <c r="C392" s="0" t="n">
        <v>2</v>
      </c>
      <c r="D392" s="0" t="n">
        <v>9</v>
      </c>
      <c r="E392" s="0" t="n">
        <v>2512</v>
      </c>
      <c r="F392" s="0" t="n">
        <v>89</v>
      </c>
      <c r="G392" s="0" t="n">
        <v>129</v>
      </c>
      <c r="H392" s="0" t="s">
        <v>722</v>
      </c>
      <c r="I392" s="0" t="s">
        <v>813</v>
      </c>
      <c r="J392" s="9" t="n">
        <v>45902</v>
      </c>
      <c r="K392" s="0" t="s">
        <v>814</v>
      </c>
      <c r="L392" s="0" t="n">
        <v>10</v>
      </c>
      <c r="M392" s="3" t="n">
        <f aca="false">_xlfn.NUMBERVALUE("" &amp; K392 &amp; "",".",",")</f>
        <v>0.0784308333333333</v>
      </c>
      <c r="O392" s="0" t="str">
        <f aca="false">VLOOKUP(C392,statusdetails!$A:$D,4,0)</f>
        <v>DELAY</v>
      </c>
    </row>
    <row r="393" customFormat="false" ht="12.8" hidden="true" customHeight="false" outlineLevel="0" collapsed="false">
      <c r="A393" s="0" t="n">
        <v>466486</v>
      </c>
      <c r="B393" s="0" t="n">
        <v>466486</v>
      </c>
      <c r="C393" s="0" t="n">
        <v>2</v>
      </c>
      <c r="D393" s="0" t="n">
        <v>9</v>
      </c>
      <c r="E393" s="0" t="n">
        <v>2512</v>
      </c>
      <c r="F393" s="0" t="n">
        <v>84</v>
      </c>
      <c r="G393" s="0" t="n">
        <v>138</v>
      </c>
      <c r="H393" s="0" t="s">
        <v>726</v>
      </c>
      <c r="I393" s="0" t="s">
        <v>815</v>
      </c>
      <c r="J393" s="9" t="n">
        <v>45902</v>
      </c>
      <c r="K393" s="0" t="s">
        <v>816</v>
      </c>
      <c r="L393" s="0" t="n">
        <v>10</v>
      </c>
      <c r="M393" s="3" t="n">
        <f aca="false">_xlfn.NUMBERVALUE("" &amp; K393 &amp; "",".",",")</f>
        <v>0.100009722222222</v>
      </c>
      <c r="O393" s="0" t="str">
        <f aca="false">VLOOKUP(C393,statusdetails!$A:$D,4,0)</f>
        <v>DELAY</v>
      </c>
    </row>
    <row r="394" customFormat="false" ht="12.8" hidden="true" customHeight="false" outlineLevel="0" collapsed="false">
      <c r="A394" s="0" t="n">
        <v>466487</v>
      </c>
      <c r="B394" s="0" t="n">
        <v>466487</v>
      </c>
      <c r="C394" s="0" t="n">
        <v>2</v>
      </c>
      <c r="D394" s="0" t="n">
        <v>9</v>
      </c>
      <c r="E394" s="0" t="n">
        <v>2511</v>
      </c>
      <c r="F394" s="0" t="n">
        <v>96</v>
      </c>
      <c r="G394" s="0" t="n">
        <v>124</v>
      </c>
      <c r="H394" s="0" t="s">
        <v>716</v>
      </c>
      <c r="I394" s="11" t="n">
        <v>45902.4355092593</v>
      </c>
      <c r="J394" s="9" t="n">
        <v>45902</v>
      </c>
      <c r="K394" s="0" t="s">
        <v>817</v>
      </c>
      <c r="L394" s="0" t="n">
        <v>10</v>
      </c>
      <c r="M394" s="3" t="n">
        <f aca="false">_xlfn.NUMBERVALUE("" &amp; K394 &amp; "",".",",")</f>
        <v>0.0611283055555556</v>
      </c>
      <c r="O394" s="0" t="str">
        <f aca="false">VLOOKUP(C394,statusdetails!$A:$D,4,0)</f>
        <v>DELAY</v>
      </c>
    </row>
    <row r="395" customFormat="false" ht="12.8" hidden="true" customHeight="false" outlineLevel="0" collapsed="false">
      <c r="A395" s="0" t="n">
        <v>466488</v>
      </c>
      <c r="B395" s="0" t="n">
        <v>466488</v>
      </c>
      <c r="C395" s="0" t="n">
        <v>2</v>
      </c>
      <c r="D395" s="0" t="n">
        <v>9</v>
      </c>
      <c r="E395" s="0" t="n">
        <v>2512</v>
      </c>
      <c r="F395" s="0" t="n">
        <v>87</v>
      </c>
      <c r="G395" s="0" t="n">
        <v>143</v>
      </c>
      <c r="H395" s="0" t="s">
        <v>724</v>
      </c>
      <c r="I395" s="0" t="s">
        <v>818</v>
      </c>
      <c r="J395" s="9" t="n">
        <v>45902</v>
      </c>
      <c r="K395" s="0" t="s">
        <v>819</v>
      </c>
      <c r="L395" s="0" t="n">
        <v>10</v>
      </c>
      <c r="M395" s="3" t="n">
        <f aca="false">_xlfn.NUMBERVALUE("" &amp; K395 &amp; "",".",",")</f>
        <v>0.05378798</v>
      </c>
      <c r="O395" s="0" t="str">
        <f aca="false">VLOOKUP(C395,statusdetails!$A:$D,4,0)</f>
        <v>DELAY</v>
      </c>
    </row>
    <row r="396" customFormat="false" ht="12.8" hidden="true" customHeight="false" outlineLevel="0" collapsed="false">
      <c r="A396" s="0" t="n">
        <v>466489</v>
      </c>
      <c r="B396" s="0" t="n">
        <v>466489</v>
      </c>
      <c r="C396" s="0" t="n">
        <v>1</v>
      </c>
      <c r="D396" s="0" t="n">
        <v>6</v>
      </c>
      <c r="E396" s="0" t="n">
        <v>2404</v>
      </c>
      <c r="F396" s="0" t="n">
        <v>89</v>
      </c>
      <c r="G396" s="0" t="n">
        <v>129</v>
      </c>
      <c r="H396" s="0" t="s">
        <v>813</v>
      </c>
      <c r="I396" s="0" t="s">
        <v>820</v>
      </c>
      <c r="J396" s="9" t="n">
        <v>45902</v>
      </c>
      <c r="K396" s="0" t="s">
        <v>821</v>
      </c>
      <c r="L396" s="0" t="n">
        <v>10</v>
      </c>
      <c r="M396" s="10" t="n">
        <f aca="false">_xlfn.NUMBERVALUE("" &amp; K396 &amp; "",".",",")</f>
        <v>0.585105674722222</v>
      </c>
      <c r="N396" s="10"/>
      <c r="O396" s="0" t="str">
        <f aca="false">VLOOKUP(C396,statusdetails!$A:$D,4,0)</f>
        <v>READY</v>
      </c>
    </row>
    <row r="397" customFormat="false" ht="12.8" hidden="true" customHeight="false" outlineLevel="0" collapsed="false">
      <c r="A397" s="0" t="n">
        <v>466490</v>
      </c>
      <c r="B397" s="0" t="n">
        <v>466490</v>
      </c>
      <c r="C397" s="0" t="n">
        <v>1</v>
      </c>
      <c r="D397" s="0" t="n">
        <v>6</v>
      </c>
      <c r="E397" s="0" t="n">
        <v>2404</v>
      </c>
      <c r="F397" s="0" t="n">
        <v>87</v>
      </c>
      <c r="G397" s="0" t="n">
        <v>143</v>
      </c>
      <c r="H397" s="0" t="s">
        <v>818</v>
      </c>
      <c r="I397" s="0" t="s">
        <v>822</v>
      </c>
      <c r="J397" s="9" t="n">
        <v>45902</v>
      </c>
      <c r="K397" s="0" t="s">
        <v>823</v>
      </c>
      <c r="L397" s="0" t="n">
        <v>10</v>
      </c>
      <c r="M397" s="10" t="n">
        <f aca="false">_xlfn.NUMBERVALUE("" &amp; K397 &amp; "",".",",")</f>
        <v>0.323105590277778</v>
      </c>
      <c r="N397" s="10"/>
      <c r="O397" s="0" t="str">
        <f aca="false">VLOOKUP(C397,statusdetails!$A:$D,4,0)</f>
        <v>READY</v>
      </c>
    </row>
    <row r="398" customFormat="false" ht="12.8" hidden="true" customHeight="false" outlineLevel="0" collapsed="false">
      <c r="A398" s="0" t="n">
        <v>466492</v>
      </c>
      <c r="B398" s="0" t="n">
        <v>466492</v>
      </c>
      <c r="C398" s="0" t="n">
        <v>1</v>
      </c>
      <c r="D398" s="0" t="n">
        <v>6</v>
      </c>
      <c r="E398" s="0" t="n">
        <v>811</v>
      </c>
      <c r="F398" s="0" t="n">
        <v>43</v>
      </c>
      <c r="G398" s="0" t="n">
        <v>0</v>
      </c>
      <c r="H398" s="0" t="s">
        <v>114</v>
      </c>
      <c r="I398" s="0" t="s">
        <v>824</v>
      </c>
      <c r="J398" s="9" t="n">
        <v>45902</v>
      </c>
      <c r="K398" s="0" t="s">
        <v>825</v>
      </c>
      <c r="L398" s="0" t="n">
        <v>10</v>
      </c>
      <c r="M398" s="10" t="n">
        <f aca="false">_xlfn.NUMBERVALUE("" &amp; K398 &amp; "",".",",")</f>
        <v>1.99886449694444</v>
      </c>
      <c r="N398" s="10"/>
      <c r="O398" s="0" t="str">
        <f aca="false">VLOOKUP(C398,statusdetails!$A:$D,4,0)</f>
        <v>READY</v>
      </c>
    </row>
    <row r="399" customFormat="false" ht="12.8" hidden="true" customHeight="false" outlineLevel="0" collapsed="false">
      <c r="A399" s="0" t="n">
        <v>466493</v>
      </c>
      <c r="B399" s="0" t="n">
        <v>466493</v>
      </c>
      <c r="C399" s="0" t="n">
        <v>4</v>
      </c>
      <c r="D399" s="0" t="n">
        <v>15</v>
      </c>
      <c r="E399" s="0" t="n">
        <v>1781</v>
      </c>
      <c r="F399" s="0" t="n">
        <v>35</v>
      </c>
      <c r="G399" s="0" t="n">
        <v>126</v>
      </c>
      <c r="H399" s="0" t="s">
        <v>798</v>
      </c>
      <c r="I399" s="0" t="s">
        <v>826</v>
      </c>
      <c r="J399" s="9" t="n">
        <v>45902</v>
      </c>
      <c r="K399" s="0" t="s">
        <v>827</v>
      </c>
      <c r="L399" s="0" t="n">
        <v>10</v>
      </c>
      <c r="M399" s="10" t="n">
        <f aca="false">_xlfn.NUMBERVALUE("" &amp; K399 &amp; "",".",",")</f>
        <v>1.54704506027778</v>
      </c>
      <c r="N399" s="10"/>
      <c r="O399" s="0" t="str">
        <f aca="false">VLOOKUP(C399,statusdetails!$A:$D,4,0)</f>
        <v>MAINT</v>
      </c>
    </row>
    <row r="400" customFormat="false" ht="12.8" hidden="true" customHeight="false" outlineLevel="0" collapsed="false">
      <c r="A400" s="0" t="n">
        <v>466495</v>
      </c>
      <c r="B400" s="0" t="n">
        <v>466495</v>
      </c>
      <c r="C400" s="0" t="n">
        <v>1</v>
      </c>
      <c r="D400" s="0" t="n">
        <v>6</v>
      </c>
      <c r="E400" s="0" t="n">
        <v>2404</v>
      </c>
      <c r="F400" s="0" t="n">
        <v>84</v>
      </c>
      <c r="G400" s="0" t="n">
        <v>138</v>
      </c>
      <c r="H400" s="0" t="s">
        <v>815</v>
      </c>
      <c r="I400" s="0" t="s">
        <v>828</v>
      </c>
      <c r="J400" s="9" t="n">
        <v>45902</v>
      </c>
      <c r="K400" s="0" t="s">
        <v>829</v>
      </c>
      <c r="L400" s="0" t="n">
        <v>10</v>
      </c>
      <c r="M400" s="10" t="n">
        <f aca="false">_xlfn.NUMBERVALUE("" &amp; K400 &amp; "",".",",")</f>
        <v>0.388212777777778</v>
      </c>
      <c r="N400" s="10"/>
      <c r="O400" s="0" t="str">
        <f aca="false">VLOOKUP(C400,statusdetails!$A:$D,4,0)</f>
        <v>READY</v>
      </c>
    </row>
    <row r="401" customFormat="false" ht="12.8" hidden="true" customHeight="false" outlineLevel="0" collapsed="false">
      <c r="A401" s="0" t="n">
        <v>466496</v>
      </c>
      <c r="B401" s="0" t="n">
        <v>466496</v>
      </c>
      <c r="C401" s="0" t="n">
        <v>2</v>
      </c>
      <c r="D401" s="0" t="n">
        <v>7</v>
      </c>
      <c r="E401" s="0" t="n">
        <v>1026</v>
      </c>
      <c r="F401" s="0" t="n">
        <v>33</v>
      </c>
      <c r="G401" s="0" t="n">
        <v>78</v>
      </c>
      <c r="H401" s="0" t="s">
        <v>810</v>
      </c>
      <c r="I401" s="0" t="s">
        <v>830</v>
      </c>
      <c r="J401" s="9" t="n">
        <v>45902</v>
      </c>
      <c r="K401" s="0" t="s">
        <v>831</v>
      </c>
      <c r="L401" s="0" t="n">
        <v>10</v>
      </c>
      <c r="M401" s="3" t="n">
        <f aca="false">_xlfn.NUMBERVALUE("" &amp; K401 &amp; "",".",",")</f>
        <v>0.289025493888889</v>
      </c>
      <c r="O401" s="0" t="str">
        <f aca="false">VLOOKUP(C401,statusdetails!$A:$D,4,0)</f>
        <v>DELAY</v>
      </c>
    </row>
    <row r="402" customFormat="false" ht="12.8" hidden="true" customHeight="false" outlineLevel="0" collapsed="false">
      <c r="A402" s="0" t="n">
        <v>466497</v>
      </c>
      <c r="B402" s="0" t="n">
        <v>466497</v>
      </c>
      <c r="C402" s="0" t="n">
        <v>2</v>
      </c>
      <c r="D402" s="0" t="n">
        <v>7</v>
      </c>
      <c r="E402" s="0" t="n">
        <v>2385</v>
      </c>
      <c r="F402" s="0" t="n">
        <v>82</v>
      </c>
      <c r="G402" s="0" t="n">
        <v>10</v>
      </c>
      <c r="H402" s="0" t="s">
        <v>806</v>
      </c>
      <c r="I402" s="0" t="s">
        <v>832</v>
      </c>
      <c r="J402" s="9" t="n">
        <v>45902</v>
      </c>
      <c r="K402" s="0" t="s">
        <v>833</v>
      </c>
      <c r="L402" s="0" t="n">
        <v>10</v>
      </c>
      <c r="M402" s="3" t="n">
        <f aca="false">_xlfn.NUMBERVALUE("" &amp; K402 &amp; "",".",",")</f>
        <v>0.392482416944444</v>
      </c>
      <c r="O402" s="0" t="str">
        <f aca="false">VLOOKUP(C402,statusdetails!$A:$D,4,0)</f>
        <v>DELAY</v>
      </c>
    </row>
    <row r="403" customFormat="false" ht="12.8" hidden="true" customHeight="false" outlineLevel="0" collapsed="false">
      <c r="A403" s="0" t="n">
        <v>466498</v>
      </c>
      <c r="B403" s="0" t="n">
        <v>466498</v>
      </c>
      <c r="C403" s="0" t="n">
        <v>2</v>
      </c>
      <c r="D403" s="0" t="n">
        <v>7</v>
      </c>
      <c r="E403" s="0" t="n">
        <v>1026</v>
      </c>
      <c r="F403" s="0" t="n">
        <v>66</v>
      </c>
      <c r="G403" s="0" t="n">
        <v>113</v>
      </c>
      <c r="H403" s="0" t="s">
        <v>794</v>
      </c>
      <c r="I403" s="0" t="s">
        <v>834</v>
      </c>
      <c r="J403" s="9" t="n">
        <v>45902</v>
      </c>
      <c r="K403" s="0" t="s">
        <v>835</v>
      </c>
      <c r="L403" s="0" t="n">
        <v>10</v>
      </c>
      <c r="M403" s="3" t="n">
        <f aca="false">_xlfn.NUMBERVALUE("" &amp; K403 &amp; "",".",",")</f>
        <v>0.360056568888889</v>
      </c>
      <c r="O403" s="0" t="str">
        <f aca="false">VLOOKUP(C403,statusdetails!$A:$D,4,0)</f>
        <v>DELAY</v>
      </c>
    </row>
    <row r="404" customFormat="false" ht="12.8" hidden="true" customHeight="false" outlineLevel="0" collapsed="false">
      <c r="A404" s="0" t="n">
        <v>466500</v>
      </c>
      <c r="B404" s="0" t="n">
        <v>466499</v>
      </c>
      <c r="C404" s="0" t="n">
        <v>1</v>
      </c>
      <c r="D404" s="0" t="n">
        <v>2303</v>
      </c>
      <c r="E404" s="0" t="n">
        <v>1502</v>
      </c>
      <c r="F404" s="0" t="n">
        <v>60</v>
      </c>
      <c r="G404" s="0" t="n">
        <v>163</v>
      </c>
      <c r="H404" s="11" t="n">
        <v>45902.4352893519</v>
      </c>
      <c r="I404" s="0" t="s">
        <v>836</v>
      </c>
      <c r="J404" s="9" t="n">
        <v>45902</v>
      </c>
      <c r="K404" s="0" t="s">
        <v>837</v>
      </c>
      <c r="L404" s="0" t="n">
        <v>10</v>
      </c>
      <c r="M404" s="10" t="n">
        <f aca="false">_xlfn.NUMBERVALUE("" &amp; K404 &amp; "",".",",")</f>
        <v>0.694275793333333</v>
      </c>
      <c r="N404" s="10"/>
      <c r="O404" s="0" t="str">
        <f aca="false">VLOOKUP(C404,statusdetails!$A:$D,4,0)</f>
        <v>READY</v>
      </c>
    </row>
    <row r="405" customFormat="false" ht="12.8" hidden="true" customHeight="false" outlineLevel="0" collapsed="false">
      <c r="A405" s="0" t="n">
        <v>466501</v>
      </c>
      <c r="B405" s="0" t="n">
        <v>466501</v>
      </c>
      <c r="C405" s="0" t="n">
        <v>3</v>
      </c>
      <c r="D405" s="0" t="n">
        <v>14</v>
      </c>
      <c r="E405" s="0" t="n">
        <v>2503</v>
      </c>
      <c r="F405" s="0" t="n">
        <v>86</v>
      </c>
      <c r="G405" s="0" t="n">
        <v>142</v>
      </c>
      <c r="H405" s="0" t="s">
        <v>790</v>
      </c>
      <c r="I405" s="0" t="s">
        <v>838</v>
      </c>
      <c r="J405" s="9" t="n">
        <v>45902</v>
      </c>
      <c r="K405" s="0" t="s">
        <v>839</v>
      </c>
      <c r="L405" s="0" t="n">
        <v>10</v>
      </c>
      <c r="M405" s="10" t="n">
        <f aca="false">_xlfn.NUMBERVALUE("" &amp; K405 &amp; "",".",",")</f>
        <v>0.066151855</v>
      </c>
      <c r="N405" s="10"/>
      <c r="O405" s="0" t="str">
        <f aca="false">VLOOKUP(C405,statusdetails!$A:$D,4,0)</f>
        <v>STANDBY</v>
      </c>
      <c r="P405" s="0" t="str">
        <f aca="false">VLOOKUP(F405,equipment!$A:$E,4,0)</f>
        <v>CM03</v>
      </c>
      <c r="Q405" s="0" t="str">
        <f aca="false">VLOOKUP(F405,equipment!$A:$E,5,0)</f>
        <v>CM03 - 86</v>
      </c>
    </row>
    <row r="406" customFormat="false" ht="12.8" hidden="true" customHeight="false" outlineLevel="0" collapsed="false">
      <c r="A406" s="0" t="n">
        <v>466502</v>
      </c>
      <c r="B406" s="0" t="n">
        <v>466502</v>
      </c>
      <c r="C406" s="0" t="n">
        <v>1</v>
      </c>
      <c r="D406" s="0" t="n">
        <v>6</v>
      </c>
      <c r="E406" s="0" t="n">
        <v>2404</v>
      </c>
      <c r="F406" s="0" t="n">
        <v>86</v>
      </c>
      <c r="G406" s="0" t="n">
        <v>142</v>
      </c>
      <c r="H406" s="0" t="s">
        <v>838</v>
      </c>
      <c r="I406" s="0" t="s">
        <v>840</v>
      </c>
      <c r="J406" s="9" t="n">
        <v>45902</v>
      </c>
      <c r="K406" s="0" t="s">
        <v>841</v>
      </c>
      <c r="L406" s="0" t="n">
        <v>10</v>
      </c>
      <c r="M406" s="10" t="n">
        <f aca="false">_xlfn.NUMBERVALUE("" &amp; K406 &amp; "",".",",")</f>
        <v>0.2186692275</v>
      </c>
      <c r="N406" s="10"/>
      <c r="O406" s="0" t="str">
        <f aca="false">VLOOKUP(C406,statusdetails!$A:$D,4,0)</f>
        <v>READY</v>
      </c>
    </row>
    <row r="407" customFormat="false" ht="12.8" hidden="true" customHeight="false" outlineLevel="0" collapsed="false">
      <c r="A407" s="0" t="n">
        <v>466503</v>
      </c>
      <c r="B407" s="0" t="n">
        <v>466503</v>
      </c>
      <c r="C407" s="0" t="n">
        <v>3</v>
      </c>
      <c r="D407" s="0" t="n">
        <v>12</v>
      </c>
      <c r="E407" s="0" t="n">
        <v>1011</v>
      </c>
      <c r="F407" s="0" t="n">
        <v>34</v>
      </c>
      <c r="G407" s="0" t="n">
        <v>119</v>
      </c>
      <c r="H407" s="0" t="s">
        <v>808</v>
      </c>
      <c r="I407" s="0" t="s">
        <v>842</v>
      </c>
      <c r="J407" s="9" t="n">
        <v>45902</v>
      </c>
      <c r="K407" s="0" t="s">
        <v>843</v>
      </c>
      <c r="L407" s="0" t="n">
        <v>10</v>
      </c>
      <c r="M407" s="10" t="n">
        <f aca="false">_xlfn.NUMBERVALUE("" &amp; K407 &amp; "",".",",")</f>
        <v>0.0622494444444444</v>
      </c>
      <c r="N407" s="10"/>
      <c r="O407" s="0" t="str">
        <f aca="false">VLOOKUP(C407,statusdetails!$A:$D,4,0)</f>
        <v>STANDBY</v>
      </c>
      <c r="P407" s="0" t="str">
        <f aca="false">VLOOKUP(F407,equipment!$A:$E,4,0)</f>
        <v>CM404</v>
      </c>
      <c r="Q407" s="0" t="str">
        <f aca="false">VLOOKUP(F407,equipment!$A:$E,5,0)</f>
        <v>CM404 - 34</v>
      </c>
    </row>
    <row r="408" customFormat="false" ht="12.8" hidden="true" customHeight="false" outlineLevel="0" collapsed="false">
      <c r="A408" s="0" t="n">
        <v>466504</v>
      </c>
      <c r="B408" s="0" t="n">
        <v>466504</v>
      </c>
      <c r="C408" s="0" t="n">
        <v>3</v>
      </c>
      <c r="D408" s="0" t="n">
        <v>14</v>
      </c>
      <c r="E408" s="0" t="n">
        <v>2503</v>
      </c>
      <c r="F408" s="0" t="n">
        <v>87</v>
      </c>
      <c r="G408" s="0" t="n">
        <v>143</v>
      </c>
      <c r="H408" s="0" t="s">
        <v>822</v>
      </c>
      <c r="I408" s="0" t="s">
        <v>844</v>
      </c>
      <c r="J408" s="9" t="n">
        <v>45902</v>
      </c>
      <c r="K408" s="0" t="s">
        <v>845</v>
      </c>
      <c r="L408" s="0" t="n">
        <v>10</v>
      </c>
      <c r="M408" s="10" t="n">
        <f aca="false">_xlfn.NUMBERVALUE("" &amp; K408 &amp; "",".",",")</f>
        <v>0.0997964227777778</v>
      </c>
      <c r="N408" s="10"/>
      <c r="O408" s="0" t="str">
        <f aca="false">VLOOKUP(C408,statusdetails!$A:$D,4,0)</f>
        <v>STANDBY</v>
      </c>
      <c r="P408" s="0" t="str">
        <f aca="false">VLOOKUP(F408,equipment!$A:$E,4,0)</f>
        <v>CM04</v>
      </c>
      <c r="Q408" s="0" t="str">
        <f aca="false">VLOOKUP(F408,equipment!$A:$E,5,0)</f>
        <v>CM04 - 87</v>
      </c>
    </row>
    <row r="409" customFormat="false" ht="12.8" hidden="true" customHeight="false" outlineLevel="0" collapsed="false">
      <c r="A409" s="0" t="n">
        <v>466505</v>
      </c>
      <c r="B409" s="0" t="n">
        <v>466505</v>
      </c>
      <c r="C409" s="0" t="n">
        <v>1</v>
      </c>
      <c r="D409" s="0" t="n">
        <v>6</v>
      </c>
      <c r="E409" s="0" t="n">
        <v>260</v>
      </c>
      <c r="F409" s="0" t="n">
        <v>33</v>
      </c>
      <c r="G409" s="0" t="n">
        <v>78</v>
      </c>
      <c r="H409" s="0" t="s">
        <v>830</v>
      </c>
      <c r="I409" s="0" t="s">
        <v>846</v>
      </c>
      <c r="J409" s="9" t="n">
        <v>45902</v>
      </c>
      <c r="K409" s="0" t="s">
        <v>847</v>
      </c>
      <c r="L409" s="0" t="n">
        <v>10</v>
      </c>
      <c r="M409" s="10" t="n">
        <f aca="false">_xlfn.NUMBERVALUE("" &amp; K409 &amp; "",".",",")</f>
        <v>0.338095433611111</v>
      </c>
      <c r="N409" s="10"/>
      <c r="O409" s="0" t="str">
        <f aca="false">VLOOKUP(C409,statusdetails!$A:$D,4,0)</f>
        <v>READY</v>
      </c>
    </row>
    <row r="410" customFormat="false" ht="12.8" hidden="true" customHeight="false" outlineLevel="0" collapsed="false">
      <c r="A410" s="0" t="n">
        <v>466506</v>
      </c>
      <c r="B410" s="0" t="n">
        <v>466506</v>
      </c>
      <c r="C410" s="0" t="n">
        <v>2</v>
      </c>
      <c r="D410" s="0" t="n">
        <v>7</v>
      </c>
      <c r="E410" s="0" t="n">
        <v>1026</v>
      </c>
      <c r="F410" s="0" t="n">
        <v>34</v>
      </c>
      <c r="G410" s="0" t="n">
        <v>119</v>
      </c>
      <c r="H410" s="0" t="s">
        <v>842</v>
      </c>
      <c r="I410" s="0" t="s">
        <v>848</v>
      </c>
      <c r="J410" s="9" t="n">
        <v>45902</v>
      </c>
      <c r="K410" s="0" t="s">
        <v>849</v>
      </c>
      <c r="L410" s="0" t="n">
        <v>10</v>
      </c>
      <c r="M410" s="3" t="n">
        <f aca="false">_xlfn.NUMBERVALUE("" &amp; K410 &amp; "",".",",")</f>
        <v>0.10867</v>
      </c>
      <c r="O410" s="0" t="str">
        <f aca="false">VLOOKUP(C410,statusdetails!$A:$D,4,0)</f>
        <v>DELAY</v>
      </c>
    </row>
    <row r="411" customFormat="false" ht="12.8" hidden="true" customHeight="false" outlineLevel="0" collapsed="false">
      <c r="A411" s="0" t="n">
        <v>466507</v>
      </c>
      <c r="B411" s="0" t="n">
        <v>466507</v>
      </c>
      <c r="C411" s="0" t="n">
        <v>3</v>
      </c>
      <c r="D411" s="0" t="n">
        <v>12</v>
      </c>
      <c r="E411" s="0" t="n">
        <v>2422</v>
      </c>
      <c r="F411" s="0" t="n">
        <v>88</v>
      </c>
      <c r="G411" s="0" t="n">
        <v>0</v>
      </c>
      <c r="H411" s="0" t="s">
        <v>754</v>
      </c>
      <c r="I411" s="0" t="s">
        <v>850</v>
      </c>
      <c r="J411" s="9" t="n">
        <v>45902</v>
      </c>
      <c r="K411" s="0" t="s">
        <v>851</v>
      </c>
      <c r="L411" s="0" t="n">
        <v>10</v>
      </c>
      <c r="M411" s="10" t="n">
        <f aca="false">_xlfn.NUMBERVALUE("" &amp; K411 &amp; "",".",",")</f>
        <v>1.29178029166667</v>
      </c>
      <c r="N411" s="10"/>
      <c r="O411" s="0" t="str">
        <f aca="false">VLOOKUP(C411,statusdetails!$A:$D,4,0)</f>
        <v>STANDBY</v>
      </c>
      <c r="P411" s="0" t="str">
        <f aca="false">VLOOKUP(F411,equipment!$A:$E,4,0)</f>
        <v>CM05</v>
      </c>
      <c r="Q411" s="0" t="str">
        <f aca="false">VLOOKUP(F411,equipment!$A:$E,5,0)</f>
        <v>CM05 - 88</v>
      </c>
    </row>
    <row r="412" customFormat="false" ht="12.8" hidden="true" customHeight="false" outlineLevel="0" collapsed="false">
      <c r="A412" s="0" t="n">
        <v>466508</v>
      </c>
      <c r="B412" s="0" t="n">
        <v>466508</v>
      </c>
      <c r="C412" s="0" t="n">
        <v>1</v>
      </c>
      <c r="D412" s="0" t="n">
        <v>6</v>
      </c>
      <c r="E412" s="0" t="n">
        <v>2404</v>
      </c>
      <c r="F412" s="0" t="n">
        <v>87</v>
      </c>
      <c r="G412" s="0" t="n">
        <v>143</v>
      </c>
      <c r="H412" s="0" t="s">
        <v>844</v>
      </c>
      <c r="I412" s="11" t="n">
        <v>45902.5208796296</v>
      </c>
      <c r="J412" s="9" t="n">
        <v>45902</v>
      </c>
      <c r="K412" s="0" t="s">
        <v>852</v>
      </c>
      <c r="L412" s="0" t="n">
        <v>10</v>
      </c>
      <c r="M412" s="10" t="n">
        <f aca="false">_xlfn.NUMBERVALUE("" &amp; K412 &amp; "",".",",")</f>
        <v>1.63159826666667</v>
      </c>
      <c r="N412" s="10"/>
      <c r="O412" s="0" t="str">
        <f aca="false">VLOOKUP(C412,statusdetails!$A:$D,4,0)</f>
        <v>READY</v>
      </c>
    </row>
    <row r="413" customFormat="false" ht="12.8" hidden="true" customHeight="false" outlineLevel="0" collapsed="false">
      <c r="A413" s="0" t="n">
        <v>466509</v>
      </c>
      <c r="B413" s="0" t="n">
        <v>466509</v>
      </c>
      <c r="C413" s="0" t="n">
        <v>3</v>
      </c>
      <c r="D413" s="0" t="n">
        <v>14</v>
      </c>
      <c r="E413" s="0" t="n">
        <v>2503</v>
      </c>
      <c r="F413" s="0" t="n">
        <v>84</v>
      </c>
      <c r="G413" s="0" t="n">
        <v>138</v>
      </c>
      <c r="H413" s="0" t="s">
        <v>828</v>
      </c>
      <c r="I413" s="0" t="s">
        <v>853</v>
      </c>
      <c r="J413" s="9" t="n">
        <v>45902</v>
      </c>
      <c r="K413" s="0" t="s">
        <v>854</v>
      </c>
      <c r="L413" s="0" t="n">
        <v>10</v>
      </c>
      <c r="M413" s="10" t="n">
        <f aca="false">_xlfn.NUMBERVALUE("" &amp; K413 &amp; "",".",",")</f>
        <v>0.0495933333333333</v>
      </c>
      <c r="N413" s="10"/>
      <c r="O413" s="0" t="str">
        <f aca="false">VLOOKUP(C413,statusdetails!$A:$D,4,0)</f>
        <v>STANDBY</v>
      </c>
      <c r="P413" s="0" t="str">
        <f aca="false">VLOOKUP(F413,equipment!$A:$E,4,0)</f>
        <v>CM01</v>
      </c>
      <c r="Q413" s="0" t="str">
        <f aca="false">VLOOKUP(F413,equipment!$A:$E,5,0)</f>
        <v>CM01 - 84</v>
      </c>
    </row>
    <row r="414" customFormat="false" ht="12.8" hidden="true" customHeight="false" outlineLevel="0" collapsed="false">
      <c r="A414" s="0" t="n">
        <v>466510</v>
      </c>
      <c r="B414" s="0" t="n">
        <v>466510</v>
      </c>
      <c r="C414" s="0" t="n">
        <v>1</v>
      </c>
      <c r="D414" s="0" t="n">
        <v>6</v>
      </c>
      <c r="E414" s="0" t="n">
        <v>2404</v>
      </c>
      <c r="F414" s="0" t="n">
        <v>84</v>
      </c>
      <c r="G414" s="0" t="n">
        <v>138</v>
      </c>
      <c r="H414" s="0" t="s">
        <v>853</v>
      </c>
      <c r="I414" s="0" t="s">
        <v>855</v>
      </c>
      <c r="J414" s="9" t="n">
        <v>45902</v>
      </c>
      <c r="K414" s="0" t="s">
        <v>856</v>
      </c>
      <c r="L414" s="0" t="n">
        <v>10</v>
      </c>
      <c r="M414" s="10" t="n">
        <f aca="false">_xlfn.NUMBERVALUE("" &amp; K414 &amp; "",".",",")</f>
        <v>0.680268055555556</v>
      </c>
      <c r="N414" s="10"/>
      <c r="O414" s="0" t="str">
        <f aca="false">VLOOKUP(C414,statusdetails!$A:$D,4,0)</f>
        <v>READY</v>
      </c>
    </row>
    <row r="415" customFormat="false" ht="12.8" hidden="true" customHeight="false" outlineLevel="0" collapsed="false">
      <c r="A415" s="0" t="n">
        <v>466511</v>
      </c>
      <c r="B415" s="0" t="n">
        <v>466511</v>
      </c>
      <c r="C415" s="0" t="n">
        <v>1</v>
      </c>
      <c r="D415" s="0" t="n">
        <v>6</v>
      </c>
      <c r="E415" s="0" t="n">
        <v>260</v>
      </c>
      <c r="F415" s="0" t="n">
        <v>34</v>
      </c>
      <c r="G415" s="0" t="n">
        <v>119</v>
      </c>
      <c r="H415" s="0" t="s">
        <v>848</v>
      </c>
      <c r="I415" s="0" t="s">
        <v>857</v>
      </c>
      <c r="J415" s="9" t="n">
        <v>45902</v>
      </c>
      <c r="K415" s="0" t="s">
        <v>858</v>
      </c>
      <c r="L415" s="0" t="n">
        <v>10</v>
      </c>
      <c r="M415" s="10" t="n">
        <f aca="false">_xlfn.NUMBERVALUE("" &amp; K415 &amp; "",".",",")</f>
        <v>1.76202251833333</v>
      </c>
      <c r="N415" s="10"/>
      <c r="O415" s="0" t="str">
        <f aca="false">VLOOKUP(C415,statusdetails!$A:$D,4,0)</f>
        <v>READY</v>
      </c>
    </row>
    <row r="416" customFormat="false" ht="12.8" hidden="true" customHeight="false" outlineLevel="0" collapsed="false">
      <c r="A416" s="0" t="n">
        <v>466512</v>
      </c>
      <c r="B416" s="0" t="n">
        <v>466512</v>
      </c>
      <c r="C416" s="0" t="n">
        <v>1</v>
      </c>
      <c r="D416" s="0" t="n">
        <v>6</v>
      </c>
      <c r="E416" s="0" t="n">
        <v>260</v>
      </c>
      <c r="F416" s="0" t="n">
        <v>66</v>
      </c>
      <c r="G416" s="0" t="n">
        <v>113</v>
      </c>
      <c r="H416" s="0" t="s">
        <v>834</v>
      </c>
      <c r="I416" s="0" t="s">
        <v>859</v>
      </c>
      <c r="J416" s="9" t="n">
        <v>45902</v>
      </c>
      <c r="K416" s="0" t="s">
        <v>860</v>
      </c>
      <c r="L416" s="0" t="n">
        <v>10</v>
      </c>
      <c r="M416" s="10" t="n">
        <f aca="false">_xlfn.NUMBERVALUE("" &amp; K416 &amp; "",".",",")</f>
        <v>0.445406545</v>
      </c>
      <c r="N416" s="10"/>
      <c r="O416" s="0" t="str">
        <f aca="false">VLOOKUP(C416,statusdetails!$A:$D,4,0)</f>
        <v>READY</v>
      </c>
    </row>
    <row r="417" customFormat="false" ht="12.8" hidden="true" customHeight="false" outlineLevel="0" collapsed="false">
      <c r="A417" s="0" t="n">
        <v>466513</v>
      </c>
      <c r="B417" s="0" t="n">
        <v>466513</v>
      </c>
      <c r="C417" s="0" t="n">
        <v>1</v>
      </c>
      <c r="D417" s="0" t="n">
        <v>6</v>
      </c>
      <c r="E417" s="0" t="n">
        <v>2518</v>
      </c>
      <c r="F417" s="0" t="n">
        <v>82</v>
      </c>
      <c r="G417" s="0" t="n">
        <v>10</v>
      </c>
      <c r="H417" s="0" t="s">
        <v>832</v>
      </c>
      <c r="I417" s="0" t="s">
        <v>861</v>
      </c>
      <c r="J417" s="9" t="n">
        <v>45902</v>
      </c>
      <c r="K417" s="0" t="s">
        <v>862</v>
      </c>
      <c r="L417" s="0" t="n">
        <v>10</v>
      </c>
      <c r="M417" s="10" t="n">
        <f aca="false">_xlfn.NUMBERVALUE("" &amp; K417 &amp; "",".",",")</f>
        <v>1.46512386222222</v>
      </c>
      <c r="N417" s="10"/>
      <c r="O417" s="0" t="str">
        <f aca="false">VLOOKUP(C417,statusdetails!$A:$D,4,0)</f>
        <v>READY</v>
      </c>
    </row>
    <row r="418" customFormat="false" ht="12.8" hidden="true" customHeight="false" outlineLevel="0" collapsed="false">
      <c r="A418" s="0" t="n">
        <v>466514</v>
      </c>
      <c r="B418" s="0" t="n">
        <v>466514</v>
      </c>
      <c r="C418" s="0" t="n">
        <v>4</v>
      </c>
      <c r="D418" s="0" t="n">
        <v>15</v>
      </c>
      <c r="E418" s="0" t="n">
        <v>2442</v>
      </c>
      <c r="F418" s="0" t="n">
        <v>86</v>
      </c>
      <c r="G418" s="0" t="n">
        <v>142</v>
      </c>
      <c r="H418" s="0" t="s">
        <v>840</v>
      </c>
      <c r="I418" s="0" t="s">
        <v>863</v>
      </c>
      <c r="J418" s="9" t="n">
        <v>45902</v>
      </c>
      <c r="K418" s="0" t="s">
        <v>864</v>
      </c>
      <c r="L418" s="0" t="n">
        <v>10</v>
      </c>
      <c r="M418" s="10" t="n">
        <f aca="false">_xlfn.NUMBERVALUE("" &amp; K418 &amp; "",".",",")</f>
        <v>7.58143097972222</v>
      </c>
      <c r="N418" s="10"/>
      <c r="O418" s="0" t="str">
        <f aca="false">VLOOKUP(C418,statusdetails!$A:$D,4,0)</f>
        <v>MAINT</v>
      </c>
    </row>
    <row r="419" customFormat="false" ht="12.8" hidden="true" customHeight="false" outlineLevel="0" collapsed="false">
      <c r="A419" s="0" t="n">
        <v>466515</v>
      </c>
      <c r="B419" s="0" t="n">
        <v>466515</v>
      </c>
      <c r="C419" s="0" t="n">
        <v>3</v>
      </c>
      <c r="D419" s="0" t="n">
        <v>14</v>
      </c>
      <c r="E419" s="0" t="n">
        <v>2503</v>
      </c>
      <c r="F419" s="0" t="n">
        <v>89</v>
      </c>
      <c r="G419" s="0" t="n">
        <v>129</v>
      </c>
      <c r="H419" s="0" t="s">
        <v>820</v>
      </c>
      <c r="I419" s="0" t="s">
        <v>865</v>
      </c>
      <c r="J419" s="9" t="n">
        <v>45902</v>
      </c>
      <c r="K419" s="0" t="s">
        <v>866</v>
      </c>
      <c r="L419" s="0" t="n">
        <v>11</v>
      </c>
      <c r="M419" s="10" t="n">
        <f aca="false">_xlfn.NUMBERVALUE("" &amp; K419 &amp; "",".",",")</f>
        <v>0.0350823808333333</v>
      </c>
      <c r="N419" s="10"/>
      <c r="O419" s="0" t="str">
        <f aca="false">VLOOKUP(C419,statusdetails!$A:$D,4,0)</f>
        <v>STANDBY</v>
      </c>
      <c r="P419" s="0" t="str">
        <f aca="false">VLOOKUP(F419,equipment!$A:$E,4,0)</f>
        <v>CM06</v>
      </c>
      <c r="Q419" s="0" t="str">
        <f aca="false">VLOOKUP(F419,equipment!$A:$E,5,0)</f>
        <v>CM06 - 89</v>
      </c>
    </row>
    <row r="420" customFormat="false" ht="12.8" hidden="true" customHeight="false" outlineLevel="0" collapsed="false">
      <c r="A420" s="0" t="n">
        <v>466516</v>
      </c>
      <c r="B420" s="0" t="n">
        <v>466516</v>
      </c>
      <c r="C420" s="0" t="n">
        <v>1</v>
      </c>
      <c r="D420" s="0" t="n">
        <v>6</v>
      </c>
      <c r="E420" s="0" t="n">
        <v>2404</v>
      </c>
      <c r="F420" s="0" t="n">
        <v>89</v>
      </c>
      <c r="G420" s="0" t="n">
        <v>129</v>
      </c>
      <c r="H420" s="0" t="s">
        <v>865</v>
      </c>
      <c r="I420" s="11" t="n">
        <v>45902.5191319444</v>
      </c>
      <c r="J420" s="9" t="n">
        <v>45902</v>
      </c>
      <c r="K420" s="0" t="s">
        <v>867</v>
      </c>
      <c r="L420" s="0" t="n">
        <v>11</v>
      </c>
      <c r="M420" s="10" t="n">
        <f aca="false">_xlfn.NUMBERVALUE("" &amp; K420 &amp; "",".",",")</f>
        <v>1.40491555555556</v>
      </c>
      <c r="N420" s="10"/>
      <c r="O420" s="0" t="str">
        <f aca="false">VLOOKUP(C420,statusdetails!$A:$D,4,0)</f>
        <v>READY</v>
      </c>
    </row>
    <row r="421" customFormat="false" ht="12.8" hidden="true" customHeight="false" outlineLevel="0" collapsed="false">
      <c r="A421" s="0" t="n">
        <v>466517</v>
      </c>
      <c r="B421" s="0" t="n">
        <v>466517</v>
      </c>
      <c r="C421" s="0" t="n">
        <v>4</v>
      </c>
      <c r="D421" s="0" t="n">
        <v>15</v>
      </c>
      <c r="E421" s="0" t="n">
        <v>2396</v>
      </c>
      <c r="F421" s="0" t="n">
        <v>96</v>
      </c>
      <c r="G421" s="0" t="n">
        <v>124</v>
      </c>
      <c r="H421" s="0" t="s">
        <v>868</v>
      </c>
      <c r="I421" s="0" t="s">
        <v>869</v>
      </c>
      <c r="J421" s="9" t="n">
        <v>45902</v>
      </c>
      <c r="K421" s="0" t="s">
        <v>870</v>
      </c>
      <c r="L421" s="0" t="n">
        <v>11</v>
      </c>
      <c r="M421" s="10" t="n">
        <f aca="false">_xlfn.NUMBERVALUE("" &amp; K421 &amp; "",".",",")</f>
        <v>0.985130276666667</v>
      </c>
      <c r="N421" s="10"/>
      <c r="O421" s="0" t="str">
        <f aca="false">VLOOKUP(C421,statusdetails!$A:$D,4,0)</f>
        <v>MAINT</v>
      </c>
    </row>
    <row r="422" customFormat="false" ht="12.8" hidden="true" customHeight="false" outlineLevel="0" collapsed="false">
      <c r="A422" s="0" t="n">
        <v>466518</v>
      </c>
      <c r="B422" s="0" t="n">
        <v>466518</v>
      </c>
      <c r="C422" s="0" t="n">
        <v>1</v>
      </c>
      <c r="D422" s="0" t="n">
        <v>6</v>
      </c>
      <c r="E422" s="0" t="n">
        <v>1397</v>
      </c>
      <c r="F422" s="0" t="n">
        <v>60</v>
      </c>
      <c r="G422" s="0" t="n">
        <v>163</v>
      </c>
      <c r="H422" s="0" t="s">
        <v>836</v>
      </c>
      <c r="I422" s="0" t="s">
        <v>871</v>
      </c>
      <c r="J422" s="9" t="n">
        <v>45902</v>
      </c>
      <c r="K422" s="0" t="s">
        <v>872</v>
      </c>
      <c r="L422" s="0" t="n">
        <v>11</v>
      </c>
      <c r="M422" s="10" t="n">
        <f aca="false">_xlfn.NUMBERVALUE("" &amp; K422 &amp; "",".",",")</f>
        <v>1.05778423583333</v>
      </c>
      <c r="N422" s="10"/>
      <c r="O422" s="0" t="str">
        <f aca="false">VLOOKUP(C422,statusdetails!$A:$D,4,0)</f>
        <v>READY</v>
      </c>
    </row>
    <row r="423" customFormat="false" ht="12.8" hidden="true" customHeight="false" outlineLevel="0" collapsed="false">
      <c r="A423" s="0" t="n">
        <v>466519</v>
      </c>
      <c r="B423" s="0" t="n">
        <v>466519</v>
      </c>
      <c r="C423" s="0" t="n">
        <v>3</v>
      </c>
      <c r="D423" s="0" t="n">
        <v>12</v>
      </c>
      <c r="E423" s="0" t="n">
        <v>1011</v>
      </c>
      <c r="F423" s="0" t="n">
        <v>33</v>
      </c>
      <c r="G423" s="0" t="n">
        <v>78</v>
      </c>
      <c r="H423" s="0" t="s">
        <v>846</v>
      </c>
      <c r="I423" s="0" t="s">
        <v>873</v>
      </c>
      <c r="J423" s="9" t="n">
        <v>45902</v>
      </c>
      <c r="K423" s="0" t="s">
        <v>874</v>
      </c>
      <c r="L423" s="0" t="n">
        <v>11</v>
      </c>
      <c r="M423" s="10" t="n">
        <f aca="false">_xlfn.NUMBERVALUE("" &amp; K423 &amp; "",".",",")</f>
        <v>9.01359030694444</v>
      </c>
      <c r="N423" s="10"/>
      <c r="O423" s="0" t="str">
        <f aca="false">VLOOKUP(C423,statusdetails!$A:$D,4,0)</f>
        <v>STANDBY</v>
      </c>
      <c r="P423" s="0" t="str">
        <f aca="false">VLOOKUP(F423,equipment!$A:$E,4,0)</f>
        <v>CM406</v>
      </c>
      <c r="Q423" s="0" t="str">
        <f aca="false">VLOOKUP(F423,equipment!$A:$E,5,0)</f>
        <v>CM406 - 33</v>
      </c>
    </row>
    <row r="424" customFormat="false" ht="12.8" hidden="true" customHeight="false" outlineLevel="0" collapsed="false">
      <c r="A424" s="0" t="n">
        <v>466520</v>
      </c>
      <c r="B424" s="0" t="n">
        <v>466520</v>
      </c>
      <c r="C424" s="0" t="n">
        <v>3</v>
      </c>
      <c r="D424" s="0" t="n">
        <v>14</v>
      </c>
      <c r="E424" s="0" t="n">
        <v>2503</v>
      </c>
      <c r="F424" s="0" t="n">
        <v>85</v>
      </c>
      <c r="G424" s="0" t="n">
        <v>22</v>
      </c>
      <c r="H424" s="0" t="s">
        <v>718</v>
      </c>
      <c r="I424" s="0" t="s">
        <v>875</v>
      </c>
      <c r="J424" s="9" t="n">
        <v>45902</v>
      </c>
      <c r="K424" s="0" t="s">
        <v>876</v>
      </c>
      <c r="L424" s="0" t="n">
        <v>11</v>
      </c>
      <c r="M424" s="10" t="n">
        <f aca="false">_xlfn.NUMBERVALUE("" &amp; K424 &amp; "",".",",")</f>
        <v>0.0913448527777778</v>
      </c>
      <c r="N424" s="10"/>
      <c r="O424" s="0" t="str">
        <f aca="false">VLOOKUP(C424,statusdetails!$A:$D,4,0)</f>
        <v>STANDBY</v>
      </c>
      <c r="P424" s="0" t="str">
        <f aca="false">VLOOKUP(F424,equipment!$A:$E,4,0)</f>
        <v>CM02</v>
      </c>
      <c r="Q424" s="0" t="str">
        <f aca="false">VLOOKUP(F424,equipment!$A:$E,5,0)</f>
        <v>CM02 - 85</v>
      </c>
    </row>
    <row r="425" customFormat="false" ht="12.8" hidden="true" customHeight="false" outlineLevel="0" collapsed="false">
      <c r="A425" s="0" t="n">
        <v>466521</v>
      </c>
      <c r="B425" s="0" t="n">
        <v>466521</v>
      </c>
      <c r="C425" s="0" t="n">
        <v>1</v>
      </c>
      <c r="D425" s="0" t="n">
        <v>6</v>
      </c>
      <c r="E425" s="0" t="n">
        <v>2404</v>
      </c>
      <c r="F425" s="0" t="n">
        <v>85</v>
      </c>
      <c r="G425" s="0" t="n">
        <v>22</v>
      </c>
      <c r="H425" s="0" t="s">
        <v>875</v>
      </c>
      <c r="I425" s="0" t="s">
        <v>877</v>
      </c>
      <c r="J425" s="9" t="n">
        <v>45902</v>
      </c>
      <c r="K425" s="0" t="s">
        <v>878</v>
      </c>
      <c r="L425" s="0" t="n">
        <v>11</v>
      </c>
      <c r="M425" s="10" t="n">
        <f aca="false">_xlfn.NUMBERVALUE("" &amp; K425 &amp; "",".",",")</f>
        <v>0.0468050916666667</v>
      </c>
      <c r="N425" s="10"/>
      <c r="O425" s="0" t="str">
        <f aca="false">VLOOKUP(C425,statusdetails!$A:$D,4,0)</f>
        <v>READY</v>
      </c>
    </row>
    <row r="426" customFormat="false" ht="12.8" hidden="true" customHeight="false" outlineLevel="0" collapsed="false">
      <c r="A426" s="0" t="n">
        <v>466522</v>
      </c>
      <c r="B426" s="0" t="n">
        <v>466522</v>
      </c>
      <c r="C426" s="0" t="n">
        <v>3</v>
      </c>
      <c r="D426" s="0" t="n">
        <v>12</v>
      </c>
      <c r="E426" s="0" t="n">
        <v>2422</v>
      </c>
      <c r="F426" s="0" t="n">
        <v>85</v>
      </c>
      <c r="G426" s="0" t="n">
        <v>22</v>
      </c>
      <c r="H426" s="0" t="s">
        <v>877</v>
      </c>
      <c r="I426" s="0" t="s">
        <v>879</v>
      </c>
      <c r="J426" s="9" t="n">
        <v>45902</v>
      </c>
      <c r="K426" s="0" t="s">
        <v>880</v>
      </c>
      <c r="L426" s="0" t="n">
        <v>11</v>
      </c>
      <c r="M426" s="10" t="n">
        <f aca="false">_xlfn.NUMBERVALUE("" &amp; K426 &amp; "",".",",")</f>
        <v>0.8028325</v>
      </c>
      <c r="N426" s="10"/>
      <c r="O426" s="0" t="str">
        <f aca="false">VLOOKUP(C426,statusdetails!$A:$D,4,0)</f>
        <v>STANDBY</v>
      </c>
      <c r="P426" s="0" t="str">
        <f aca="false">VLOOKUP(F426,equipment!$A:$E,4,0)</f>
        <v>CM02</v>
      </c>
      <c r="Q426" s="0" t="str">
        <f aca="false">VLOOKUP(F426,equipment!$A:$E,5,0)</f>
        <v>CM02 - 85</v>
      </c>
    </row>
    <row r="427" customFormat="false" ht="12.8" hidden="true" customHeight="false" outlineLevel="0" collapsed="false">
      <c r="A427" s="0" t="n">
        <v>466523</v>
      </c>
      <c r="B427" s="0" t="n">
        <v>466523</v>
      </c>
      <c r="C427" s="0" t="n">
        <v>3</v>
      </c>
      <c r="D427" s="0" t="n">
        <v>14</v>
      </c>
      <c r="E427" s="0" t="n">
        <v>1136</v>
      </c>
      <c r="F427" s="0" t="n">
        <v>49</v>
      </c>
      <c r="G427" s="0" t="n">
        <v>130</v>
      </c>
      <c r="H427" s="0" t="s">
        <v>764</v>
      </c>
      <c r="I427" s="0" t="s">
        <v>881</v>
      </c>
      <c r="J427" s="9" t="n">
        <v>45902</v>
      </c>
      <c r="K427" s="0" t="s">
        <v>882</v>
      </c>
      <c r="L427" s="0" t="n">
        <v>11</v>
      </c>
      <c r="M427" s="10" t="n">
        <f aca="false">_xlfn.NUMBERVALUE("" &amp; K427 &amp; "",".",",")</f>
        <v>3.89492542694444</v>
      </c>
      <c r="N427" s="10"/>
      <c r="O427" s="0" t="str">
        <f aca="false">VLOOKUP(C427,statusdetails!$A:$D,4,0)</f>
        <v>STANDBY</v>
      </c>
      <c r="P427" s="0" t="str">
        <f aca="false">VLOOKUP(F427,equipment!$A:$E,4,0)</f>
        <v>CR702</v>
      </c>
      <c r="Q427" s="0" t="str">
        <f aca="false">VLOOKUP(F427,equipment!$A:$E,5,0)</f>
        <v>CR702 - 49</v>
      </c>
    </row>
    <row r="428" customFormat="false" ht="12.8" hidden="true" customHeight="false" outlineLevel="0" collapsed="false">
      <c r="A428" s="0" t="n">
        <v>466524</v>
      </c>
      <c r="B428" s="0" t="n">
        <v>466524</v>
      </c>
      <c r="C428" s="0" t="n">
        <v>2</v>
      </c>
      <c r="D428" s="0" t="n">
        <v>9</v>
      </c>
      <c r="E428" s="0" t="n">
        <v>1347</v>
      </c>
      <c r="F428" s="0" t="n">
        <v>66</v>
      </c>
      <c r="G428" s="0" t="n">
        <v>113</v>
      </c>
      <c r="H428" s="0" t="s">
        <v>859</v>
      </c>
      <c r="I428" s="0" t="s">
        <v>883</v>
      </c>
      <c r="J428" s="9" t="n">
        <v>45902</v>
      </c>
      <c r="K428" s="0" t="s">
        <v>884</v>
      </c>
      <c r="L428" s="0" t="n">
        <v>11</v>
      </c>
      <c r="M428" s="3" t="n">
        <f aca="false">_xlfn.NUMBERVALUE("" &amp; K428 &amp; "",".",",")</f>
        <v>0.0122538516666667</v>
      </c>
      <c r="O428" s="0" t="str">
        <f aca="false">VLOOKUP(C428,statusdetails!$A:$D,4,0)</f>
        <v>DELAY</v>
      </c>
    </row>
    <row r="429" customFormat="false" ht="12.8" hidden="true" customHeight="false" outlineLevel="0" collapsed="false">
      <c r="A429" s="0" t="n">
        <v>466525</v>
      </c>
      <c r="B429" s="0" t="n">
        <v>466525</v>
      </c>
      <c r="C429" s="0" t="n">
        <v>1</v>
      </c>
      <c r="D429" s="0" t="n">
        <v>6</v>
      </c>
      <c r="E429" s="0" t="n">
        <v>260</v>
      </c>
      <c r="F429" s="0" t="n">
        <v>66</v>
      </c>
      <c r="G429" s="0" t="n">
        <v>113</v>
      </c>
      <c r="H429" s="0" t="s">
        <v>883</v>
      </c>
      <c r="I429" s="0" t="s">
        <v>885</v>
      </c>
      <c r="J429" s="9" t="n">
        <v>45902</v>
      </c>
      <c r="K429" s="0" t="s">
        <v>886</v>
      </c>
      <c r="L429" s="0" t="n">
        <v>11</v>
      </c>
      <c r="M429" s="10" t="n">
        <f aca="false">_xlfn.NUMBERVALUE("" &amp; K429 &amp; "",".",",")</f>
        <v>0.285937762222222</v>
      </c>
      <c r="N429" s="10"/>
      <c r="O429" s="0" t="str">
        <f aca="false">VLOOKUP(C429,statusdetails!$A:$D,4,0)</f>
        <v>READY</v>
      </c>
    </row>
    <row r="430" customFormat="false" ht="12.8" hidden="true" customHeight="false" outlineLevel="0" collapsed="false">
      <c r="A430" s="0" t="n">
        <v>466526</v>
      </c>
      <c r="B430" s="0" t="n">
        <v>466526</v>
      </c>
      <c r="C430" s="0" t="n">
        <v>2</v>
      </c>
      <c r="D430" s="0" t="n">
        <v>9</v>
      </c>
      <c r="E430" s="0" t="n">
        <v>2450</v>
      </c>
      <c r="F430" s="0" t="n">
        <v>84</v>
      </c>
      <c r="G430" s="0" t="n">
        <v>138</v>
      </c>
      <c r="H430" s="0" t="s">
        <v>855</v>
      </c>
      <c r="I430" s="0" t="s">
        <v>887</v>
      </c>
      <c r="J430" s="9" t="n">
        <v>45902</v>
      </c>
      <c r="K430" s="0" t="s">
        <v>888</v>
      </c>
      <c r="L430" s="0" t="n">
        <v>11</v>
      </c>
      <c r="M430" s="3" t="n">
        <f aca="false">_xlfn.NUMBERVALUE("" &amp; K430 &amp; "",".",",")</f>
        <v>0.093455</v>
      </c>
      <c r="O430" s="0" t="str">
        <f aca="false">VLOOKUP(C430,statusdetails!$A:$D,4,0)</f>
        <v>DELAY</v>
      </c>
    </row>
    <row r="431" customFormat="false" ht="12.8" hidden="true" customHeight="false" outlineLevel="0" collapsed="false">
      <c r="A431" s="0" t="n">
        <v>466527</v>
      </c>
      <c r="B431" s="0" t="n">
        <v>466527</v>
      </c>
      <c r="C431" s="0" t="n">
        <v>1</v>
      </c>
      <c r="D431" s="0" t="n">
        <v>6</v>
      </c>
      <c r="E431" s="0" t="n">
        <v>1040</v>
      </c>
      <c r="F431" s="0" t="n">
        <v>47</v>
      </c>
      <c r="G431" s="0" t="n">
        <v>103</v>
      </c>
      <c r="H431" s="0" t="s">
        <v>680</v>
      </c>
      <c r="I431" s="0" t="s">
        <v>889</v>
      </c>
      <c r="J431" s="9" t="n">
        <v>45902</v>
      </c>
      <c r="K431" s="0" t="s">
        <v>890</v>
      </c>
      <c r="L431" s="0" t="n">
        <v>11</v>
      </c>
      <c r="M431" s="10" t="n">
        <f aca="false">_xlfn.NUMBERVALUE("" &amp; K431 &amp; "",".",",")</f>
        <v>21.4339398288889</v>
      </c>
      <c r="N431" s="10"/>
      <c r="O431" s="0" t="str">
        <f aca="false">VLOOKUP(C431,statusdetails!$A:$D,4,0)</f>
        <v>READY</v>
      </c>
    </row>
    <row r="432" customFormat="false" ht="12.8" hidden="true" customHeight="false" outlineLevel="0" collapsed="false">
      <c r="A432" s="0" t="n">
        <v>466528</v>
      </c>
      <c r="B432" s="0" t="n">
        <v>466528</v>
      </c>
      <c r="C432" s="0" t="n">
        <v>2</v>
      </c>
      <c r="D432" s="0" t="n">
        <v>9</v>
      </c>
      <c r="E432" s="0" t="n">
        <v>1347</v>
      </c>
      <c r="F432" s="0" t="n">
        <v>66</v>
      </c>
      <c r="G432" s="0" t="n">
        <v>113</v>
      </c>
      <c r="H432" s="0" t="s">
        <v>885</v>
      </c>
      <c r="I432" s="0" t="s">
        <v>891</v>
      </c>
      <c r="J432" s="9" t="n">
        <v>45902</v>
      </c>
      <c r="K432" s="0" t="s">
        <v>892</v>
      </c>
      <c r="L432" s="0" t="n">
        <v>11</v>
      </c>
      <c r="M432" s="3" t="n">
        <f aca="false">_xlfn.NUMBERVALUE("" &amp; K432 &amp; "",".",",")</f>
        <v>0.0358295188888889</v>
      </c>
      <c r="O432" s="0" t="str">
        <f aca="false">VLOOKUP(C432,statusdetails!$A:$D,4,0)</f>
        <v>DELAY</v>
      </c>
    </row>
    <row r="433" customFormat="false" ht="12.8" hidden="true" customHeight="false" outlineLevel="0" collapsed="false">
      <c r="A433" s="0" t="n">
        <v>466529</v>
      </c>
      <c r="B433" s="0" t="n">
        <v>466529</v>
      </c>
      <c r="C433" s="0" t="n">
        <v>1</v>
      </c>
      <c r="D433" s="0" t="n">
        <v>6</v>
      </c>
      <c r="E433" s="0" t="n">
        <v>2404</v>
      </c>
      <c r="F433" s="0" t="n">
        <v>84</v>
      </c>
      <c r="G433" s="0" t="n">
        <v>138</v>
      </c>
      <c r="H433" s="0" t="s">
        <v>887</v>
      </c>
      <c r="I433" s="11" t="n">
        <v>45902.5223958333</v>
      </c>
      <c r="J433" s="9" t="n">
        <v>45902</v>
      </c>
      <c r="K433" s="0" t="s">
        <v>893</v>
      </c>
      <c r="L433" s="0" t="n">
        <v>11</v>
      </c>
      <c r="M433" s="10" t="n">
        <f aca="false">_xlfn.NUMBERVALUE("" &amp; K433 &amp; "",".",",")</f>
        <v>0.8406425</v>
      </c>
      <c r="N433" s="10"/>
      <c r="O433" s="0" t="str">
        <f aca="false">VLOOKUP(C433,statusdetails!$A:$D,4,0)</f>
        <v>READY</v>
      </c>
    </row>
    <row r="434" customFormat="false" ht="12.8" hidden="true" customHeight="false" outlineLevel="0" collapsed="false">
      <c r="A434" s="0" t="n">
        <v>466530</v>
      </c>
      <c r="B434" s="0" t="n">
        <v>466530</v>
      </c>
      <c r="C434" s="0" t="n">
        <v>1</v>
      </c>
      <c r="D434" s="0" t="n">
        <v>6</v>
      </c>
      <c r="E434" s="0" t="n">
        <v>260</v>
      </c>
      <c r="F434" s="0" t="n">
        <v>66</v>
      </c>
      <c r="G434" s="0" t="n">
        <v>113</v>
      </c>
      <c r="H434" s="0" t="s">
        <v>891</v>
      </c>
      <c r="I434" s="0" t="s">
        <v>894</v>
      </c>
      <c r="J434" s="9" t="n">
        <v>45902</v>
      </c>
      <c r="K434" s="0" t="s">
        <v>895</v>
      </c>
      <c r="L434" s="0" t="n">
        <v>11</v>
      </c>
      <c r="M434" s="10" t="n">
        <f aca="false">_xlfn.NUMBERVALUE("" &amp; K434 &amp; "",".",",")</f>
        <v>0.0144148975</v>
      </c>
      <c r="N434" s="10"/>
      <c r="O434" s="0" t="str">
        <f aca="false">VLOOKUP(C434,statusdetails!$A:$D,4,0)</f>
        <v>READY</v>
      </c>
    </row>
    <row r="435" customFormat="false" ht="12.8" hidden="true" customHeight="false" outlineLevel="0" collapsed="false">
      <c r="A435" s="0" t="n">
        <v>466531</v>
      </c>
      <c r="B435" s="0" t="n">
        <v>466531</v>
      </c>
      <c r="C435" s="0" t="n">
        <v>2</v>
      </c>
      <c r="D435" s="0" t="n">
        <v>9</v>
      </c>
      <c r="E435" s="0" t="n">
        <v>2568</v>
      </c>
      <c r="F435" s="0" t="n">
        <v>66</v>
      </c>
      <c r="G435" s="0" t="n">
        <v>113</v>
      </c>
      <c r="H435" s="0" t="s">
        <v>894</v>
      </c>
      <c r="I435" s="0" t="s">
        <v>896</v>
      </c>
      <c r="J435" s="9" t="n">
        <v>45902</v>
      </c>
      <c r="K435" s="0" t="s">
        <v>897</v>
      </c>
      <c r="L435" s="0" t="n">
        <v>11</v>
      </c>
      <c r="M435" s="3" t="n">
        <f aca="false">_xlfn.NUMBERVALUE("" &amp; K435 &amp; "",".",",")</f>
        <v>0.0262000225</v>
      </c>
      <c r="O435" s="0" t="str">
        <f aca="false">VLOOKUP(C435,statusdetails!$A:$D,4,0)</f>
        <v>DELAY</v>
      </c>
    </row>
    <row r="436" customFormat="false" ht="12.8" hidden="true" customHeight="false" outlineLevel="0" collapsed="false">
      <c r="A436" s="0" t="n">
        <v>466532</v>
      </c>
      <c r="B436" s="0" t="n">
        <v>466532</v>
      </c>
      <c r="C436" s="0" t="n">
        <v>1</v>
      </c>
      <c r="D436" s="0" t="n">
        <v>6</v>
      </c>
      <c r="E436" s="0" t="n">
        <v>260</v>
      </c>
      <c r="F436" s="0" t="n">
        <v>66</v>
      </c>
      <c r="G436" s="0" t="n">
        <v>113</v>
      </c>
      <c r="H436" s="0" t="s">
        <v>896</v>
      </c>
      <c r="I436" s="0" t="s">
        <v>898</v>
      </c>
      <c r="J436" s="9" t="n">
        <v>45902</v>
      </c>
      <c r="K436" s="0" t="s">
        <v>899</v>
      </c>
      <c r="L436" s="0" t="n">
        <v>11</v>
      </c>
      <c r="M436" s="10" t="n">
        <f aca="false">_xlfn.NUMBERVALUE("" &amp; K436 &amp; "",".",",")</f>
        <v>0.141328216111111</v>
      </c>
      <c r="N436" s="10"/>
      <c r="O436" s="0" t="str">
        <f aca="false">VLOOKUP(C436,statusdetails!$A:$D,4,0)</f>
        <v>READY</v>
      </c>
    </row>
    <row r="437" customFormat="false" ht="12.8" hidden="true" customHeight="false" outlineLevel="0" collapsed="false">
      <c r="A437" s="0" t="n">
        <v>466533</v>
      </c>
      <c r="B437" s="0" t="n">
        <v>466533</v>
      </c>
      <c r="C437" s="0" t="n">
        <v>2</v>
      </c>
      <c r="D437" s="0" t="n">
        <v>9</v>
      </c>
      <c r="E437" s="0" t="n">
        <v>2305</v>
      </c>
      <c r="F437" s="0" t="n">
        <v>66</v>
      </c>
      <c r="G437" s="0" t="n">
        <v>113</v>
      </c>
      <c r="H437" s="0" t="s">
        <v>898</v>
      </c>
      <c r="I437" s="0" t="s">
        <v>900</v>
      </c>
      <c r="J437" s="9" t="n">
        <v>45902</v>
      </c>
      <c r="K437" s="0" t="s">
        <v>901</v>
      </c>
      <c r="L437" s="0" t="n">
        <v>11</v>
      </c>
      <c r="M437" s="3" t="n">
        <f aca="false">_xlfn.NUMBERVALUE("" &amp; K437 &amp; "",".",",")</f>
        <v>0.0327141430555556</v>
      </c>
      <c r="O437" s="0" t="str">
        <f aca="false">VLOOKUP(C437,statusdetails!$A:$D,4,0)</f>
        <v>DELAY</v>
      </c>
    </row>
    <row r="438" customFormat="false" ht="12.8" hidden="true" customHeight="false" outlineLevel="0" collapsed="false">
      <c r="A438" s="0" t="n">
        <v>466534</v>
      </c>
      <c r="B438" s="0" t="n">
        <v>466534</v>
      </c>
      <c r="C438" s="0" t="n">
        <v>1</v>
      </c>
      <c r="D438" s="0" t="n">
        <v>6</v>
      </c>
      <c r="E438" s="0" t="n">
        <v>260</v>
      </c>
      <c r="F438" s="0" t="n">
        <v>66</v>
      </c>
      <c r="G438" s="0" t="n">
        <v>113</v>
      </c>
      <c r="H438" s="0" t="s">
        <v>900</v>
      </c>
      <c r="I438" s="0" t="s">
        <v>902</v>
      </c>
      <c r="J438" s="9" t="n">
        <v>45902</v>
      </c>
      <c r="K438" s="0" t="s">
        <v>903</v>
      </c>
      <c r="L438" s="0" t="n">
        <v>11</v>
      </c>
      <c r="M438" s="10" t="n">
        <f aca="false">_xlfn.NUMBERVALUE("" &amp; K438 &amp; "",".",",")</f>
        <v>0.163955763333333</v>
      </c>
      <c r="N438" s="10"/>
      <c r="O438" s="0" t="str">
        <f aca="false">VLOOKUP(C438,statusdetails!$A:$D,4,0)</f>
        <v>READY</v>
      </c>
    </row>
    <row r="439" customFormat="false" ht="12.8" hidden="true" customHeight="false" outlineLevel="0" collapsed="false">
      <c r="A439" s="0" t="n">
        <v>466535</v>
      </c>
      <c r="B439" s="0" t="n">
        <v>466535</v>
      </c>
      <c r="C439" s="0" t="n">
        <v>3</v>
      </c>
      <c r="D439" s="0" t="n">
        <v>12</v>
      </c>
      <c r="E439" s="0" t="n">
        <v>1011</v>
      </c>
      <c r="F439" s="0" t="n">
        <v>35</v>
      </c>
      <c r="G439" s="0" t="n">
        <v>126</v>
      </c>
      <c r="H439" s="0" t="s">
        <v>826</v>
      </c>
      <c r="I439" s="0" t="s">
        <v>904</v>
      </c>
      <c r="J439" s="9" t="n">
        <v>45902</v>
      </c>
      <c r="K439" s="0" t="s">
        <v>905</v>
      </c>
      <c r="L439" s="0" t="n">
        <v>12</v>
      </c>
      <c r="M439" s="10" t="n">
        <f aca="false">_xlfn.NUMBERVALUE("" &amp; K439 &amp; "",".",",")</f>
        <v>4.58994884861111</v>
      </c>
      <c r="N439" s="10"/>
      <c r="O439" s="0" t="str">
        <f aca="false">VLOOKUP(C439,statusdetails!$A:$D,4,0)</f>
        <v>STANDBY</v>
      </c>
      <c r="P439" s="0" t="str">
        <f aca="false">VLOOKUP(F439,equipment!$A:$E,4,0)</f>
        <v>CM405</v>
      </c>
      <c r="Q439" s="0" t="str">
        <f aca="false">VLOOKUP(F439,equipment!$A:$E,5,0)</f>
        <v>CM405 - 35</v>
      </c>
    </row>
    <row r="440" customFormat="false" ht="12.8" hidden="true" customHeight="false" outlineLevel="0" collapsed="false">
      <c r="A440" s="0" t="n">
        <v>466536</v>
      </c>
      <c r="B440" s="0" t="n">
        <v>466536</v>
      </c>
      <c r="C440" s="0" t="n">
        <v>2</v>
      </c>
      <c r="D440" s="0" t="n">
        <v>9</v>
      </c>
      <c r="E440" s="0" t="n">
        <v>2568</v>
      </c>
      <c r="F440" s="0" t="n">
        <v>66</v>
      </c>
      <c r="G440" s="0" t="n">
        <v>113</v>
      </c>
      <c r="H440" s="0" t="s">
        <v>902</v>
      </c>
      <c r="I440" s="0" t="s">
        <v>906</v>
      </c>
      <c r="J440" s="9" t="n">
        <v>45902</v>
      </c>
      <c r="K440" s="0" t="s">
        <v>907</v>
      </c>
      <c r="L440" s="0" t="n">
        <v>12</v>
      </c>
      <c r="M440" s="3" t="n">
        <f aca="false">_xlfn.NUMBERVALUE("" &amp; K440 &amp; "",".",",")</f>
        <v>0.0242317930555556</v>
      </c>
      <c r="O440" s="0" t="str">
        <f aca="false">VLOOKUP(C440,statusdetails!$A:$D,4,0)</f>
        <v>DELAY</v>
      </c>
    </row>
    <row r="441" customFormat="false" ht="12.8" hidden="true" customHeight="false" outlineLevel="0" collapsed="false">
      <c r="A441" s="0" t="n">
        <v>466537</v>
      </c>
      <c r="B441" s="0" t="n">
        <v>466537</v>
      </c>
      <c r="C441" s="0" t="n">
        <v>1</v>
      </c>
      <c r="D441" s="0" t="n">
        <v>6</v>
      </c>
      <c r="E441" s="0" t="n">
        <v>2404</v>
      </c>
      <c r="F441" s="0" t="n">
        <v>85</v>
      </c>
      <c r="G441" s="0" t="n">
        <v>22</v>
      </c>
      <c r="H441" s="0" t="s">
        <v>879</v>
      </c>
      <c r="I441" s="11" t="n">
        <v>45902.5184027778</v>
      </c>
      <c r="J441" s="9" t="n">
        <v>45902</v>
      </c>
      <c r="K441" s="0" t="s">
        <v>908</v>
      </c>
      <c r="L441" s="0" t="n">
        <v>12</v>
      </c>
      <c r="M441" s="10" t="n">
        <f aca="false">_xlfn.NUMBERVALUE("" &amp; K441 &amp; "",".",",")</f>
        <v>0.322840277777778</v>
      </c>
      <c r="N441" s="10"/>
      <c r="O441" s="0" t="str">
        <f aca="false">VLOOKUP(C441,statusdetails!$A:$D,4,0)</f>
        <v>READY</v>
      </c>
    </row>
    <row r="442" customFormat="false" ht="12.8" hidden="true" customHeight="false" outlineLevel="0" collapsed="false">
      <c r="A442" s="0" t="n">
        <v>466538</v>
      </c>
      <c r="B442" s="0" t="n">
        <v>466538</v>
      </c>
      <c r="C442" s="0" t="n">
        <v>1</v>
      </c>
      <c r="D442" s="0" t="n">
        <v>6</v>
      </c>
      <c r="E442" s="0" t="n">
        <v>2518</v>
      </c>
      <c r="F442" s="0" t="n">
        <v>96</v>
      </c>
      <c r="G442" s="0" t="n">
        <v>124</v>
      </c>
      <c r="H442" s="0" t="s">
        <v>869</v>
      </c>
      <c r="I442" s="0" t="s">
        <v>909</v>
      </c>
      <c r="J442" s="9" t="n">
        <v>45902</v>
      </c>
      <c r="K442" s="0" t="s">
        <v>910</v>
      </c>
      <c r="L442" s="0" t="n">
        <v>12</v>
      </c>
      <c r="M442" s="10" t="n">
        <f aca="false">_xlfn.NUMBERVALUE("" &amp; K442 &amp; "",".",",")</f>
        <v>0.286720126388889</v>
      </c>
      <c r="N442" s="10"/>
      <c r="O442" s="0" t="str">
        <f aca="false">VLOOKUP(C442,statusdetails!$A:$D,4,0)</f>
        <v>READY</v>
      </c>
    </row>
    <row r="443" customFormat="false" ht="12.8" hidden="true" customHeight="false" outlineLevel="0" collapsed="false">
      <c r="A443" s="0" t="n">
        <v>466539</v>
      </c>
      <c r="B443" s="0" t="n">
        <v>466539</v>
      </c>
      <c r="C443" s="0" t="n">
        <v>1</v>
      </c>
      <c r="D443" s="0" t="n">
        <v>6</v>
      </c>
      <c r="E443" s="0" t="n">
        <v>260</v>
      </c>
      <c r="F443" s="0" t="n">
        <v>66</v>
      </c>
      <c r="G443" s="0" t="n">
        <v>113</v>
      </c>
      <c r="H443" s="0" t="s">
        <v>906</v>
      </c>
      <c r="I443" s="0" t="s">
        <v>911</v>
      </c>
      <c r="J443" s="9" t="n">
        <v>45902</v>
      </c>
      <c r="K443" s="0" t="s">
        <v>912</v>
      </c>
      <c r="L443" s="0" t="n">
        <v>12</v>
      </c>
      <c r="M443" s="10" t="n">
        <f aca="false">_xlfn.NUMBERVALUE("" &amp; K443 &amp; "",".",",")</f>
        <v>0.167019685277778</v>
      </c>
      <c r="N443" s="10"/>
      <c r="O443" s="0" t="str">
        <f aca="false">VLOOKUP(C443,statusdetails!$A:$D,4,0)</f>
        <v>READY</v>
      </c>
    </row>
    <row r="444" customFormat="false" ht="12.8" hidden="true" customHeight="false" outlineLevel="0" collapsed="false">
      <c r="A444" s="0" t="n">
        <v>466540</v>
      </c>
      <c r="B444" s="0" t="n">
        <v>466540</v>
      </c>
      <c r="C444" s="0" t="n">
        <v>1</v>
      </c>
      <c r="D444" s="0" t="n">
        <v>6</v>
      </c>
      <c r="E444" s="0" t="n">
        <v>2404</v>
      </c>
      <c r="F444" s="0" t="n">
        <v>88</v>
      </c>
      <c r="G444" s="0" t="n">
        <v>142</v>
      </c>
      <c r="H444" s="0" t="s">
        <v>850</v>
      </c>
      <c r="I444" s="11" t="n">
        <v>45902.5202662037</v>
      </c>
      <c r="J444" s="9" t="n">
        <v>45902</v>
      </c>
      <c r="K444" s="0" t="s">
        <v>913</v>
      </c>
      <c r="L444" s="0" t="n">
        <v>12</v>
      </c>
      <c r="M444" s="10" t="n">
        <f aca="false">_xlfn.NUMBERVALUE("" &amp; K444 &amp; "",".",",")</f>
        <v>0.360478925555556</v>
      </c>
      <c r="N444" s="10"/>
      <c r="O444" s="0" t="str">
        <f aca="false">VLOOKUP(C444,statusdetails!$A:$D,4,0)</f>
        <v>READY</v>
      </c>
    </row>
    <row r="445" customFormat="false" ht="12.8" hidden="true" customHeight="false" outlineLevel="0" collapsed="false">
      <c r="A445" s="0" t="n">
        <v>466541</v>
      </c>
      <c r="B445" s="0" t="n">
        <v>466541</v>
      </c>
      <c r="C445" s="0" t="n">
        <v>2</v>
      </c>
      <c r="D445" s="0" t="n">
        <v>7</v>
      </c>
      <c r="E445" s="0" t="n">
        <v>2562</v>
      </c>
      <c r="F445" s="0" t="n">
        <v>60</v>
      </c>
      <c r="G445" s="0" t="n">
        <v>163</v>
      </c>
      <c r="H445" s="0" t="s">
        <v>871</v>
      </c>
      <c r="I445" s="0" t="s">
        <v>914</v>
      </c>
      <c r="J445" s="9" t="n">
        <v>45902</v>
      </c>
      <c r="K445" s="0" t="s">
        <v>915</v>
      </c>
      <c r="L445" s="0" t="n">
        <v>12</v>
      </c>
      <c r="M445" s="3" t="n">
        <f aca="false">_xlfn.NUMBERVALUE("" &amp; K445 &amp; "",".",",")</f>
        <v>0.293417071944444</v>
      </c>
      <c r="O445" s="0" t="str">
        <f aca="false">VLOOKUP(C445,statusdetails!$A:$D,4,0)</f>
        <v>DELAY</v>
      </c>
    </row>
    <row r="446" customFormat="false" ht="12.8" hidden="true" customHeight="false" outlineLevel="0" collapsed="false">
      <c r="A446" s="0" t="n">
        <v>466542</v>
      </c>
      <c r="B446" s="0" t="n">
        <v>466542</v>
      </c>
      <c r="C446" s="0" t="n">
        <v>1</v>
      </c>
      <c r="D446" s="0" t="n">
        <v>2303</v>
      </c>
      <c r="E446" s="0" t="n">
        <v>1502</v>
      </c>
      <c r="F446" s="0" t="n">
        <v>90</v>
      </c>
      <c r="G446" s="0" t="n">
        <v>0</v>
      </c>
      <c r="H446" s="0" t="s">
        <v>374</v>
      </c>
      <c r="I446" s="0" t="s">
        <v>916</v>
      </c>
      <c r="J446" s="9" t="n">
        <v>45902</v>
      </c>
      <c r="K446" s="0" t="s">
        <v>917</v>
      </c>
      <c r="L446" s="0" t="n">
        <v>12</v>
      </c>
      <c r="M446" s="10" t="n">
        <f aca="false">_xlfn.NUMBERVALUE("" &amp; K446 &amp; "",".",",")</f>
        <v>0.0923335880555556</v>
      </c>
      <c r="N446" s="10"/>
      <c r="O446" s="0" t="str">
        <f aca="false">VLOOKUP(C446,statusdetails!$A:$D,4,0)</f>
        <v>READY</v>
      </c>
    </row>
    <row r="447" customFormat="false" ht="12.8" hidden="true" customHeight="false" outlineLevel="0" collapsed="false">
      <c r="A447" s="0" t="n">
        <v>466543</v>
      </c>
      <c r="B447" s="0" t="n">
        <v>466543</v>
      </c>
      <c r="C447" s="0" t="n">
        <v>2</v>
      </c>
      <c r="D447" s="0" t="n">
        <v>9</v>
      </c>
      <c r="E447" s="0" t="n">
        <v>2568</v>
      </c>
      <c r="F447" s="0" t="n">
        <v>66</v>
      </c>
      <c r="G447" s="0" t="n">
        <v>113</v>
      </c>
      <c r="H447" s="0" t="s">
        <v>911</v>
      </c>
      <c r="I447" s="0" t="s">
        <v>918</v>
      </c>
      <c r="J447" s="9" t="n">
        <v>45902</v>
      </c>
      <c r="K447" s="0" t="s">
        <v>919</v>
      </c>
      <c r="L447" s="0" t="n">
        <v>12</v>
      </c>
      <c r="M447" s="3" t="n">
        <f aca="false">_xlfn.NUMBERVALUE("" &amp; K447 &amp; "",".",",")</f>
        <v>0.0337237325</v>
      </c>
      <c r="O447" s="0" t="str">
        <f aca="false">VLOOKUP(C447,statusdetails!$A:$D,4,0)</f>
        <v>DELAY</v>
      </c>
    </row>
    <row r="448" customFormat="false" ht="12.8" hidden="true" customHeight="false" outlineLevel="0" collapsed="false">
      <c r="A448" s="0" t="n">
        <v>466544</v>
      </c>
      <c r="B448" s="0" t="n">
        <v>466544</v>
      </c>
      <c r="C448" s="0" t="n">
        <v>1</v>
      </c>
      <c r="D448" s="0" t="n">
        <v>6</v>
      </c>
      <c r="E448" s="0" t="n">
        <v>260</v>
      </c>
      <c r="F448" s="0" t="n">
        <v>66</v>
      </c>
      <c r="G448" s="0" t="n">
        <v>113</v>
      </c>
      <c r="H448" s="0" t="s">
        <v>918</v>
      </c>
      <c r="I448" s="0" t="s">
        <v>920</v>
      </c>
      <c r="J448" s="9" t="n">
        <v>45902</v>
      </c>
      <c r="K448" s="0" t="s">
        <v>921</v>
      </c>
      <c r="L448" s="0" t="n">
        <v>12</v>
      </c>
      <c r="M448" s="10" t="n">
        <f aca="false">_xlfn.NUMBERVALUE("" &amp; K448 &amp; "",".",",")</f>
        <v>0.180137891388889</v>
      </c>
      <c r="N448" s="10"/>
      <c r="O448" s="0" t="str">
        <f aca="false">VLOOKUP(C448,statusdetails!$A:$D,4,0)</f>
        <v>READY</v>
      </c>
    </row>
    <row r="449" customFormat="false" ht="12.8" hidden="true" customHeight="false" outlineLevel="0" collapsed="false">
      <c r="A449" s="0" t="n">
        <v>466545</v>
      </c>
      <c r="B449" s="0" t="n">
        <v>466545</v>
      </c>
      <c r="C449" s="0" t="n">
        <v>1</v>
      </c>
      <c r="D449" s="0" t="n">
        <v>6</v>
      </c>
      <c r="E449" s="0" t="n">
        <v>1397</v>
      </c>
      <c r="F449" s="0" t="n">
        <v>90</v>
      </c>
      <c r="G449" s="0" t="n">
        <v>0</v>
      </c>
      <c r="H449" s="0" t="s">
        <v>916</v>
      </c>
      <c r="I449" s="0" t="s">
        <v>922</v>
      </c>
      <c r="J449" s="9" t="n">
        <v>45902</v>
      </c>
      <c r="K449" s="0" t="s">
        <v>923</v>
      </c>
      <c r="L449" s="0" t="n">
        <v>12</v>
      </c>
      <c r="M449" s="10" t="n">
        <f aca="false">_xlfn.NUMBERVALUE("" &amp; K449 &amp; "",".",",")</f>
        <v>0.765200692222222</v>
      </c>
      <c r="N449" s="10"/>
      <c r="O449" s="0" t="str">
        <f aca="false">VLOOKUP(C449,statusdetails!$A:$D,4,0)</f>
        <v>READY</v>
      </c>
    </row>
    <row r="450" customFormat="false" ht="12.8" hidden="true" customHeight="false" outlineLevel="0" collapsed="false">
      <c r="A450" s="0" t="n">
        <v>466546</v>
      </c>
      <c r="B450" s="0" t="n">
        <v>466546</v>
      </c>
      <c r="C450" s="0" t="n">
        <v>3</v>
      </c>
      <c r="D450" s="0" t="n">
        <v>14</v>
      </c>
      <c r="E450" s="0" t="n">
        <v>2386</v>
      </c>
      <c r="F450" s="0" t="n">
        <v>96</v>
      </c>
      <c r="G450" s="0" t="n">
        <v>124</v>
      </c>
      <c r="H450" s="0" t="s">
        <v>909</v>
      </c>
      <c r="I450" s="11" t="n">
        <v>45902.5409953704</v>
      </c>
      <c r="J450" s="9" t="n">
        <v>45902</v>
      </c>
      <c r="K450" s="0" t="s">
        <v>924</v>
      </c>
      <c r="L450" s="0" t="n">
        <v>12</v>
      </c>
      <c r="M450" s="10" t="n">
        <f aca="false">_xlfn.NUMBERVALUE("" &amp; K450 &amp; "",".",",")</f>
        <v>0.575442965833333</v>
      </c>
      <c r="N450" s="10"/>
      <c r="O450" s="0" t="str">
        <f aca="false">VLOOKUP(C450,statusdetails!$A:$D,4,0)</f>
        <v>STANDBY</v>
      </c>
      <c r="P450" s="0" t="str">
        <f aca="false">VLOOKUP(F450,equipment!$A:$E,4,0)</f>
        <v>EX503</v>
      </c>
      <c r="Q450" s="0" t="str">
        <f aca="false">VLOOKUP(F450,equipment!$A:$E,5,0)</f>
        <v>EX503 - 96</v>
      </c>
    </row>
    <row r="451" customFormat="false" ht="12.8" hidden="true" customHeight="false" outlineLevel="0" collapsed="false">
      <c r="A451" s="0" t="n">
        <v>466547</v>
      </c>
      <c r="B451" s="0" t="n">
        <v>466547</v>
      </c>
      <c r="C451" s="0" t="n">
        <v>3</v>
      </c>
      <c r="D451" s="0" t="n">
        <v>14</v>
      </c>
      <c r="E451" s="0" t="n">
        <v>2386</v>
      </c>
      <c r="F451" s="0" t="n">
        <v>82</v>
      </c>
      <c r="G451" s="0" t="n">
        <v>10</v>
      </c>
      <c r="H451" s="0" t="s">
        <v>861</v>
      </c>
      <c r="I451" s="11" t="n">
        <v>45902.5448611111</v>
      </c>
      <c r="J451" s="9" t="n">
        <v>45902</v>
      </c>
      <c r="K451" s="0" t="s">
        <v>925</v>
      </c>
      <c r="L451" s="0" t="n">
        <v>12</v>
      </c>
      <c r="M451" s="10" t="n">
        <f aca="false">_xlfn.NUMBERVALUE("" &amp; K451 &amp; "",".",",")</f>
        <v>0.663790939166667</v>
      </c>
      <c r="N451" s="10"/>
      <c r="O451" s="0" t="str">
        <f aca="false">VLOOKUP(C451,statusdetails!$A:$D,4,0)</f>
        <v>STANDBY</v>
      </c>
      <c r="P451" s="0" t="str">
        <f aca="false">VLOOKUP(F451,equipment!$A:$E,4,0)</f>
        <v>EX502</v>
      </c>
      <c r="Q451" s="0" t="str">
        <f aca="false">VLOOKUP(F451,equipment!$A:$E,5,0)</f>
        <v>EX502 - 82</v>
      </c>
    </row>
    <row r="452" customFormat="false" ht="12.8" hidden="true" customHeight="false" outlineLevel="0" collapsed="false">
      <c r="A452" s="0" t="n">
        <v>466549</v>
      </c>
      <c r="B452" s="0" t="n">
        <v>466549</v>
      </c>
      <c r="C452" s="0" t="n">
        <v>3</v>
      </c>
      <c r="D452" s="0" t="n">
        <v>14</v>
      </c>
      <c r="E452" s="0" t="n">
        <v>1139</v>
      </c>
      <c r="F452" s="0" t="n">
        <v>43</v>
      </c>
      <c r="G452" s="0" t="n">
        <v>0</v>
      </c>
      <c r="H452" s="0" t="s">
        <v>824</v>
      </c>
      <c r="I452" s="0" t="s">
        <v>926</v>
      </c>
      <c r="J452" s="9" t="n">
        <v>45902</v>
      </c>
      <c r="K452" s="0" t="s">
        <v>927</v>
      </c>
      <c r="L452" s="0" t="n">
        <v>12</v>
      </c>
      <c r="M452" s="10" t="n">
        <f aca="false">_xlfn.NUMBERVALUE("" &amp; K452 &amp; "",".",",")</f>
        <v>2.18790519388889</v>
      </c>
      <c r="N452" s="10"/>
      <c r="O452" s="0" t="str">
        <f aca="false">VLOOKUP(C452,statusdetails!$A:$D,4,0)</f>
        <v>STANDBY</v>
      </c>
      <c r="P452" s="0" t="str">
        <f aca="false">VLOOKUP(F452,equipment!$A:$E,4,0)</f>
        <v>PE302</v>
      </c>
      <c r="Q452" s="0" t="str">
        <f aca="false">VLOOKUP(F452,equipment!$A:$E,5,0)</f>
        <v>PE302 - 43</v>
      </c>
    </row>
    <row r="453" customFormat="false" ht="12.8" hidden="true" customHeight="false" outlineLevel="0" collapsed="false">
      <c r="A453" s="0" t="n">
        <v>466552</v>
      </c>
      <c r="B453" s="0" t="n">
        <v>466552</v>
      </c>
      <c r="C453" s="0" t="n">
        <v>3</v>
      </c>
      <c r="D453" s="0" t="n">
        <v>14</v>
      </c>
      <c r="E453" s="0" t="n">
        <v>1503</v>
      </c>
      <c r="F453" s="0" t="n">
        <v>60</v>
      </c>
      <c r="G453" s="0" t="n">
        <v>163</v>
      </c>
      <c r="H453" s="0" t="s">
        <v>914</v>
      </c>
      <c r="I453" s="0" t="s">
        <v>928</v>
      </c>
      <c r="J453" s="9" t="n">
        <v>45902</v>
      </c>
      <c r="K453" s="0" t="s">
        <v>929</v>
      </c>
      <c r="L453" s="0" t="n">
        <v>12</v>
      </c>
      <c r="M453" s="10" t="n">
        <f aca="false">_xlfn.NUMBERVALUE("" &amp; K453 &amp; "",".",",")</f>
        <v>3.00730176333333</v>
      </c>
      <c r="N453" s="10"/>
      <c r="O453" s="0" t="str">
        <f aca="false">VLOOKUP(C453,statusdetails!$A:$D,4,0)</f>
        <v>STANDBY</v>
      </c>
      <c r="P453" s="0" t="str">
        <f aca="false">VLOOKUP(F453,equipment!$A:$E,4,0)</f>
        <v>EX802</v>
      </c>
      <c r="Q453" s="0" t="str">
        <f aca="false">VLOOKUP(F453,equipment!$A:$E,5,0)</f>
        <v>EX802 - 60</v>
      </c>
    </row>
    <row r="454" customFormat="false" ht="12.8" hidden="true" customHeight="false" outlineLevel="0" collapsed="false">
      <c r="A454" s="0" t="n">
        <v>466553</v>
      </c>
      <c r="B454" s="0" t="n">
        <v>466553</v>
      </c>
      <c r="C454" s="0" t="n">
        <v>2</v>
      </c>
      <c r="D454" s="0" t="n">
        <v>9</v>
      </c>
      <c r="E454" s="0" t="n">
        <v>2568</v>
      </c>
      <c r="F454" s="0" t="n">
        <v>66</v>
      </c>
      <c r="G454" s="0" t="n">
        <v>113</v>
      </c>
      <c r="H454" s="0" t="s">
        <v>920</v>
      </c>
      <c r="I454" s="0" t="s">
        <v>930</v>
      </c>
      <c r="J454" s="9" t="n">
        <v>45902</v>
      </c>
      <c r="K454" s="0" t="s">
        <v>931</v>
      </c>
      <c r="L454" s="0" t="n">
        <v>12</v>
      </c>
      <c r="M454" s="3" t="n">
        <f aca="false">_xlfn.NUMBERVALUE("" &amp; K454 &amp; "",".",",")</f>
        <v>0.0397948863888889</v>
      </c>
      <c r="O454" s="0" t="str">
        <f aca="false">VLOOKUP(C454,statusdetails!$A:$D,4,0)</f>
        <v>DELAY</v>
      </c>
    </row>
    <row r="455" customFormat="false" ht="12.8" hidden="true" customHeight="false" outlineLevel="0" collapsed="false">
      <c r="A455" s="0" t="n">
        <v>466554</v>
      </c>
      <c r="B455" s="0" t="n">
        <v>466554</v>
      </c>
      <c r="C455" s="0" t="n">
        <v>1</v>
      </c>
      <c r="D455" s="0" t="n">
        <v>6</v>
      </c>
      <c r="E455" s="0" t="n">
        <v>260</v>
      </c>
      <c r="F455" s="0" t="n">
        <v>66</v>
      </c>
      <c r="G455" s="0" t="n">
        <v>113</v>
      </c>
      <c r="H455" s="0" t="s">
        <v>930</v>
      </c>
      <c r="I455" s="0" t="s">
        <v>932</v>
      </c>
      <c r="J455" s="9" t="n">
        <v>45902</v>
      </c>
      <c r="K455" s="0" t="s">
        <v>933</v>
      </c>
      <c r="L455" s="0" t="n">
        <v>12</v>
      </c>
      <c r="M455" s="10" t="n">
        <f aca="false">_xlfn.NUMBERVALUE("" &amp; K455 &amp; "",".",",")</f>
        <v>0.2557453475</v>
      </c>
      <c r="N455" s="10"/>
      <c r="O455" s="0" t="str">
        <f aca="false">VLOOKUP(C455,statusdetails!$A:$D,4,0)</f>
        <v>READY</v>
      </c>
    </row>
    <row r="456" customFormat="false" ht="12.8" hidden="true" customHeight="false" outlineLevel="0" collapsed="false">
      <c r="A456" s="0" t="n">
        <v>466555</v>
      </c>
      <c r="B456" s="0" t="n">
        <v>466555</v>
      </c>
      <c r="C456" s="0" t="n">
        <v>3</v>
      </c>
      <c r="D456" s="0" t="n">
        <v>14</v>
      </c>
      <c r="E456" s="0" t="n">
        <v>1142</v>
      </c>
      <c r="F456" s="0" t="n">
        <v>34</v>
      </c>
      <c r="G456" s="0" t="n">
        <v>119</v>
      </c>
      <c r="H456" s="0" t="s">
        <v>857</v>
      </c>
      <c r="I456" s="0" t="s">
        <v>934</v>
      </c>
      <c r="J456" s="9" t="n">
        <v>45902</v>
      </c>
      <c r="K456" s="0" t="s">
        <v>935</v>
      </c>
      <c r="L456" s="0" t="n">
        <v>12</v>
      </c>
      <c r="M456" s="10" t="n">
        <f aca="false">_xlfn.NUMBERVALUE("" &amp; K456 &amp; "",".",",")</f>
        <v>0.228743592777778</v>
      </c>
      <c r="N456" s="10"/>
      <c r="O456" s="0" t="str">
        <f aca="false">VLOOKUP(C456,statusdetails!$A:$D,4,0)</f>
        <v>STANDBY</v>
      </c>
      <c r="P456" s="0" t="str">
        <f aca="false">VLOOKUP(F456,equipment!$A:$E,4,0)</f>
        <v>CM404</v>
      </c>
      <c r="Q456" s="0" t="str">
        <f aca="false">VLOOKUP(F456,equipment!$A:$E,5,0)</f>
        <v>CM404 - 34</v>
      </c>
    </row>
    <row r="457" customFormat="false" ht="12.8" hidden="true" customHeight="false" outlineLevel="0" collapsed="false">
      <c r="A457" s="0" t="n">
        <v>466558</v>
      </c>
      <c r="B457" s="0" t="n">
        <v>466558</v>
      </c>
      <c r="C457" s="0" t="n">
        <v>2</v>
      </c>
      <c r="D457" s="0" t="n">
        <v>9</v>
      </c>
      <c r="E457" s="0" t="n">
        <v>2568</v>
      </c>
      <c r="F457" s="0" t="n">
        <v>66</v>
      </c>
      <c r="G457" s="0" t="n">
        <v>113</v>
      </c>
      <c r="H457" s="0" t="s">
        <v>932</v>
      </c>
      <c r="I457" s="0" t="s">
        <v>936</v>
      </c>
      <c r="J457" s="9" t="n">
        <v>45902</v>
      </c>
      <c r="K457" s="0" t="s">
        <v>937</v>
      </c>
      <c r="L457" s="0" t="n">
        <v>12</v>
      </c>
      <c r="M457" s="3" t="n">
        <f aca="false">_xlfn.NUMBERVALUE("" &amp; K457 &amp; "",".",",")</f>
        <v>0.0409663458333333</v>
      </c>
      <c r="O457" s="0" t="str">
        <f aca="false">VLOOKUP(C457,statusdetails!$A:$D,4,0)</f>
        <v>DELAY</v>
      </c>
    </row>
    <row r="458" customFormat="false" ht="12.8" hidden="true" customHeight="false" outlineLevel="0" collapsed="false">
      <c r="A458" s="0" t="n">
        <v>466559</v>
      </c>
      <c r="B458" s="0" t="n">
        <v>466559</v>
      </c>
      <c r="C458" s="0" t="n">
        <v>1</v>
      </c>
      <c r="D458" s="0" t="n">
        <v>6</v>
      </c>
      <c r="E458" s="0" t="n">
        <v>260</v>
      </c>
      <c r="F458" s="0" t="n">
        <v>66</v>
      </c>
      <c r="G458" s="0" t="n">
        <v>113</v>
      </c>
      <c r="H458" s="0" t="s">
        <v>936</v>
      </c>
      <c r="I458" s="0" t="s">
        <v>938</v>
      </c>
      <c r="J458" s="9" t="n">
        <v>45902</v>
      </c>
      <c r="K458" s="0" t="s">
        <v>939</v>
      </c>
      <c r="L458" s="0" t="n">
        <v>12</v>
      </c>
      <c r="M458" s="10" t="n">
        <f aca="false">_xlfn.NUMBERVALUE("" &amp; K458 &amp; "",".",",")</f>
        <v>1.98230393583333</v>
      </c>
      <c r="N458" s="10"/>
      <c r="O458" s="0" t="str">
        <f aca="false">VLOOKUP(C458,statusdetails!$A:$D,4,0)</f>
        <v>READY</v>
      </c>
    </row>
    <row r="459" customFormat="false" ht="12.8" hidden="true" customHeight="false" outlineLevel="0" collapsed="false">
      <c r="A459" s="0" t="n">
        <v>466560</v>
      </c>
      <c r="B459" s="0" t="n">
        <v>466560</v>
      </c>
      <c r="C459" s="0" t="n">
        <v>1</v>
      </c>
      <c r="D459" s="0" t="n">
        <v>6</v>
      </c>
      <c r="E459" s="0" t="n">
        <v>2404</v>
      </c>
      <c r="F459" s="0" t="n">
        <v>84</v>
      </c>
      <c r="G459" s="0" t="n">
        <v>138</v>
      </c>
      <c r="H459" s="0" t="s">
        <v>940</v>
      </c>
      <c r="I459" s="0" t="s">
        <v>941</v>
      </c>
      <c r="J459" s="9" t="n">
        <v>45902</v>
      </c>
      <c r="K459" s="0" t="s">
        <v>942</v>
      </c>
      <c r="L459" s="0" t="n">
        <v>12</v>
      </c>
      <c r="M459" s="10" t="n">
        <f aca="false">_xlfn.NUMBERVALUE("" &amp; K459 &amp; "",".",",")</f>
        <v>0.0862386111111111</v>
      </c>
      <c r="N459" s="10"/>
      <c r="O459" s="0" t="str">
        <f aca="false">VLOOKUP(C459,statusdetails!$A:$D,4,0)</f>
        <v>READY</v>
      </c>
    </row>
    <row r="460" customFormat="false" ht="12.8" hidden="true" customHeight="false" outlineLevel="0" collapsed="false">
      <c r="A460" s="0" t="n">
        <v>466561</v>
      </c>
      <c r="B460" s="0" t="n">
        <v>466561</v>
      </c>
      <c r="C460" s="0" t="n">
        <v>1</v>
      </c>
      <c r="D460" s="0" t="n">
        <v>6</v>
      </c>
      <c r="E460" s="0" t="n">
        <v>2404</v>
      </c>
      <c r="F460" s="0" t="n">
        <v>87</v>
      </c>
      <c r="G460" s="0" t="n">
        <v>143</v>
      </c>
      <c r="H460" s="0" t="s">
        <v>943</v>
      </c>
      <c r="I460" s="0" t="s">
        <v>944</v>
      </c>
      <c r="J460" s="9" t="n">
        <v>45902</v>
      </c>
      <c r="K460" s="0" t="s">
        <v>945</v>
      </c>
      <c r="L460" s="0" t="n">
        <v>12</v>
      </c>
      <c r="M460" s="10" t="n">
        <f aca="false">_xlfn.NUMBERVALUE("" &amp; K460 &amp; "",".",",")</f>
        <v>0.650021451111111</v>
      </c>
      <c r="N460" s="10"/>
      <c r="O460" s="0" t="str">
        <f aca="false">VLOOKUP(C460,statusdetails!$A:$D,4,0)</f>
        <v>READY</v>
      </c>
    </row>
    <row r="461" customFormat="false" ht="12.8" hidden="true" customHeight="false" outlineLevel="0" collapsed="false">
      <c r="A461" s="0" t="n">
        <v>466562</v>
      </c>
      <c r="B461" s="0" t="n">
        <v>466562</v>
      </c>
      <c r="C461" s="0" t="n">
        <v>1</v>
      </c>
      <c r="D461" s="0" t="n">
        <v>6</v>
      </c>
      <c r="E461" s="0" t="n">
        <v>2404</v>
      </c>
      <c r="F461" s="0" t="n">
        <v>89</v>
      </c>
      <c r="G461" s="0" t="n">
        <v>130</v>
      </c>
      <c r="H461" s="0" t="s">
        <v>946</v>
      </c>
      <c r="I461" s="0" t="s">
        <v>947</v>
      </c>
      <c r="J461" s="9" t="n">
        <v>45902</v>
      </c>
      <c r="K461" s="0" t="s">
        <v>948</v>
      </c>
      <c r="L461" s="0" t="n">
        <v>12</v>
      </c>
      <c r="M461" s="10" t="n">
        <f aca="false">_xlfn.NUMBERVALUE("" &amp; K461 &amp; "",".",",")</f>
        <v>3.56033290305556</v>
      </c>
      <c r="N461" s="10"/>
      <c r="O461" s="0" t="str">
        <f aca="false">VLOOKUP(C461,statusdetails!$A:$D,4,0)</f>
        <v>READY</v>
      </c>
    </row>
    <row r="462" customFormat="false" ht="12.8" hidden="true" customHeight="false" outlineLevel="0" collapsed="false">
      <c r="A462" s="0" t="n">
        <v>466563</v>
      </c>
      <c r="B462" s="0" t="n">
        <v>466563</v>
      </c>
      <c r="C462" s="0" t="n">
        <v>1</v>
      </c>
      <c r="D462" s="0" t="n">
        <v>6</v>
      </c>
      <c r="E462" s="0" t="n">
        <v>260</v>
      </c>
      <c r="F462" s="0" t="n">
        <v>34</v>
      </c>
      <c r="G462" s="0" t="n">
        <v>119</v>
      </c>
      <c r="H462" s="0" t="s">
        <v>934</v>
      </c>
      <c r="I462" s="0" t="s">
        <v>949</v>
      </c>
      <c r="J462" s="9" t="n">
        <v>45902</v>
      </c>
      <c r="K462" s="0" t="s">
        <v>950</v>
      </c>
      <c r="L462" s="0" t="n">
        <v>12</v>
      </c>
      <c r="M462" s="10" t="n">
        <f aca="false">_xlfn.NUMBERVALUE("" &amp; K462 &amp; "",".",",")</f>
        <v>5.97917733666667</v>
      </c>
      <c r="N462" s="10"/>
      <c r="O462" s="0" t="str">
        <f aca="false">VLOOKUP(C462,statusdetails!$A:$D,4,0)</f>
        <v>READY</v>
      </c>
    </row>
    <row r="463" customFormat="false" ht="12.8" hidden="true" customHeight="false" outlineLevel="0" collapsed="false">
      <c r="A463" s="0" t="n">
        <v>466564</v>
      </c>
      <c r="B463" s="0" t="n">
        <v>466564</v>
      </c>
      <c r="C463" s="0" t="n">
        <v>3</v>
      </c>
      <c r="D463" s="0" t="n">
        <v>12</v>
      </c>
      <c r="E463" s="0" t="n">
        <v>2422</v>
      </c>
      <c r="F463" s="0" t="n">
        <v>84</v>
      </c>
      <c r="G463" s="0" t="n">
        <v>138</v>
      </c>
      <c r="H463" s="0" t="s">
        <v>941</v>
      </c>
      <c r="I463" s="0" t="s">
        <v>951</v>
      </c>
      <c r="J463" s="9" t="n">
        <v>45902</v>
      </c>
      <c r="K463" s="0" t="s">
        <v>952</v>
      </c>
      <c r="L463" s="0" t="n">
        <v>12</v>
      </c>
      <c r="M463" s="10" t="n">
        <f aca="false">_xlfn.NUMBERVALUE("" &amp; K463 &amp; "",".",",")</f>
        <v>0.0309374580555556</v>
      </c>
      <c r="N463" s="10"/>
      <c r="O463" s="0" t="str">
        <f aca="false">VLOOKUP(C463,statusdetails!$A:$D,4,0)</f>
        <v>STANDBY</v>
      </c>
      <c r="P463" s="0" t="str">
        <f aca="false">VLOOKUP(F463,equipment!$A:$E,4,0)</f>
        <v>CM01</v>
      </c>
      <c r="Q463" s="0" t="str">
        <f aca="false">VLOOKUP(F463,equipment!$A:$E,5,0)</f>
        <v>CM01 - 84</v>
      </c>
    </row>
    <row r="464" customFormat="false" ht="12.8" hidden="true" customHeight="false" outlineLevel="0" collapsed="false">
      <c r="A464" s="0" t="n">
        <v>466565</v>
      </c>
      <c r="B464" s="0" t="n">
        <v>466565</v>
      </c>
      <c r="C464" s="0" t="n">
        <v>1</v>
      </c>
      <c r="D464" s="0" t="n">
        <v>6</v>
      </c>
      <c r="E464" s="0" t="n">
        <v>2404</v>
      </c>
      <c r="F464" s="0" t="n">
        <v>84</v>
      </c>
      <c r="G464" s="0" t="n">
        <v>138</v>
      </c>
      <c r="H464" s="0" t="s">
        <v>951</v>
      </c>
      <c r="I464" s="0" t="s">
        <v>953</v>
      </c>
      <c r="J464" s="9" t="n">
        <v>45902</v>
      </c>
      <c r="K464" s="0" t="s">
        <v>954</v>
      </c>
      <c r="L464" s="0" t="n">
        <v>12</v>
      </c>
      <c r="M464" s="10" t="n">
        <f aca="false">_xlfn.NUMBERVALUE("" &amp; K464 &amp; "",".",",")</f>
        <v>4.2510655975</v>
      </c>
      <c r="N464" s="10"/>
      <c r="O464" s="0" t="str">
        <f aca="false">VLOOKUP(C464,statusdetails!$A:$D,4,0)</f>
        <v>READY</v>
      </c>
    </row>
    <row r="465" customFormat="false" ht="12.8" hidden="true" customHeight="false" outlineLevel="0" collapsed="false">
      <c r="A465" s="0" t="n">
        <v>466568</v>
      </c>
      <c r="B465" s="0" t="n">
        <v>466568</v>
      </c>
      <c r="C465" s="0" t="n">
        <v>3</v>
      </c>
      <c r="D465" s="0" t="n">
        <v>12</v>
      </c>
      <c r="E465" s="0" t="n">
        <v>2453</v>
      </c>
      <c r="F465" s="0" t="n">
        <v>90</v>
      </c>
      <c r="G465" s="0" t="n">
        <v>0</v>
      </c>
      <c r="H465" s="0" t="s">
        <v>922</v>
      </c>
      <c r="I465" s="0" t="s">
        <v>955</v>
      </c>
      <c r="J465" s="9" t="n">
        <v>45902</v>
      </c>
      <c r="K465" s="0" t="s">
        <v>956</v>
      </c>
      <c r="L465" s="0" t="n">
        <v>13</v>
      </c>
      <c r="M465" s="10" t="n">
        <f aca="false">_xlfn.NUMBERVALUE("" &amp; K465 &amp; "",".",",")</f>
        <v>3.07393112638889</v>
      </c>
      <c r="N465" s="10"/>
      <c r="O465" s="0" t="str">
        <f aca="false">VLOOKUP(C465,statusdetails!$A:$D,4,0)</f>
        <v>STANDBY</v>
      </c>
      <c r="P465" s="0" t="str">
        <f aca="false">VLOOKUP(F465,equipment!$A:$E,4,0)</f>
        <v>EX803</v>
      </c>
      <c r="Q465" s="0" t="str">
        <f aca="false">VLOOKUP(F465,equipment!$A:$E,5,0)</f>
        <v>EX803 - 90</v>
      </c>
    </row>
    <row r="466" customFormat="false" ht="12.8" hidden="true" customHeight="false" outlineLevel="0" collapsed="false">
      <c r="A466" s="0" t="n">
        <v>466569</v>
      </c>
      <c r="B466" s="0" t="n">
        <v>466567</v>
      </c>
      <c r="C466" s="0" t="n">
        <v>1</v>
      </c>
      <c r="D466" s="0" t="n">
        <v>6</v>
      </c>
      <c r="E466" s="0" t="n">
        <v>2518</v>
      </c>
      <c r="F466" s="0" t="n">
        <v>82</v>
      </c>
      <c r="G466" s="0" t="n">
        <v>10</v>
      </c>
      <c r="H466" s="11" t="n">
        <v>45902.5448611111</v>
      </c>
      <c r="I466" s="0" t="s">
        <v>957</v>
      </c>
      <c r="J466" s="9" t="n">
        <v>45902</v>
      </c>
      <c r="K466" s="0" t="s">
        <v>958</v>
      </c>
      <c r="L466" s="0" t="n">
        <v>13</v>
      </c>
      <c r="M466" s="10" t="n">
        <f aca="false">_xlfn.NUMBERVALUE("" &amp; K466 &amp; "",".",",")</f>
        <v>3.28704583333333</v>
      </c>
      <c r="N466" s="10"/>
      <c r="O466" s="0" t="str">
        <f aca="false">VLOOKUP(C466,statusdetails!$A:$D,4,0)</f>
        <v>READY</v>
      </c>
    </row>
    <row r="467" customFormat="false" ht="12.8" hidden="true" customHeight="false" outlineLevel="0" collapsed="false">
      <c r="A467" s="0" t="n">
        <v>466570</v>
      </c>
      <c r="B467" s="0" t="n">
        <v>466566</v>
      </c>
      <c r="C467" s="0" t="n">
        <v>1</v>
      </c>
      <c r="D467" s="0" t="n">
        <v>6</v>
      </c>
      <c r="E467" s="0" t="n">
        <v>2518</v>
      </c>
      <c r="F467" s="0" t="n">
        <v>96</v>
      </c>
      <c r="G467" s="0" t="n">
        <v>124</v>
      </c>
      <c r="H467" s="11" t="n">
        <v>45902.5409953704</v>
      </c>
      <c r="I467" s="0" t="s">
        <v>959</v>
      </c>
      <c r="J467" s="9" t="n">
        <v>45902</v>
      </c>
      <c r="K467" s="0" t="s">
        <v>960</v>
      </c>
      <c r="L467" s="0" t="n">
        <v>12</v>
      </c>
      <c r="M467" s="10" t="n">
        <f aca="false">_xlfn.NUMBERVALUE("" &amp; K467 &amp; "",".",",")</f>
        <v>3.45898730111111</v>
      </c>
      <c r="N467" s="10"/>
      <c r="O467" s="0" t="str">
        <f aca="false">VLOOKUP(C467,statusdetails!$A:$D,4,0)</f>
        <v>READY</v>
      </c>
    </row>
    <row r="468" customFormat="false" ht="12.8" hidden="true" customHeight="false" outlineLevel="0" collapsed="false">
      <c r="A468" s="0" t="n">
        <v>466571</v>
      </c>
      <c r="B468" s="0" t="n">
        <v>466571</v>
      </c>
      <c r="C468" s="0" t="n">
        <v>1</v>
      </c>
      <c r="D468" s="0" t="n">
        <v>6</v>
      </c>
      <c r="E468" s="0" t="n">
        <v>2404</v>
      </c>
      <c r="F468" s="0" t="n">
        <v>88</v>
      </c>
      <c r="G468" s="0" t="n">
        <v>94</v>
      </c>
      <c r="H468" s="0" t="s">
        <v>961</v>
      </c>
      <c r="I468" s="0" t="s">
        <v>962</v>
      </c>
      <c r="J468" s="9" t="n">
        <v>45902</v>
      </c>
      <c r="K468" s="0" t="s">
        <v>963</v>
      </c>
      <c r="L468" s="0" t="n">
        <v>13</v>
      </c>
      <c r="M468" s="10" t="n">
        <f aca="false">_xlfn.NUMBERVALUE("" &amp; K468 &amp; "",".",",")</f>
        <v>4.04469502055556</v>
      </c>
      <c r="N468" s="10"/>
      <c r="O468" s="0" t="str">
        <f aca="false">VLOOKUP(C468,statusdetails!$A:$D,4,0)</f>
        <v>READY</v>
      </c>
    </row>
    <row r="469" customFormat="false" ht="12.8" hidden="true" customHeight="false" outlineLevel="0" collapsed="false">
      <c r="A469" s="0" t="n">
        <v>466572</v>
      </c>
      <c r="B469" s="0" t="n">
        <v>466572</v>
      </c>
      <c r="C469" s="0" t="n">
        <v>4</v>
      </c>
      <c r="D469" s="0" t="n">
        <v>16</v>
      </c>
      <c r="E469" s="0" t="n">
        <v>2461</v>
      </c>
      <c r="F469" s="0" t="n">
        <v>87</v>
      </c>
      <c r="G469" s="0" t="n">
        <v>143</v>
      </c>
      <c r="H469" s="0" t="s">
        <v>944</v>
      </c>
      <c r="I469" s="0" t="s">
        <v>964</v>
      </c>
      <c r="J469" s="9" t="n">
        <v>45902</v>
      </c>
      <c r="K469" s="0" t="s">
        <v>965</v>
      </c>
      <c r="L469" s="0" t="n">
        <v>13</v>
      </c>
      <c r="M469" s="10" t="n">
        <f aca="false">_xlfn.NUMBERVALUE("" &amp; K469 &amp; "",".",",")</f>
        <v>2.15994906111111</v>
      </c>
      <c r="N469" s="10"/>
      <c r="O469" s="0" t="str">
        <f aca="false">VLOOKUP(C469,statusdetails!$A:$D,4,0)</f>
        <v>MAINT</v>
      </c>
    </row>
    <row r="470" customFormat="false" ht="12.8" hidden="true" customHeight="false" outlineLevel="0" collapsed="false">
      <c r="A470" s="0" t="n">
        <v>466573</v>
      </c>
      <c r="B470" s="0" t="n">
        <v>466573</v>
      </c>
      <c r="C470" s="0" t="n">
        <v>3</v>
      </c>
      <c r="D470" s="0" t="n">
        <v>12</v>
      </c>
      <c r="E470" s="0" t="n">
        <v>289</v>
      </c>
      <c r="F470" s="0" t="n">
        <v>32</v>
      </c>
      <c r="G470" s="0" t="n">
        <v>0</v>
      </c>
      <c r="H470" s="0" t="s">
        <v>606</v>
      </c>
      <c r="I470" s="0" t="s">
        <v>966</v>
      </c>
      <c r="J470" s="9" t="n">
        <v>45902</v>
      </c>
      <c r="K470" s="0" t="s">
        <v>967</v>
      </c>
      <c r="L470" s="0" t="n">
        <v>13</v>
      </c>
      <c r="M470" s="10" t="n">
        <f aca="false">_xlfn.NUMBERVALUE("" &amp; K470 &amp; "",".",",")</f>
        <v>0.175166384722222</v>
      </c>
      <c r="N470" s="10"/>
      <c r="O470" s="0" t="str">
        <f aca="false">VLOOKUP(C470,statusdetails!$A:$D,4,0)</f>
        <v>STANDBY</v>
      </c>
      <c r="P470" s="0" t="str">
        <f aca="false">VLOOKUP(F470,equipment!$A:$E,4,0)</f>
        <v>CM403</v>
      </c>
      <c r="Q470" s="0" t="str">
        <f aca="false">VLOOKUP(F470,equipment!$A:$E,5,0)</f>
        <v>CM403 - 32</v>
      </c>
    </row>
    <row r="471" customFormat="false" ht="12.8" hidden="true" customHeight="false" outlineLevel="0" collapsed="false">
      <c r="A471" s="0" t="n">
        <v>466574</v>
      </c>
      <c r="B471" s="0" t="n">
        <v>466574</v>
      </c>
      <c r="C471" s="0" t="n">
        <v>3</v>
      </c>
      <c r="D471" s="0" t="n">
        <v>12</v>
      </c>
      <c r="E471" s="0" t="n">
        <v>1011</v>
      </c>
      <c r="F471" s="0" t="n">
        <v>32</v>
      </c>
      <c r="G471" s="0" t="n">
        <v>0</v>
      </c>
      <c r="H471" s="0" t="s">
        <v>966</v>
      </c>
      <c r="I471" s="0" t="s">
        <v>968</v>
      </c>
      <c r="J471" s="9" t="n">
        <v>45902</v>
      </c>
      <c r="K471" s="0" t="s">
        <v>969</v>
      </c>
      <c r="L471" s="0" t="n">
        <v>13</v>
      </c>
      <c r="M471" s="10" t="n">
        <f aca="false">_xlfn.NUMBERVALUE("" &amp; K471 &amp; "",".",",")</f>
        <v>3.30925941416667</v>
      </c>
      <c r="N471" s="10"/>
      <c r="O471" s="0" t="str">
        <f aca="false">VLOOKUP(C471,statusdetails!$A:$D,4,0)</f>
        <v>STANDBY</v>
      </c>
      <c r="P471" s="0" t="str">
        <f aca="false">VLOOKUP(F471,equipment!$A:$E,4,0)</f>
        <v>CM403</v>
      </c>
      <c r="Q471" s="0" t="str">
        <f aca="false">VLOOKUP(F471,equipment!$A:$E,5,0)</f>
        <v>CM403 - 32</v>
      </c>
    </row>
    <row r="472" customFormat="false" ht="12.8" hidden="true" customHeight="false" outlineLevel="0" collapsed="false">
      <c r="A472" s="0" t="n">
        <v>466575</v>
      </c>
      <c r="B472" s="0" t="n">
        <v>466575</v>
      </c>
      <c r="C472" s="0" t="n">
        <v>3</v>
      </c>
      <c r="D472" s="0" t="n">
        <v>14</v>
      </c>
      <c r="E472" s="0" t="n">
        <v>1141</v>
      </c>
      <c r="F472" s="0" t="n">
        <v>41</v>
      </c>
      <c r="G472" s="0" t="n">
        <v>58</v>
      </c>
      <c r="H472" s="0" t="s">
        <v>744</v>
      </c>
      <c r="I472" s="0" t="s">
        <v>970</v>
      </c>
      <c r="J472" s="9" t="n">
        <v>45902</v>
      </c>
      <c r="K472" s="0" t="s">
        <v>971</v>
      </c>
      <c r="L472" s="0" t="n">
        <v>13</v>
      </c>
      <c r="M472" s="10" t="n">
        <f aca="false">_xlfn.NUMBERVALUE("" &amp; K472 &amp; "",".",",")</f>
        <v>5.16900962472222</v>
      </c>
      <c r="N472" s="10"/>
      <c r="O472" s="0" t="str">
        <f aca="false">VLOOKUP(C472,statusdetails!$A:$D,4,0)</f>
        <v>STANDBY</v>
      </c>
      <c r="P472" s="0" t="str">
        <f aca="false">VLOOKUP(F472,equipment!$A:$E,4,0)</f>
        <v>MO102</v>
      </c>
      <c r="Q472" s="0" t="str">
        <f aca="false">VLOOKUP(F472,equipment!$A:$E,5,0)</f>
        <v>MO102 - 41</v>
      </c>
    </row>
    <row r="473" customFormat="false" ht="12.8" hidden="true" customHeight="false" outlineLevel="0" collapsed="false">
      <c r="A473" s="0" t="n">
        <v>466576</v>
      </c>
      <c r="B473" s="0" t="n">
        <v>466576</v>
      </c>
      <c r="C473" s="0" t="n">
        <v>1</v>
      </c>
      <c r="D473" s="0" t="n">
        <v>6</v>
      </c>
      <c r="E473" s="0" t="n">
        <v>2404</v>
      </c>
      <c r="F473" s="0" t="n">
        <v>85</v>
      </c>
      <c r="G473" s="0" t="n">
        <v>22</v>
      </c>
      <c r="H473" s="0" t="s">
        <v>972</v>
      </c>
      <c r="I473" s="0" t="s">
        <v>973</v>
      </c>
      <c r="J473" s="9" t="n">
        <v>45902</v>
      </c>
      <c r="K473" s="0" t="s">
        <v>974</v>
      </c>
      <c r="L473" s="0" t="n">
        <v>13</v>
      </c>
      <c r="M473" s="10" t="n">
        <f aca="false">_xlfn.NUMBERVALUE("" &amp; K473 &amp; "",".",",")</f>
        <v>1.02376795583333</v>
      </c>
      <c r="N473" s="10"/>
      <c r="O473" s="0" t="str">
        <f aca="false">VLOOKUP(C473,statusdetails!$A:$D,4,0)</f>
        <v>READY</v>
      </c>
    </row>
    <row r="474" customFormat="false" ht="12.8" hidden="true" customHeight="false" outlineLevel="0" collapsed="false">
      <c r="A474" s="0" t="n">
        <v>466577</v>
      </c>
      <c r="B474" s="0" t="n">
        <v>466577</v>
      </c>
      <c r="C474" s="0" t="n">
        <v>2</v>
      </c>
      <c r="D474" s="0" t="n">
        <v>7</v>
      </c>
      <c r="E474" s="0" t="n">
        <v>2064</v>
      </c>
      <c r="F474" s="0" t="n">
        <v>43</v>
      </c>
      <c r="G474" s="0" t="n">
        <v>99</v>
      </c>
      <c r="H474" s="0" t="s">
        <v>926</v>
      </c>
      <c r="I474" s="0" t="s">
        <v>975</v>
      </c>
      <c r="J474" s="9" t="n">
        <v>45902</v>
      </c>
      <c r="K474" s="0" t="s">
        <v>976</v>
      </c>
      <c r="L474" s="0" t="n">
        <v>14</v>
      </c>
      <c r="M474" s="3" t="n">
        <f aca="false">_xlfn.NUMBERVALUE("" &amp; K474 &amp; "",".",",")</f>
        <v>0.160583055555556</v>
      </c>
      <c r="O474" s="0" t="str">
        <f aca="false">VLOOKUP(C474,statusdetails!$A:$D,4,0)</f>
        <v>DELAY</v>
      </c>
    </row>
    <row r="475" customFormat="false" ht="12.8" hidden="true" customHeight="false" outlineLevel="0" collapsed="false">
      <c r="A475" s="0" t="n">
        <v>466578</v>
      </c>
      <c r="B475" s="0" t="n">
        <v>466578</v>
      </c>
      <c r="C475" s="0" t="n">
        <v>2</v>
      </c>
      <c r="D475" s="0" t="n">
        <v>9</v>
      </c>
      <c r="E475" s="0" t="n">
        <v>2509</v>
      </c>
      <c r="F475" s="0" t="n">
        <v>43</v>
      </c>
      <c r="G475" s="0" t="n">
        <v>99</v>
      </c>
      <c r="H475" s="0" t="s">
        <v>975</v>
      </c>
      <c r="I475" s="0" t="s">
        <v>977</v>
      </c>
      <c r="J475" s="9" t="n">
        <v>45902</v>
      </c>
      <c r="K475" s="0" t="s">
        <v>978</v>
      </c>
      <c r="L475" s="0" t="n">
        <v>14</v>
      </c>
      <c r="M475" s="3" t="n">
        <f aca="false">_xlfn.NUMBERVALUE("" &amp; K475 &amp; "",".",",")</f>
        <v>0.0655517011111111</v>
      </c>
      <c r="O475" s="0" t="str">
        <f aca="false">VLOOKUP(C475,statusdetails!$A:$D,4,0)</f>
        <v>DELAY</v>
      </c>
    </row>
    <row r="476" customFormat="false" ht="12.8" hidden="true" customHeight="false" outlineLevel="0" collapsed="false">
      <c r="A476" s="0" t="n">
        <v>466579</v>
      </c>
      <c r="B476" s="0" t="n">
        <v>466579</v>
      </c>
      <c r="C476" s="0" t="n">
        <v>2</v>
      </c>
      <c r="D476" s="0" t="n">
        <v>9</v>
      </c>
      <c r="E476" s="0" t="n">
        <v>2568</v>
      </c>
      <c r="F476" s="0" t="n">
        <v>66</v>
      </c>
      <c r="G476" s="0" t="n">
        <v>113</v>
      </c>
      <c r="H476" s="0" t="s">
        <v>938</v>
      </c>
      <c r="I476" s="0" t="s">
        <v>979</v>
      </c>
      <c r="J476" s="9" t="n">
        <v>45902</v>
      </c>
      <c r="K476" s="0" t="s">
        <v>980</v>
      </c>
      <c r="L476" s="0" t="n">
        <v>14</v>
      </c>
      <c r="M476" s="3" t="n">
        <f aca="false">_xlfn.NUMBERVALUE("" &amp; K476 &amp; "",".",",")</f>
        <v>0.0418979819444444</v>
      </c>
      <c r="O476" s="0" t="str">
        <f aca="false">VLOOKUP(C476,statusdetails!$A:$D,4,0)</f>
        <v>DELAY</v>
      </c>
    </row>
    <row r="477" customFormat="false" ht="12.8" hidden="true" customHeight="false" outlineLevel="0" collapsed="false">
      <c r="A477" s="0" t="n">
        <v>466580</v>
      </c>
      <c r="B477" s="0" t="n">
        <v>466580</v>
      </c>
      <c r="C477" s="0" t="n">
        <v>1</v>
      </c>
      <c r="D477" s="0" t="n">
        <v>6</v>
      </c>
      <c r="E477" s="0" t="n">
        <v>260</v>
      </c>
      <c r="F477" s="0" t="n">
        <v>66</v>
      </c>
      <c r="G477" s="0" t="n">
        <v>113</v>
      </c>
      <c r="H477" s="0" t="s">
        <v>979</v>
      </c>
      <c r="I477" s="0" t="s">
        <v>981</v>
      </c>
      <c r="J477" s="9" t="n">
        <v>45902</v>
      </c>
      <c r="K477" s="0" t="s">
        <v>982</v>
      </c>
      <c r="L477" s="0" t="n">
        <v>14</v>
      </c>
      <c r="M477" s="10" t="n">
        <f aca="false">_xlfn.NUMBERVALUE("" &amp; K477 &amp; "",".",",")</f>
        <v>0.154640623333333</v>
      </c>
      <c r="N477" s="10"/>
      <c r="O477" s="0" t="str">
        <f aca="false">VLOOKUP(C477,statusdetails!$A:$D,4,0)</f>
        <v>READY</v>
      </c>
    </row>
    <row r="478" customFormat="false" ht="12.8" hidden="true" customHeight="false" outlineLevel="0" collapsed="false">
      <c r="A478" s="0" t="n">
        <v>466581</v>
      </c>
      <c r="B478" s="0" t="n">
        <v>466581</v>
      </c>
      <c r="C478" s="0" t="n">
        <v>3</v>
      </c>
      <c r="D478" s="0" t="n">
        <v>12</v>
      </c>
      <c r="E478" s="0" t="n">
        <v>2613</v>
      </c>
      <c r="F478" s="0" t="n">
        <v>43</v>
      </c>
      <c r="G478" s="0" t="n">
        <v>99</v>
      </c>
      <c r="H478" s="0" t="s">
        <v>977</v>
      </c>
      <c r="I478" s="0" t="s">
        <v>983</v>
      </c>
      <c r="J478" s="9" t="n">
        <v>45902</v>
      </c>
      <c r="K478" s="0" t="s">
        <v>984</v>
      </c>
      <c r="L478" s="0" t="n">
        <v>14</v>
      </c>
      <c r="M478" s="10" t="n">
        <f aca="false">_xlfn.NUMBERVALUE("" &amp; K478 &amp; "",".",",")</f>
        <v>0.179618836666667</v>
      </c>
      <c r="N478" s="10"/>
      <c r="O478" s="0" t="str">
        <f aca="false">VLOOKUP(C478,statusdetails!$A:$D,4,0)</f>
        <v>STANDBY</v>
      </c>
      <c r="P478" s="0" t="str">
        <f aca="false">VLOOKUP(F478,equipment!$A:$E,4,0)</f>
        <v>PE302</v>
      </c>
      <c r="Q478" s="0" t="str">
        <f aca="false">VLOOKUP(F478,equipment!$A:$E,5,0)</f>
        <v>PE302 - 43</v>
      </c>
    </row>
    <row r="479" customFormat="false" ht="12.8" hidden="true" customHeight="false" outlineLevel="0" collapsed="false">
      <c r="A479" s="0" t="n">
        <v>466582</v>
      </c>
      <c r="B479" s="0" t="n">
        <v>466582</v>
      </c>
      <c r="C479" s="0" t="n">
        <v>2</v>
      </c>
      <c r="D479" s="0" t="n">
        <v>9</v>
      </c>
      <c r="E479" s="0" t="n">
        <v>2507</v>
      </c>
      <c r="F479" s="0" t="n">
        <v>85</v>
      </c>
      <c r="G479" s="0" t="n">
        <v>22</v>
      </c>
      <c r="H479" s="0" t="s">
        <v>973</v>
      </c>
      <c r="I479" s="0" t="s">
        <v>985</v>
      </c>
      <c r="J479" s="9" t="n">
        <v>45902</v>
      </c>
      <c r="K479" s="0" t="s">
        <v>986</v>
      </c>
      <c r="L479" s="0" t="n">
        <v>14</v>
      </c>
      <c r="M479" s="3" t="n">
        <f aca="false">_xlfn.NUMBERVALUE("" &amp; K479 &amp; "",".",",")</f>
        <v>0.135274444444444</v>
      </c>
      <c r="O479" s="0" t="str">
        <f aca="false">VLOOKUP(C479,statusdetails!$A:$D,4,0)</f>
        <v>DELAY</v>
      </c>
    </row>
    <row r="480" customFormat="false" ht="12.8" hidden="true" customHeight="false" outlineLevel="0" collapsed="false">
      <c r="A480" s="0" t="n">
        <v>466583</v>
      </c>
      <c r="B480" s="0" t="n">
        <v>466583</v>
      </c>
      <c r="C480" s="0" t="n">
        <v>2</v>
      </c>
      <c r="D480" s="0" t="n">
        <v>9</v>
      </c>
      <c r="E480" s="0" t="n">
        <v>2568</v>
      </c>
      <c r="F480" s="0" t="n">
        <v>66</v>
      </c>
      <c r="G480" s="0" t="n">
        <v>113</v>
      </c>
      <c r="H480" s="0" t="s">
        <v>981</v>
      </c>
      <c r="I480" s="0" t="s">
        <v>987</v>
      </c>
      <c r="J480" s="9" t="n">
        <v>45902</v>
      </c>
      <c r="K480" s="0" t="s">
        <v>988</v>
      </c>
      <c r="L480" s="0" t="n">
        <v>15</v>
      </c>
      <c r="M480" s="3" t="n">
        <f aca="false">_xlfn.NUMBERVALUE("" &amp; K480 &amp; "",".",",")</f>
        <v>0.0219744425</v>
      </c>
      <c r="O480" s="0" t="str">
        <f aca="false">VLOOKUP(C480,statusdetails!$A:$D,4,0)</f>
        <v>DELAY</v>
      </c>
    </row>
    <row r="481" customFormat="false" ht="12.8" hidden="true" customHeight="false" outlineLevel="0" collapsed="false">
      <c r="A481" s="0" t="n">
        <v>466584</v>
      </c>
      <c r="B481" s="0" t="n">
        <v>466584</v>
      </c>
      <c r="C481" s="0" t="n">
        <v>1</v>
      </c>
      <c r="D481" s="0" t="n">
        <v>6</v>
      </c>
      <c r="E481" s="0" t="n">
        <v>260</v>
      </c>
      <c r="F481" s="0" t="n">
        <v>66</v>
      </c>
      <c r="G481" s="0" t="n">
        <v>113</v>
      </c>
      <c r="H481" s="0" t="s">
        <v>987</v>
      </c>
      <c r="I481" s="0" t="s">
        <v>989</v>
      </c>
      <c r="J481" s="9" t="n">
        <v>45902</v>
      </c>
      <c r="K481" s="0" t="s">
        <v>990</v>
      </c>
      <c r="L481" s="0" t="n">
        <v>15</v>
      </c>
      <c r="M481" s="10" t="n">
        <f aca="false">_xlfn.NUMBERVALUE("" &amp; K481 &amp; "",".",",")</f>
        <v>0.205805440555556</v>
      </c>
      <c r="N481" s="10"/>
      <c r="O481" s="0" t="str">
        <f aca="false">VLOOKUP(C481,statusdetails!$A:$D,4,0)</f>
        <v>READY</v>
      </c>
    </row>
    <row r="482" customFormat="false" ht="12.8" hidden="true" customHeight="false" outlineLevel="0" collapsed="false">
      <c r="A482" s="0" t="n">
        <v>466585</v>
      </c>
      <c r="B482" s="0" t="n">
        <v>466585</v>
      </c>
      <c r="C482" s="0" t="n">
        <v>2</v>
      </c>
      <c r="D482" s="0" t="n">
        <v>9</v>
      </c>
      <c r="E482" s="0" t="n">
        <v>1058</v>
      </c>
      <c r="F482" s="0" t="n">
        <v>43</v>
      </c>
      <c r="G482" s="0" t="n">
        <v>99</v>
      </c>
      <c r="H482" s="0" t="s">
        <v>983</v>
      </c>
      <c r="I482" s="0" t="s">
        <v>991</v>
      </c>
      <c r="J482" s="9" t="n">
        <v>45902</v>
      </c>
      <c r="K482" s="0" t="s">
        <v>992</v>
      </c>
      <c r="L482" s="0" t="n">
        <v>15</v>
      </c>
      <c r="M482" s="3" t="n">
        <f aca="false">_xlfn.NUMBERVALUE("" &amp; K482 &amp; "",".",",")</f>
        <v>0.237108904722222</v>
      </c>
      <c r="O482" s="0" t="str">
        <f aca="false">VLOOKUP(C482,statusdetails!$A:$D,4,0)</f>
        <v>DELAY</v>
      </c>
    </row>
    <row r="483" customFormat="false" ht="12.8" hidden="true" customHeight="false" outlineLevel="0" collapsed="false">
      <c r="A483" s="0" t="n">
        <v>466586</v>
      </c>
      <c r="B483" s="0" t="n">
        <v>466586</v>
      </c>
      <c r="C483" s="0" t="n">
        <v>1</v>
      </c>
      <c r="D483" s="0" t="n">
        <v>6</v>
      </c>
      <c r="E483" s="0" t="n">
        <v>2404</v>
      </c>
      <c r="F483" s="0" t="n">
        <v>85</v>
      </c>
      <c r="G483" s="0" t="n">
        <v>22</v>
      </c>
      <c r="H483" s="0" t="s">
        <v>985</v>
      </c>
      <c r="I483" s="0" t="s">
        <v>993</v>
      </c>
      <c r="J483" s="9" t="n">
        <v>45902</v>
      </c>
      <c r="K483" s="0" t="s">
        <v>994</v>
      </c>
      <c r="L483" s="0" t="n">
        <v>15</v>
      </c>
      <c r="M483" s="10" t="n">
        <f aca="false">_xlfn.NUMBERVALUE("" &amp; K483 &amp; "",".",",")</f>
        <v>1.60169801444444</v>
      </c>
      <c r="N483" s="10"/>
      <c r="O483" s="0" t="str">
        <f aca="false">VLOOKUP(C483,statusdetails!$A:$D,4,0)</f>
        <v>READY</v>
      </c>
    </row>
    <row r="484" customFormat="false" ht="12.8" hidden="true" customHeight="false" outlineLevel="0" collapsed="false">
      <c r="A484" s="0" t="n">
        <v>466587</v>
      </c>
      <c r="B484" s="0" t="n">
        <v>466587</v>
      </c>
      <c r="C484" s="0" t="n">
        <v>2</v>
      </c>
      <c r="D484" s="0" t="n">
        <v>9</v>
      </c>
      <c r="E484" s="0" t="n">
        <v>2568</v>
      </c>
      <c r="F484" s="0" t="n">
        <v>66</v>
      </c>
      <c r="G484" s="0" t="n">
        <v>113</v>
      </c>
      <c r="H484" s="0" t="s">
        <v>989</v>
      </c>
      <c r="I484" s="0" t="s">
        <v>995</v>
      </c>
      <c r="J484" s="9" t="n">
        <v>45902</v>
      </c>
      <c r="K484" s="0" t="s">
        <v>996</v>
      </c>
      <c r="L484" s="0" t="n">
        <v>15</v>
      </c>
      <c r="M484" s="3" t="n">
        <f aca="false">_xlfn.NUMBERVALUE("" &amp; K484 &amp; "",".",",")</f>
        <v>0.0286195944444444</v>
      </c>
      <c r="O484" s="0" t="str">
        <f aca="false">VLOOKUP(C484,statusdetails!$A:$D,4,0)</f>
        <v>DELAY</v>
      </c>
    </row>
    <row r="485" customFormat="false" ht="12.8" hidden="true" customHeight="false" outlineLevel="0" collapsed="false">
      <c r="A485" s="0" t="n">
        <v>466588</v>
      </c>
      <c r="B485" s="0" t="n">
        <v>466588</v>
      </c>
      <c r="C485" s="0" t="n">
        <v>1</v>
      </c>
      <c r="D485" s="0" t="n">
        <v>6</v>
      </c>
      <c r="E485" s="0" t="n">
        <v>260</v>
      </c>
      <c r="F485" s="0" t="n">
        <v>66</v>
      </c>
      <c r="G485" s="0" t="n">
        <v>113</v>
      </c>
      <c r="H485" s="0" t="s">
        <v>995</v>
      </c>
      <c r="I485" s="0" t="s">
        <v>997</v>
      </c>
      <c r="J485" s="9" t="n">
        <v>45902</v>
      </c>
      <c r="K485" s="0" t="s">
        <v>998</v>
      </c>
      <c r="L485" s="0" t="n">
        <v>15</v>
      </c>
      <c r="M485" s="10" t="n">
        <f aca="false">_xlfn.NUMBERVALUE("" &amp; K485 &amp; "",".",",")</f>
        <v>0.159814130833333</v>
      </c>
      <c r="N485" s="10"/>
      <c r="O485" s="0" t="str">
        <f aca="false">VLOOKUP(C485,statusdetails!$A:$D,4,0)</f>
        <v>READY</v>
      </c>
    </row>
    <row r="486" customFormat="false" ht="12.8" hidden="true" customHeight="false" outlineLevel="0" collapsed="false">
      <c r="A486" s="0" t="n">
        <v>466589</v>
      </c>
      <c r="B486" s="0" t="n">
        <v>466589</v>
      </c>
      <c r="C486" s="0" t="n">
        <v>1</v>
      </c>
      <c r="D486" s="0" t="n">
        <v>6</v>
      </c>
      <c r="E486" s="0" t="n">
        <v>2524</v>
      </c>
      <c r="F486" s="0" t="n">
        <v>49</v>
      </c>
      <c r="G486" s="0" t="n">
        <v>0</v>
      </c>
      <c r="H486" s="0" t="s">
        <v>881</v>
      </c>
      <c r="I486" s="0" t="s">
        <v>999</v>
      </c>
      <c r="J486" s="9" t="n">
        <v>45902</v>
      </c>
      <c r="K486" s="0" t="s">
        <v>1000</v>
      </c>
      <c r="L486" s="0" t="n">
        <v>15</v>
      </c>
      <c r="M486" s="10" t="n">
        <f aca="false">_xlfn.NUMBERVALUE("" &amp; K486 &amp; "",".",",")</f>
        <v>3.56372932638889</v>
      </c>
      <c r="N486" s="10"/>
      <c r="O486" s="0" t="str">
        <f aca="false">VLOOKUP(C486,statusdetails!$A:$D,4,0)</f>
        <v>READY</v>
      </c>
    </row>
    <row r="487" customFormat="false" ht="12.8" hidden="true" customHeight="false" outlineLevel="0" collapsed="false">
      <c r="A487" s="0" t="n">
        <v>466590</v>
      </c>
      <c r="B487" s="0" t="n">
        <v>466590</v>
      </c>
      <c r="C487" s="0" t="n">
        <v>2</v>
      </c>
      <c r="D487" s="0" t="n">
        <v>7</v>
      </c>
      <c r="E487" s="0" t="n">
        <v>2064</v>
      </c>
      <c r="F487" s="0" t="n">
        <v>43</v>
      </c>
      <c r="G487" s="0" t="n">
        <v>99</v>
      </c>
      <c r="H487" s="0" t="s">
        <v>991</v>
      </c>
      <c r="I487" s="0" t="s">
        <v>1001</v>
      </c>
      <c r="J487" s="9" t="n">
        <v>45902</v>
      </c>
      <c r="K487" s="0" t="s">
        <v>1002</v>
      </c>
      <c r="L487" s="0" t="n">
        <v>15</v>
      </c>
      <c r="M487" s="3" t="n">
        <f aca="false">_xlfn.NUMBERVALUE("" &amp; K487 &amp; "",".",",")</f>
        <v>0.291998335277778</v>
      </c>
      <c r="O487" s="0" t="str">
        <f aca="false">VLOOKUP(C487,statusdetails!$A:$D,4,0)</f>
        <v>DELAY</v>
      </c>
    </row>
    <row r="488" customFormat="false" ht="12.8" hidden="true" customHeight="false" outlineLevel="0" collapsed="false">
      <c r="A488" s="0" t="n">
        <v>466591</v>
      </c>
      <c r="B488" s="0" t="n">
        <v>466591</v>
      </c>
      <c r="C488" s="0" t="n">
        <v>2</v>
      </c>
      <c r="D488" s="0" t="n">
        <v>7</v>
      </c>
      <c r="E488" s="0" t="n">
        <v>2064</v>
      </c>
      <c r="F488" s="0" t="n">
        <v>42</v>
      </c>
      <c r="G488" s="0" t="n">
        <v>5</v>
      </c>
      <c r="H488" s="0" t="s">
        <v>778</v>
      </c>
      <c r="I488" s="0" t="s">
        <v>1003</v>
      </c>
      <c r="J488" s="9" t="n">
        <v>45902</v>
      </c>
      <c r="K488" s="0" t="s">
        <v>1004</v>
      </c>
      <c r="L488" s="0" t="n">
        <v>15</v>
      </c>
      <c r="M488" s="3" t="n">
        <f aca="false">_xlfn.NUMBERVALUE("" &amp; K488 &amp; "",".",",")</f>
        <v>0.274095833333333</v>
      </c>
      <c r="O488" s="0" t="str">
        <f aca="false">VLOOKUP(C488,statusdetails!$A:$D,4,0)</f>
        <v>DELAY</v>
      </c>
    </row>
    <row r="489" customFormat="false" ht="12.8" hidden="true" customHeight="false" outlineLevel="0" collapsed="false">
      <c r="A489" s="0" t="n">
        <v>466592</v>
      </c>
      <c r="B489" s="0" t="n">
        <v>466592</v>
      </c>
      <c r="C489" s="0" t="n">
        <v>2</v>
      </c>
      <c r="D489" s="0" t="n">
        <v>9</v>
      </c>
      <c r="E489" s="0" t="n">
        <v>2568</v>
      </c>
      <c r="F489" s="0" t="n">
        <v>66</v>
      </c>
      <c r="G489" s="0" t="n">
        <v>113</v>
      </c>
      <c r="H489" s="0" t="s">
        <v>997</v>
      </c>
      <c r="I489" s="0" t="s">
        <v>1005</v>
      </c>
      <c r="J489" s="9" t="n">
        <v>45902</v>
      </c>
      <c r="K489" s="0" t="s">
        <v>1006</v>
      </c>
      <c r="L489" s="0" t="n">
        <v>15</v>
      </c>
      <c r="M489" s="3" t="n">
        <f aca="false">_xlfn.NUMBERVALUE("" &amp; K489 &amp; "",".",",")</f>
        <v>0.0369279905555556</v>
      </c>
      <c r="O489" s="0" t="str">
        <f aca="false">VLOOKUP(C489,statusdetails!$A:$D,4,0)</f>
        <v>DELAY</v>
      </c>
    </row>
    <row r="490" customFormat="false" ht="12.8" hidden="true" customHeight="false" outlineLevel="0" collapsed="false">
      <c r="A490" s="0" t="n">
        <v>466593</v>
      </c>
      <c r="B490" s="0" t="n">
        <v>466593</v>
      </c>
      <c r="C490" s="0" t="n">
        <v>1</v>
      </c>
      <c r="D490" s="0" t="n">
        <v>6</v>
      </c>
      <c r="E490" s="0" t="n">
        <v>260</v>
      </c>
      <c r="F490" s="0" t="n">
        <v>66</v>
      </c>
      <c r="G490" s="0" t="n">
        <v>113</v>
      </c>
      <c r="H490" s="0" t="s">
        <v>1005</v>
      </c>
      <c r="I490" s="0" t="s">
        <v>1007</v>
      </c>
      <c r="J490" s="9" t="n">
        <v>45902</v>
      </c>
      <c r="K490" s="0" t="s">
        <v>1008</v>
      </c>
      <c r="L490" s="0" t="n">
        <v>15</v>
      </c>
      <c r="M490" s="10" t="n">
        <f aca="false">_xlfn.NUMBERVALUE("" &amp; K490 &amp; "",".",",")</f>
        <v>0.361399506111111</v>
      </c>
      <c r="N490" s="10"/>
      <c r="O490" s="0" t="str">
        <f aca="false">VLOOKUP(C490,statusdetails!$A:$D,4,0)</f>
        <v>READY</v>
      </c>
    </row>
    <row r="491" customFormat="false" ht="12.8" hidden="true" customHeight="false" outlineLevel="0" collapsed="false">
      <c r="A491" s="0" t="n">
        <v>466594</v>
      </c>
      <c r="B491" s="0" t="n">
        <v>466594</v>
      </c>
      <c r="C491" s="0" t="n">
        <v>3</v>
      </c>
      <c r="D491" s="0" t="n">
        <v>12</v>
      </c>
      <c r="E491" s="0" t="n">
        <v>2453</v>
      </c>
      <c r="F491" s="0" t="n">
        <v>60</v>
      </c>
      <c r="G491" s="0" t="n">
        <v>163</v>
      </c>
      <c r="H491" s="0" t="s">
        <v>928</v>
      </c>
      <c r="I491" s="11" t="n">
        <v>45902.6844791667</v>
      </c>
      <c r="J491" s="9" t="n">
        <v>45902</v>
      </c>
      <c r="K491" s="0" t="s">
        <v>1009</v>
      </c>
      <c r="L491" s="0" t="n">
        <v>15</v>
      </c>
      <c r="M491" s="10" t="n">
        <f aca="false">_xlfn.NUMBERVALUE("" &amp; K491 &amp; "",".",",")</f>
        <v>0.927776691111111</v>
      </c>
      <c r="N491" s="10"/>
      <c r="O491" s="0" t="str">
        <f aca="false">VLOOKUP(C491,statusdetails!$A:$D,4,0)</f>
        <v>STANDBY</v>
      </c>
      <c r="P491" s="0" t="str">
        <f aca="false">VLOOKUP(F491,equipment!$A:$E,4,0)</f>
        <v>EX802</v>
      </c>
      <c r="Q491" s="0" t="str">
        <f aca="false">VLOOKUP(F491,equipment!$A:$E,5,0)</f>
        <v>EX802 - 60</v>
      </c>
    </row>
    <row r="492" customFormat="false" ht="12.8" hidden="true" customHeight="false" outlineLevel="0" collapsed="false">
      <c r="A492" s="0" t="n">
        <v>466595</v>
      </c>
      <c r="B492" s="0" t="n">
        <v>466595</v>
      </c>
      <c r="C492" s="0" t="n">
        <v>1</v>
      </c>
      <c r="D492" s="0" t="n">
        <v>6</v>
      </c>
      <c r="E492" s="0" t="n">
        <v>811</v>
      </c>
      <c r="F492" s="0" t="n">
        <v>43</v>
      </c>
      <c r="G492" s="0" t="n">
        <v>99</v>
      </c>
      <c r="H492" s="0" t="s">
        <v>1001</v>
      </c>
      <c r="I492" s="0" t="s">
        <v>1010</v>
      </c>
      <c r="J492" s="9" t="n">
        <v>45902</v>
      </c>
      <c r="K492" s="0" t="s">
        <v>1011</v>
      </c>
      <c r="L492" s="0" t="n">
        <v>15</v>
      </c>
      <c r="M492" s="10" t="n">
        <f aca="false">_xlfn.NUMBERVALUE("" &amp; K492 &amp; "",".",",")</f>
        <v>2.28885878583333</v>
      </c>
      <c r="N492" s="10"/>
      <c r="O492" s="0" t="str">
        <f aca="false">VLOOKUP(C492,statusdetails!$A:$D,4,0)</f>
        <v>READY</v>
      </c>
    </row>
    <row r="493" customFormat="false" ht="12.8" hidden="true" customHeight="false" outlineLevel="0" collapsed="false">
      <c r="A493" s="0" t="n">
        <v>466596</v>
      </c>
      <c r="B493" s="0" t="n">
        <v>466596</v>
      </c>
      <c r="C493" s="0" t="n">
        <v>2</v>
      </c>
      <c r="D493" s="0" t="n">
        <v>7</v>
      </c>
      <c r="E493" s="0" t="n">
        <v>1024</v>
      </c>
      <c r="F493" s="0" t="n">
        <v>45</v>
      </c>
      <c r="G493" s="0" t="n">
        <v>0</v>
      </c>
      <c r="H493" s="0" t="s">
        <v>1012</v>
      </c>
      <c r="I493" s="0" t="s">
        <v>1013</v>
      </c>
      <c r="J493" s="9" t="n">
        <v>45902</v>
      </c>
      <c r="K493" s="0" t="s">
        <v>1014</v>
      </c>
      <c r="L493" s="0" t="n">
        <v>15</v>
      </c>
      <c r="M493" s="3" t="n">
        <f aca="false">_xlfn.NUMBERVALUE("" &amp; K493 &amp; "",".",",")</f>
        <v>0.911332131388889</v>
      </c>
      <c r="O493" s="0" t="str">
        <f aca="false">VLOOKUP(C493,statusdetails!$A:$D,4,0)</f>
        <v>DELAY</v>
      </c>
    </row>
    <row r="494" customFormat="false" ht="12.8" hidden="true" customHeight="false" outlineLevel="0" collapsed="false">
      <c r="A494" s="0" t="n">
        <v>466597</v>
      </c>
      <c r="B494" s="0" t="n">
        <v>466597</v>
      </c>
      <c r="C494" s="0" t="n">
        <v>1</v>
      </c>
      <c r="D494" s="0" t="n">
        <v>6</v>
      </c>
      <c r="E494" s="0" t="n">
        <v>811</v>
      </c>
      <c r="F494" s="0" t="n">
        <v>42</v>
      </c>
      <c r="G494" s="0" t="n">
        <v>5</v>
      </c>
      <c r="H494" s="0" t="s">
        <v>1003</v>
      </c>
      <c r="I494" s="0" t="s">
        <v>1015</v>
      </c>
      <c r="J494" s="9" t="n">
        <v>45902</v>
      </c>
      <c r="K494" s="0" t="s">
        <v>1016</v>
      </c>
      <c r="L494" s="0" t="n">
        <v>15</v>
      </c>
      <c r="M494" s="10" t="n">
        <f aca="false">_xlfn.NUMBERVALUE("" &amp; K494 &amp; "",".",",")</f>
        <v>0.6764725</v>
      </c>
      <c r="N494" s="10"/>
      <c r="O494" s="0" t="str">
        <f aca="false">VLOOKUP(C494,statusdetails!$A:$D,4,0)</f>
        <v>READY</v>
      </c>
    </row>
    <row r="495" customFormat="false" ht="12.8" hidden="true" customHeight="false" outlineLevel="0" collapsed="false">
      <c r="A495" s="0" t="n">
        <v>466598</v>
      </c>
      <c r="B495" s="0" t="n">
        <v>466598</v>
      </c>
      <c r="C495" s="0" t="n">
        <v>1</v>
      </c>
      <c r="D495" s="0" t="n">
        <v>6</v>
      </c>
      <c r="E495" s="0" t="n">
        <v>2404</v>
      </c>
      <c r="F495" s="0" t="n">
        <v>87</v>
      </c>
      <c r="G495" s="0" t="n">
        <v>143</v>
      </c>
      <c r="H495" s="0" t="s">
        <v>964</v>
      </c>
      <c r="I495" s="0" t="s">
        <v>1017</v>
      </c>
      <c r="J495" s="9" t="n">
        <v>45902</v>
      </c>
      <c r="K495" s="0" t="s">
        <v>1018</v>
      </c>
      <c r="L495" s="0" t="n">
        <v>15</v>
      </c>
      <c r="M495" s="10" t="n">
        <f aca="false">_xlfn.NUMBERVALUE("" &amp; K495 &amp; "",".",",")</f>
        <v>3.14180505666667</v>
      </c>
      <c r="N495" s="10"/>
      <c r="O495" s="0" t="str">
        <f aca="false">VLOOKUP(C495,statusdetails!$A:$D,4,0)</f>
        <v>READY</v>
      </c>
    </row>
    <row r="496" customFormat="false" ht="12.8" hidden="true" customHeight="false" outlineLevel="0" collapsed="false">
      <c r="A496" s="0" t="n">
        <v>466599</v>
      </c>
      <c r="B496" s="0" t="n">
        <v>466599</v>
      </c>
      <c r="C496" s="0" t="n">
        <v>2</v>
      </c>
      <c r="D496" s="0" t="n">
        <v>9</v>
      </c>
      <c r="E496" s="0" t="n">
        <v>2568</v>
      </c>
      <c r="F496" s="0" t="n">
        <v>66</v>
      </c>
      <c r="G496" s="0" t="n">
        <v>113</v>
      </c>
      <c r="H496" s="0" t="s">
        <v>1007</v>
      </c>
      <c r="I496" s="0" t="s">
        <v>1019</v>
      </c>
      <c r="J496" s="9" t="n">
        <v>45902</v>
      </c>
      <c r="K496" s="0" t="s">
        <v>1020</v>
      </c>
      <c r="L496" s="0" t="n">
        <v>15</v>
      </c>
      <c r="M496" s="3" t="n">
        <f aca="false">_xlfn.NUMBERVALUE("" &amp; K496 &amp; "",".",",")</f>
        <v>0.143385196388889</v>
      </c>
      <c r="O496" s="0" t="str">
        <f aca="false">VLOOKUP(C496,statusdetails!$A:$D,4,0)</f>
        <v>DELAY</v>
      </c>
    </row>
    <row r="497" customFormat="false" ht="12.8" hidden="true" customHeight="false" outlineLevel="0" collapsed="false">
      <c r="A497" s="0" t="n">
        <v>466600</v>
      </c>
      <c r="B497" s="0" t="n">
        <v>466600</v>
      </c>
      <c r="C497" s="0" t="n">
        <v>1</v>
      </c>
      <c r="D497" s="0" t="n">
        <v>6</v>
      </c>
      <c r="E497" s="0" t="n">
        <v>260</v>
      </c>
      <c r="F497" s="0" t="n">
        <v>66</v>
      </c>
      <c r="G497" s="0" t="n">
        <v>113</v>
      </c>
      <c r="H497" s="0" t="s">
        <v>1019</v>
      </c>
      <c r="I497" s="0" t="s">
        <v>1021</v>
      </c>
      <c r="J497" s="9" t="n">
        <v>45902</v>
      </c>
      <c r="K497" s="0" t="s">
        <v>1022</v>
      </c>
      <c r="L497" s="0" t="n">
        <v>15</v>
      </c>
      <c r="M497" s="10" t="n">
        <f aca="false">_xlfn.NUMBERVALUE("" &amp; K497 &amp; "",".",",")</f>
        <v>0.163056198611111</v>
      </c>
      <c r="N497" s="10"/>
      <c r="O497" s="0" t="str">
        <f aca="false">VLOOKUP(C497,statusdetails!$A:$D,4,0)</f>
        <v>READY</v>
      </c>
    </row>
    <row r="498" customFormat="false" ht="12.8" hidden="true" customHeight="false" outlineLevel="0" collapsed="false">
      <c r="A498" s="0" t="n">
        <v>466601</v>
      </c>
      <c r="B498" s="0" t="n">
        <v>466601</v>
      </c>
      <c r="C498" s="0" t="n">
        <v>2</v>
      </c>
      <c r="D498" s="0" t="n">
        <v>9</v>
      </c>
      <c r="E498" s="0" t="n">
        <v>2568</v>
      </c>
      <c r="F498" s="0" t="n">
        <v>66</v>
      </c>
      <c r="G498" s="0" t="n">
        <v>113</v>
      </c>
      <c r="H498" s="0" t="s">
        <v>1021</v>
      </c>
      <c r="I498" s="0" t="s">
        <v>1023</v>
      </c>
      <c r="J498" s="9" t="n">
        <v>45902</v>
      </c>
      <c r="K498" s="0" t="s">
        <v>1024</v>
      </c>
      <c r="L498" s="0" t="n">
        <v>16</v>
      </c>
      <c r="M498" s="3" t="n">
        <f aca="false">_xlfn.NUMBERVALUE("" &amp; K498 &amp; "",".",",")</f>
        <v>0.0159081944444444</v>
      </c>
      <c r="O498" s="0" t="str">
        <f aca="false">VLOOKUP(C498,statusdetails!$A:$D,4,0)</f>
        <v>DELAY</v>
      </c>
    </row>
    <row r="499" customFormat="false" ht="12.8" hidden="true" customHeight="false" outlineLevel="0" collapsed="false">
      <c r="A499" s="0" t="n">
        <v>466602</v>
      </c>
      <c r="B499" s="0" t="n">
        <v>466602</v>
      </c>
      <c r="C499" s="0" t="n">
        <v>1</v>
      </c>
      <c r="D499" s="0" t="n">
        <v>6</v>
      </c>
      <c r="E499" s="0" t="n">
        <v>260</v>
      </c>
      <c r="F499" s="0" t="n">
        <v>66</v>
      </c>
      <c r="G499" s="0" t="n">
        <v>113</v>
      </c>
      <c r="H499" s="0" t="s">
        <v>1023</v>
      </c>
      <c r="I499" s="0" t="s">
        <v>1025</v>
      </c>
      <c r="J499" s="9" t="n">
        <v>45902</v>
      </c>
      <c r="K499" s="0" t="s">
        <v>1026</v>
      </c>
      <c r="L499" s="0" t="n">
        <v>16</v>
      </c>
      <c r="M499" s="10" t="n">
        <f aca="false">_xlfn.NUMBERVALUE("" &amp; K499 &amp; "",".",",")</f>
        <v>0.222550335555556</v>
      </c>
      <c r="N499" s="10"/>
      <c r="O499" s="0" t="str">
        <f aca="false">VLOOKUP(C499,statusdetails!$A:$D,4,0)</f>
        <v>READY</v>
      </c>
    </row>
    <row r="500" customFormat="false" ht="12.8" hidden="true" customHeight="false" outlineLevel="0" collapsed="false">
      <c r="A500" s="0" t="n">
        <v>466603</v>
      </c>
      <c r="B500" s="0" t="n">
        <v>466603</v>
      </c>
      <c r="C500" s="0" t="n">
        <v>1</v>
      </c>
      <c r="D500" s="0" t="n">
        <v>2303</v>
      </c>
      <c r="E500" s="0" t="n">
        <v>2149</v>
      </c>
      <c r="F500" s="0" t="n">
        <v>90</v>
      </c>
      <c r="G500" s="0" t="n">
        <v>0</v>
      </c>
      <c r="H500" s="0" t="s">
        <v>955</v>
      </c>
      <c r="I500" s="0" t="s">
        <v>1027</v>
      </c>
      <c r="J500" s="9" t="n">
        <v>45902</v>
      </c>
      <c r="K500" s="0" t="s">
        <v>1028</v>
      </c>
      <c r="L500" s="0" t="n">
        <v>16</v>
      </c>
      <c r="M500" s="10" t="n">
        <f aca="false">_xlfn.NUMBERVALUE("" &amp; K500 &amp; "",".",",")</f>
        <v>27.5199291941667</v>
      </c>
      <c r="N500" s="10"/>
      <c r="O500" s="0" t="str">
        <f aca="false">VLOOKUP(C500,statusdetails!$A:$D,4,0)</f>
        <v>READY</v>
      </c>
    </row>
    <row r="501" customFormat="false" ht="12.8" hidden="true" customHeight="false" outlineLevel="0" collapsed="false">
      <c r="A501" s="0" t="n">
        <v>466604</v>
      </c>
      <c r="B501" s="0" t="n">
        <v>466604</v>
      </c>
      <c r="C501" s="0" t="n">
        <v>2</v>
      </c>
      <c r="D501" s="0" t="n">
        <v>7</v>
      </c>
      <c r="E501" s="0" t="n">
        <v>2064</v>
      </c>
      <c r="F501" s="0" t="n">
        <v>42</v>
      </c>
      <c r="G501" s="0" t="n">
        <v>5</v>
      </c>
      <c r="H501" s="0" t="s">
        <v>1015</v>
      </c>
      <c r="I501" s="0" t="s">
        <v>1029</v>
      </c>
      <c r="J501" s="9" t="n">
        <v>45902</v>
      </c>
      <c r="K501" s="0" t="s">
        <v>1030</v>
      </c>
      <c r="L501" s="0" t="n">
        <v>16</v>
      </c>
      <c r="M501" s="3" t="n">
        <f aca="false">_xlfn.NUMBERVALUE("" &amp; K501 &amp; "",".",",")</f>
        <v>0.0440927777777778</v>
      </c>
      <c r="O501" s="0" t="str">
        <f aca="false">VLOOKUP(C501,statusdetails!$A:$D,4,0)</f>
        <v>DELAY</v>
      </c>
    </row>
    <row r="502" customFormat="false" ht="12.8" hidden="true" customHeight="false" outlineLevel="0" collapsed="false">
      <c r="A502" s="0" t="n">
        <v>466605</v>
      </c>
      <c r="B502" s="0" t="n">
        <v>466605</v>
      </c>
      <c r="C502" s="0" t="n">
        <v>2</v>
      </c>
      <c r="D502" s="0" t="n">
        <v>9</v>
      </c>
      <c r="E502" s="0" t="n">
        <v>2511</v>
      </c>
      <c r="F502" s="0" t="n">
        <v>82</v>
      </c>
      <c r="G502" s="0" t="n">
        <v>10</v>
      </c>
      <c r="H502" s="0" t="s">
        <v>957</v>
      </c>
      <c r="I502" s="11" t="n">
        <v>45902.684849537</v>
      </c>
      <c r="J502" s="9" t="n">
        <v>45902</v>
      </c>
      <c r="K502" s="0" t="s">
        <v>1031</v>
      </c>
      <c r="L502" s="0" t="n">
        <v>16</v>
      </c>
      <c r="M502" s="3" t="n">
        <f aca="false">_xlfn.NUMBERVALUE("" &amp; K502 &amp; "",".",",")</f>
        <v>0.0726763888888889</v>
      </c>
      <c r="O502" s="0" t="str">
        <f aca="false">VLOOKUP(C502,statusdetails!$A:$D,4,0)</f>
        <v>DELAY</v>
      </c>
    </row>
    <row r="503" customFormat="false" ht="12.8" hidden="true" customHeight="false" outlineLevel="0" collapsed="false">
      <c r="A503" s="0" t="n">
        <v>466606</v>
      </c>
      <c r="B503" s="0" t="n">
        <v>466606</v>
      </c>
      <c r="C503" s="0" t="n">
        <v>2</v>
      </c>
      <c r="D503" s="0" t="n">
        <v>9</v>
      </c>
      <c r="E503" s="0" t="n">
        <v>1059</v>
      </c>
      <c r="F503" s="0" t="n">
        <v>66</v>
      </c>
      <c r="G503" s="0" t="n">
        <v>113</v>
      </c>
      <c r="H503" s="0" t="s">
        <v>1025</v>
      </c>
      <c r="I503" s="0" t="s">
        <v>1032</v>
      </c>
      <c r="J503" s="9" t="n">
        <v>45902</v>
      </c>
      <c r="K503" s="0" t="s">
        <v>1033</v>
      </c>
      <c r="L503" s="0" t="n">
        <v>16</v>
      </c>
      <c r="M503" s="3" t="n">
        <f aca="false">_xlfn.NUMBERVALUE("" &amp; K503 &amp; "",".",",")</f>
        <v>0.0468559466666667</v>
      </c>
      <c r="O503" s="0" t="str">
        <f aca="false">VLOOKUP(C503,statusdetails!$A:$D,4,0)</f>
        <v>DELAY</v>
      </c>
    </row>
    <row r="504" customFormat="false" ht="12.8" hidden="true" customHeight="false" outlineLevel="0" collapsed="false">
      <c r="A504" s="0" t="n">
        <v>466607</v>
      </c>
      <c r="B504" s="0" t="n">
        <v>466607</v>
      </c>
      <c r="C504" s="0" t="n">
        <v>1</v>
      </c>
      <c r="D504" s="0" t="n">
        <v>6</v>
      </c>
      <c r="E504" s="0" t="n">
        <v>811</v>
      </c>
      <c r="F504" s="0" t="n">
        <v>42</v>
      </c>
      <c r="G504" s="0" t="n">
        <v>5</v>
      </c>
      <c r="H504" s="0" t="s">
        <v>1029</v>
      </c>
      <c r="I504" s="0" t="s">
        <v>1034</v>
      </c>
      <c r="J504" s="9" t="n">
        <v>45902</v>
      </c>
      <c r="K504" s="0" t="s">
        <v>1035</v>
      </c>
      <c r="L504" s="0" t="n">
        <v>16</v>
      </c>
      <c r="M504" s="10" t="n">
        <f aca="false">_xlfn.NUMBERVALUE("" &amp; K504 &amp; "",".",",")</f>
        <v>1.10380472222222</v>
      </c>
      <c r="N504" s="10"/>
      <c r="O504" s="0" t="str">
        <f aca="false">VLOOKUP(C504,statusdetails!$A:$D,4,0)</f>
        <v>READY</v>
      </c>
    </row>
    <row r="505" customFormat="false" ht="12.8" hidden="true" customHeight="false" outlineLevel="0" collapsed="false">
      <c r="A505" s="0" t="n">
        <v>466608</v>
      </c>
      <c r="B505" s="0" t="n">
        <v>466608</v>
      </c>
      <c r="C505" s="0" t="n">
        <v>1</v>
      </c>
      <c r="D505" s="0" t="n">
        <v>6</v>
      </c>
      <c r="E505" s="0" t="n">
        <v>260</v>
      </c>
      <c r="F505" s="0" t="n">
        <v>66</v>
      </c>
      <c r="G505" s="0" t="n">
        <v>113</v>
      </c>
      <c r="H505" s="0" t="s">
        <v>1032</v>
      </c>
      <c r="I505" s="0" t="s">
        <v>1036</v>
      </c>
      <c r="J505" s="9" t="n">
        <v>45902</v>
      </c>
      <c r="K505" s="0" t="s">
        <v>1037</v>
      </c>
      <c r="L505" s="0" t="n">
        <v>16</v>
      </c>
      <c r="M505" s="10" t="n">
        <f aca="false">_xlfn.NUMBERVALUE("" &amp; K505 &amp; "",".",",")</f>
        <v>1.89656431666667</v>
      </c>
      <c r="N505" s="10"/>
      <c r="O505" s="0" t="str">
        <f aca="false">VLOOKUP(C505,statusdetails!$A:$D,4,0)</f>
        <v>READY</v>
      </c>
    </row>
    <row r="506" customFormat="false" ht="12.8" hidden="true" customHeight="false" outlineLevel="0" collapsed="false">
      <c r="A506" s="0" t="n">
        <v>466611</v>
      </c>
      <c r="B506" s="0" t="n">
        <v>466611</v>
      </c>
      <c r="C506" s="0" t="n">
        <v>2</v>
      </c>
      <c r="D506" s="0" t="n">
        <v>9</v>
      </c>
      <c r="E506" s="0" t="n">
        <v>2388</v>
      </c>
      <c r="F506" s="0" t="n">
        <v>96</v>
      </c>
      <c r="G506" s="0" t="n">
        <v>124</v>
      </c>
      <c r="H506" s="0" t="s">
        <v>959</v>
      </c>
      <c r="I506" s="11" t="n">
        <v>45902.6866203704</v>
      </c>
      <c r="J506" s="9" t="n">
        <v>45902</v>
      </c>
      <c r="K506" s="0" t="s">
        <v>1038</v>
      </c>
      <c r="L506" s="0" t="n">
        <v>16</v>
      </c>
      <c r="M506" s="3" t="n">
        <f aca="false">_xlfn.NUMBERVALUE("" &amp; K506 &amp; "",".",",")</f>
        <v>0.0360126988888889</v>
      </c>
      <c r="O506" s="0" t="str">
        <f aca="false">VLOOKUP(C506,statusdetails!$A:$D,4,0)</f>
        <v>DELAY</v>
      </c>
    </row>
    <row r="507" customFormat="false" ht="12.8" hidden="true" customHeight="false" outlineLevel="0" collapsed="false">
      <c r="A507" s="0" t="n">
        <v>466613</v>
      </c>
      <c r="B507" s="0" t="n">
        <v>466613</v>
      </c>
      <c r="C507" s="0" t="n">
        <v>1</v>
      </c>
      <c r="D507" s="0" t="n">
        <v>2303</v>
      </c>
      <c r="E507" s="0" t="n">
        <v>969</v>
      </c>
      <c r="F507" s="0" t="n">
        <v>45</v>
      </c>
      <c r="G507" s="0" t="n">
        <v>0</v>
      </c>
      <c r="H507" s="0" t="s">
        <v>1013</v>
      </c>
      <c r="I507" s="0" t="s">
        <v>1039</v>
      </c>
      <c r="J507" s="9" t="n">
        <v>45902</v>
      </c>
      <c r="K507" s="0" t="s">
        <v>1040</v>
      </c>
      <c r="L507" s="0" t="n">
        <v>16</v>
      </c>
      <c r="M507" s="10" t="n">
        <f aca="false">_xlfn.NUMBERVALUE("" &amp; K507 &amp; "",".",",")</f>
        <v>0.527660744722222</v>
      </c>
      <c r="N507" s="10"/>
      <c r="O507" s="0" t="str">
        <f aca="false">VLOOKUP(C507,statusdetails!$A:$D,4,0)</f>
        <v>READY</v>
      </c>
    </row>
    <row r="508" customFormat="false" ht="12.8" hidden="true" customHeight="false" outlineLevel="0" collapsed="false">
      <c r="A508" s="0" t="n">
        <v>466614</v>
      </c>
      <c r="B508" s="0" t="n">
        <v>466614</v>
      </c>
      <c r="C508" s="0" t="n">
        <v>2</v>
      </c>
      <c r="D508" s="0" t="n">
        <v>9</v>
      </c>
      <c r="E508" s="0" t="n">
        <v>2450</v>
      </c>
      <c r="F508" s="0" t="n">
        <v>89</v>
      </c>
      <c r="G508" s="0" t="n">
        <v>129</v>
      </c>
      <c r="H508" s="0" t="s">
        <v>947</v>
      </c>
      <c r="I508" s="0" t="s">
        <v>1041</v>
      </c>
      <c r="J508" s="9" t="n">
        <v>45902</v>
      </c>
      <c r="K508" s="0" t="s">
        <v>1042</v>
      </c>
      <c r="L508" s="0" t="n">
        <v>16</v>
      </c>
      <c r="M508" s="3" t="n">
        <f aca="false">_xlfn.NUMBERVALUE("" &amp; K508 &amp; "",".",",")</f>
        <v>0.133559722222222</v>
      </c>
      <c r="O508" s="0" t="str">
        <f aca="false">VLOOKUP(C508,statusdetails!$A:$D,4,0)</f>
        <v>DELAY</v>
      </c>
    </row>
    <row r="509" customFormat="false" ht="12.8" hidden="true" customHeight="false" outlineLevel="0" collapsed="false">
      <c r="A509" s="0" t="n">
        <v>466615</v>
      </c>
      <c r="B509" s="0" t="n">
        <v>466615</v>
      </c>
      <c r="C509" s="0" t="n">
        <v>1</v>
      </c>
      <c r="D509" s="0" t="n">
        <v>6</v>
      </c>
      <c r="E509" s="0" t="n">
        <v>2404</v>
      </c>
      <c r="F509" s="0" t="n">
        <v>89</v>
      </c>
      <c r="G509" s="0" t="n">
        <v>129</v>
      </c>
      <c r="H509" s="0" t="s">
        <v>1041</v>
      </c>
      <c r="I509" s="0" t="s">
        <v>1043</v>
      </c>
      <c r="J509" s="9" t="n">
        <v>45902</v>
      </c>
      <c r="K509" s="0" t="s">
        <v>1044</v>
      </c>
      <c r="L509" s="0" t="n">
        <v>16</v>
      </c>
      <c r="M509" s="10" t="n">
        <f aca="false">_xlfn.NUMBERVALUE("" &amp; K509 &amp; "",".",",")</f>
        <v>0.189037418333333</v>
      </c>
      <c r="N509" s="10"/>
      <c r="O509" s="0" t="str">
        <f aca="false">VLOOKUP(C509,statusdetails!$A:$D,4,0)</f>
        <v>READY</v>
      </c>
    </row>
    <row r="510" customFormat="false" ht="12.8" hidden="true" customHeight="false" outlineLevel="0" collapsed="false">
      <c r="A510" s="0" t="n">
        <v>466616</v>
      </c>
      <c r="B510" s="0" t="n">
        <v>466616</v>
      </c>
      <c r="C510" s="0" t="n">
        <v>1</v>
      </c>
      <c r="D510" s="0" t="n">
        <v>6</v>
      </c>
      <c r="E510" s="0" t="n">
        <v>260</v>
      </c>
      <c r="F510" s="0" t="n">
        <v>35</v>
      </c>
      <c r="G510" s="0" t="n">
        <v>0</v>
      </c>
      <c r="H510" s="0" t="s">
        <v>904</v>
      </c>
      <c r="I510" s="0" t="s">
        <v>1045</v>
      </c>
      <c r="J510" s="9" t="n">
        <v>45902</v>
      </c>
      <c r="K510" s="0" t="s">
        <v>1046</v>
      </c>
      <c r="L510" s="0" t="n">
        <v>16</v>
      </c>
      <c r="M510" s="10" t="n">
        <f aca="false">_xlfn.NUMBERVALUE("" &amp; K510 &amp; "",".",",")</f>
        <v>2.23181602388889</v>
      </c>
      <c r="N510" s="10"/>
      <c r="O510" s="0" t="str">
        <f aca="false">VLOOKUP(C510,statusdetails!$A:$D,4,0)</f>
        <v>READY</v>
      </c>
    </row>
    <row r="511" customFormat="false" ht="12.8" hidden="true" customHeight="false" outlineLevel="0" collapsed="false">
      <c r="A511" s="0" t="n">
        <v>466617</v>
      </c>
      <c r="B511" s="0" t="n">
        <v>466617</v>
      </c>
      <c r="C511" s="0" t="n">
        <v>2</v>
      </c>
      <c r="D511" s="0" t="n">
        <v>7</v>
      </c>
      <c r="E511" s="0" t="n">
        <v>2385</v>
      </c>
      <c r="F511" s="0" t="n">
        <v>82</v>
      </c>
      <c r="G511" s="0" t="n">
        <v>10</v>
      </c>
      <c r="H511" s="0" t="s">
        <v>1047</v>
      </c>
      <c r="I511" s="0" t="s">
        <v>1048</v>
      </c>
      <c r="J511" s="9" t="n">
        <v>45902</v>
      </c>
      <c r="K511" s="0" t="s">
        <v>1049</v>
      </c>
      <c r="L511" s="0" t="n">
        <v>16</v>
      </c>
      <c r="M511" s="3" t="n">
        <f aca="false">_xlfn.NUMBERVALUE("" &amp; K511 &amp; "",".",",")</f>
        <v>0.433148590277778</v>
      </c>
      <c r="O511" s="0" t="str">
        <f aca="false">VLOOKUP(C511,statusdetails!$A:$D,4,0)</f>
        <v>DELAY</v>
      </c>
    </row>
    <row r="512" customFormat="false" ht="12.8" hidden="true" customHeight="false" outlineLevel="0" collapsed="false">
      <c r="A512" s="0" t="n">
        <v>466618</v>
      </c>
      <c r="B512" s="0" t="n">
        <v>466618</v>
      </c>
      <c r="C512" s="0" t="n">
        <v>3</v>
      </c>
      <c r="D512" s="0" t="n">
        <v>12</v>
      </c>
      <c r="E512" s="0" t="n">
        <v>2422</v>
      </c>
      <c r="F512" s="0" t="n">
        <v>85</v>
      </c>
      <c r="G512" s="0" t="n">
        <v>22</v>
      </c>
      <c r="H512" s="0" t="s">
        <v>993</v>
      </c>
      <c r="I512" s="0" t="s">
        <v>1050</v>
      </c>
      <c r="J512" s="9" t="n">
        <v>45902</v>
      </c>
      <c r="K512" s="0" t="s">
        <v>1051</v>
      </c>
      <c r="L512" s="0" t="n">
        <v>16</v>
      </c>
      <c r="M512" s="10" t="n">
        <f aca="false">_xlfn.NUMBERVALUE("" &amp; K512 &amp; "",".",",")</f>
        <v>0.874476593888889</v>
      </c>
      <c r="N512" s="10"/>
      <c r="O512" s="0" t="str">
        <f aca="false">VLOOKUP(C512,statusdetails!$A:$D,4,0)</f>
        <v>STANDBY</v>
      </c>
      <c r="P512" s="0" t="str">
        <f aca="false">VLOOKUP(F512,equipment!$A:$E,4,0)</f>
        <v>CM02</v>
      </c>
      <c r="Q512" s="0" t="str">
        <f aca="false">VLOOKUP(F512,equipment!$A:$E,5,0)</f>
        <v>CM02 - 85</v>
      </c>
    </row>
    <row r="513" customFormat="false" ht="12.8" hidden="true" customHeight="false" outlineLevel="0" collapsed="false">
      <c r="A513" s="0" t="n">
        <v>466619</v>
      </c>
      <c r="B513" s="0" t="n">
        <v>466619</v>
      </c>
      <c r="C513" s="0" t="n">
        <v>3</v>
      </c>
      <c r="D513" s="0" t="n">
        <v>12</v>
      </c>
      <c r="E513" s="0" t="n">
        <v>2422</v>
      </c>
      <c r="F513" s="0" t="n">
        <v>89</v>
      </c>
      <c r="G513" s="0" t="n">
        <v>129</v>
      </c>
      <c r="H513" s="0" t="s">
        <v>1043</v>
      </c>
      <c r="I513" s="0" t="s">
        <v>1052</v>
      </c>
      <c r="J513" s="9" t="n">
        <v>45902</v>
      </c>
      <c r="K513" s="0" t="s">
        <v>1053</v>
      </c>
      <c r="L513" s="0" t="n">
        <v>16</v>
      </c>
      <c r="M513" s="10" t="n">
        <f aca="false">_xlfn.NUMBERVALUE("" &amp; K513 &amp; "",".",",")</f>
        <v>0.601423068055555</v>
      </c>
      <c r="N513" s="10"/>
      <c r="O513" s="0" t="str">
        <f aca="false">VLOOKUP(C513,statusdetails!$A:$D,4,0)</f>
        <v>STANDBY</v>
      </c>
      <c r="P513" s="0" t="str">
        <f aca="false">VLOOKUP(F513,equipment!$A:$E,4,0)</f>
        <v>CM06</v>
      </c>
      <c r="Q513" s="0" t="str">
        <f aca="false">VLOOKUP(F513,equipment!$A:$E,5,0)</f>
        <v>CM06 - 89</v>
      </c>
    </row>
    <row r="514" customFormat="false" ht="12.8" hidden="true" customHeight="false" outlineLevel="0" collapsed="false">
      <c r="A514" s="0" t="n">
        <v>466620</v>
      </c>
      <c r="B514" s="0" t="n">
        <v>466620</v>
      </c>
      <c r="C514" s="0" t="n">
        <v>2</v>
      </c>
      <c r="D514" s="0" t="n">
        <v>7</v>
      </c>
      <c r="E514" s="0" t="n">
        <v>1024</v>
      </c>
      <c r="F514" s="0" t="n">
        <v>45</v>
      </c>
      <c r="G514" s="0" t="n">
        <v>0</v>
      </c>
      <c r="H514" s="0" t="s">
        <v>1039</v>
      </c>
      <c r="I514" s="0" t="s">
        <v>1054</v>
      </c>
      <c r="J514" s="9" t="n">
        <v>45902</v>
      </c>
      <c r="K514" s="0" t="s">
        <v>1055</v>
      </c>
      <c r="L514" s="0" t="n">
        <v>17</v>
      </c>
      <c r="M514" s="3" t="n">
        <f aca="false">_xlfn.NUMBERVALUE("" &amp; K514 &amp; "",".",",")</f>
        <v>0.424369943333333</v>
      </c>
      <c r="O514" s="0" t="str">
        <f aca="false">VLOOKUP(C514,statusdetails!$A:$D,4,0)</f>
        <v>DELAY</v>
      </c>
    </row>
    <row r="515" customFormat="false" ht="12.8" hidden="true" customHeight="false" outlineLevel="0" collapsed="false">
      <c r="A515" s="0" t="n">
        <v>466621</v>
      </c>
      <c r="B515" s="0" t="n">
        <v>466621</v>
      </c>
      <c r="C515" s="0" t="n">
        <v>1</v>
      </c>
      <c r="D515" s="0" t="n">
        <v>6</v>
      </c>
      <c r="E515" s="0" t="n">
        <v>2518</v>
      </c>
      <c r="F515" s="0" t="n">
        <v>82</v>
      </c>
      <c r="G515" s="0" t="n">
        <v>10</v>
      </c>
      <c r="H515" s="0" t="s">
        <v>1048</v>
      </c>
      <c r="I515" s="0" t="s">
        <v>1056</v>
      </c>
      <c r="J515" s="9" t="n">
        <v>45902</v>
      </c>
      <c r="K515" s="0" t="s">
        <v>1057</v>
      </c>
      <c r="L515" s="0" t="n">
        <v>17</v>
      </c>
      <c r="M515" s="10" t="n">
        <f aca="false">_xlfn.NUMBERVALUE("" &amp; K515 &amp; "",".",",")</f>
        <v>1.82584004833333</v>
      </c>
      <c r="N515" s="10"/>
      <c r="O515" s="0" t="str">
        <f aca="false">VLOOKUP(C515,statusdetails!$A:$D,4,0)</f>
        <v>READY</v>
      </c>
    </row>
    <row r="516" customFormat="false" ht="12.8" hidden="true" customHeight="false" outlineLevel="0" collapsed="false">
      <c r="A516" s="0" t="n">
        <v>466622</v>
      </c>
      <c r="B516" s="0" t="n">
        <v>466622</v>
      </c>
      <c r="C516" s="0" t="n">
        <v>1</v>
      </c>
      <c r="D516" s="0" t="n">
        <v>6</v>
      </c>
      <c r="E516" s="0" t="n">
        <v>260</v>
      </c>
      <c r="F516" s="0" t="n">
        <v>32</v>
      </c>
      <c r="G516" s="0" t="n">
        <v>94</v>
      </c>
      <c r="H516" s="0" t="s">
        <v>968</v>
      </c>
      <c r="I516" s="0" t="s">
        <v>1058</v>
      </c>
      <c r="J516" s="9" t="n">
        <v>45902</v>
      </c>
      <c r="K516" s="0" t="s">
        <v>1059</v>
      </c>
      <c r="L516" s="0" t="n">
        <v>17</v>
      </c>
      <c r="M516" s="10" t="n">
        <f aca="false">_xlfn.NUMBERVALUE("" &amp; K516 &amp; "",".",",")</f>
        <v>1.71927296388889</v>
      </c>
      <c r="N516" s="10"/>
      <c r="O516" s="0" t="str">
        <f aca="false">VLOOKUP(C516,statusdetails!$A:$D,4,0)</f>
        <v>READY</v>
      </c>
    </row>
    <row r="517" customFormat="false" ht="12.8" hidden="true" customHeight="false" outlineLevel="0" collapsed="false">
      <c r="A517" s="0" t="n">
        <v>466623</v>
      </c>
      <c r="B517" s="0" t="n">
        <v>466623</v>
      </c>
      <c r="C517" s="0" t="n">
        <v>3</v>
      </c>
      <c r="D517" s="0" t="n">
        <v>12</v>
      </c>
      <c r="E517" s="0" t="n">
        <v>2422</v>
      </c>
      <c r="F517" s="0" t="n">
        <v>88</v>
      </c>
      <c r="G517" s="0" t="n">
        <v>142</v>
      </c>
      <c r="H517" s="0" t="s">
        <v>962</v>
      </c>
      <c r="I517" s="0" t="s">
        <v>1060</v>
      </c>
      <c r="J517" s="9" t="n">
        <v>45902</v>
      </c>
      <c r="K517" s="0" t="s">
        <v>1061</v>
      </c>
      <c r="L517" s="0" t="n">
        <v>17</v>
      </c>
      <c r="M517" s="10" t="n">
        <f aca="false">_xlfn.NUMBERVALUE("" &amp; K517 &amp; "",".",",")</f>
        <v>0.293555797222222</v>
      </c>
      <c r="N517" s="10"/>
      <c r="O517" s="0" t="str">
        <f aca="false">VLOOKUP(C517,statusdetails!$A:$D,4,0)</f>
        <v>STANDBY</v>
      </c>
      <c r="P517" s="0" t="str">
        <f aca="false">VLOOKUP(F517,equipment!$A:$E,4,0)</f>
        <v>CM05</v>
      </c>
      <c r="Q517" s="0" t="str">
        <f aca="false">VLOOKUP(F517,equipment!$A:$E,5,0)</f>
        <v>CM05 - 88</v>
      </c>
    </row>
    <row r="518" customFormat="false" ht="12.8" hidden="true" customHeight="false" outlineLevel="0" collapsed="false">
      <c r="A518" s="0" t="n">
        <v>466624</v>
      </c>
      <c r="B518" s="0" t="n">
        <v>466624</v>
      </c>
      <c r="C518" s="0" t="n">
        <v>3</v>
      </c>
      <c r="D518" s="0" t="n">
        <v>12</v>
      </c>
      <c r="E518" s="0" t="n">
        <v>2422</v>
      </c>
      <c r="F518" s="0" t="n">
        <v>84</v>
      </c>
      <c r="G518" s="0" t="n">
        <v>138</v>
      </c>
      <c r="H518" s="0" t="s">
        <v>953</v>
      </c>
      <c r="I518" s="0" t="s">
        <v>1062</v>
      </c>
      <c r="J518" s="9" t="n">
        <v>45902</v>
      </c>
      <c r="K518" s="0" t="s">
        <v>1063</v>
      </c>
      <c r="L518" s="0" t="n">
        <v>17</v>
      </c>
      <c r="M518" s="10" t="n">
        <f aca="false">_xlfn.NUMBERVALUE("" &amp; K518 &amp; "",".",",")</f>
        <v>2.08284628805556</v>
      </c>
      <c r="N518" s="10"/>
      <c r="O518" s="0" t="str">
        <f aca="false">VLOOKUP(C518,statusdetails!$A:$D,4,0)</f>
        <v>STANDBY</v>
      </c>
      <c r="P518" s="0" t="str">
        <f aca="false">VLOOKUP(F518,equipment!$A:$E,4,0)</f>
        <v>CM01</v>
      </c>
      <c r="Q518" s="0" t="str">
        <f aca="false">VLOOKUP(F518,equipment!$A:$E,5,0)</f>
        <v>CM01 - 84</v>
      </c>
    </row>
    <row r="519" customFormat="false" ht="12.8" hidden="true" customHeight="false" outlineLevel="0" collapsed="false">
      <c r="A519" s="0" t="n">
        <v>466625</v>
      </c>
      <c r="B519" s="0" t="n">
        <v>466625</v>
      </c>
      <c r="C519" s="0" t="n">
        <v>1</v>
      </c>
      <c r="D519" s="0" t="n">
        <v>6</v>
      </c>
      <c r="E519" s="0" t="n">
        <v>2404</v>
      </c>
      <c r="F519" s="0" t="n">
        <v>89</v>
      </c>
      <c r="G519" s="0" t="n">
        <v>129</v>
      </c>
      <c r="H519" s="0" t="s">
        <v>1052</v>
      </c>
      <c r="I519" s="0" t="s">
        <v>1064</v>
      </c>
      <c r="J519" s="9" t="n">
        <v>45902</v>
      </c>
      <c r="K519" s="0" t="s">
        <v>1065</v>
      </c>
      <c r="L519" s="0" t="n">
        <v>17</v>
      </c>
      <c r="M519" s="10" t="n">
        <f aca="false">_xlfn.NUMBERVALUE("" &amp; K519 &amp; "",".",",")</f>
        <v>1.50613750333333</v>
      </c>
      <c r="N519" s="10"/>
      <c r="O519" s="0" t="str">
        <f aca="false">VLOOKUP(C519,statusdetails!$A:$D,4,0)</f>
        <v>READY</v>
      </c>
    </row>
    <row r="520" customFormat="false" ht="12.8" hidden="true" customHeight="false" outlineLevel="0" collapsed="false">
      <c r="A520" s="0" t="n">
        <v>466626</v>
      </c>
      <c r="B520" s="0" t="n">
        <v>466626</v>
      </c>
      <c r="C520" s="0" t="n">
        <v>1</v>
      </c>
      <c r="D520" s="0" t="n">
        <v>6</v>
      </c>
      <c r="E520" s="0" t="n">
        <v>138</v>
      </c>
      <c r="F520" s="0" t="n">
        <v>45</v>
      </c>
      <c r="G520" s="0" t="n">
        <v>0</v>
      </c>
      <c r="H520" s="0" t="s">
        <v>1054</v>
      </c>
      <c r="I520" s="0" t="s">
        <v>1066</v>
      </c>
      <c r="J520" s="9" t="n">
        <v>45902</v>
      </c>
      <c r="K520" s="0" t="s">
        <v>1067</v>
      </c>
      <c r="L520" s="0" t="n">
        <v>17</v>
      </c>
      <c r="M520" s="10" t="n">
        <f aca="false">_xlfn.NUMBERVALUE("" &amp; K520 &amp; "",".",",")</f>
        <v>1.33066777472222</v>
      </c>
      <c r="N520" s="10"/>
      <c r="O520" s="0" t="str">
        <f aca="false">VLOOKUP(C520,statusdetails!$A:$D,4,0)</f>
        <v>READY</v>
      </c>
    </row>
    <row r="521" customFormat="false" ht="12.8" hidden="true" customHeight="false" outlineLevel="0" collapsed="false">
      <c r="A521" s="0" t="n">
        <v>466627</v>
      </c>
      <c r="B521" s="0" t="n">
        <v>466627</v>
      </c>
      <c r="C521" s="0" t="n">
        <v>1</v>
      </c>
      <c r="D521" s="0" t="n">
        <v>6</v>
      </c>
      <c r="E521" s="0" t="n">
        <v>2404</v>
      </c>
      <c r="F521" s="0" t="n">
        <v>88</v>
      </c>
      <c r="G521" s="0" t="n">
        <v>142</v>
      </c>
      <c r="H521" s="0" t="s">
        <v>1060</v>
      </c>
      <c r="I521" s="0" t="s">
        <v>1068</v>
      </c>
      <c r="J521" s="9" t="n">
        <v>45902</v>
      </c>
      <c r="K521" s="0" t="s">
        <v>1069</v>
      </c>
      <c r="L521" s="0" t="n">
        <v>17</v>
      </c>
      <c r="M521" s="10" t="n">
        <f aca="false">_xlfn.NUMBERVALUE("" &amp; K521 &amp; "",".",",")</f>
        <v>1.34950803722222</v>
      </c>
      <c r="N521" s="10"/>
      <c r="O521" s="0" t="str">
        <f aca="false">VLOOKUP(C521,statusdetails!$A:$D,4,0)</f>
        <v>READY</v>
      </c>
    </row>
    <row r="522" customFormat="false" ht="12.8" hidden="true" customHeight="false" outlineLevel="0" collapsed="false">
      <c r="A522" s="0" t="n">
        <v>466628</v>
      </c>
      <c r="B522" s="0" t="n">
        <v>466628</v>
      </c>
      <c r="C522" s="0" t="n">
        <v>2</v>
      </c>
      <c r="D522" s="0" t="n">
        <v>7</v>
      </c>
      <c r="E522" s="0" t="n">
        <v>821</v>
      </c>
      <c r="F522" s="0" t="n">
        <v>42</v>
      </c>
      <c r="G522" s="0" t="n">
        <v>5</v>
      </c>
      <c r="H522" s="0" t="s">
        <v>1034</v>
      </c>
      <c r="I522" s="0" t="s">
        <v>1070</v>
      </c>
      <c r="J522" s="9" t="n">
        <v>45902</v>
      </c>
      <c r="K522" s="0" t="s">
        <v>1071</v>
      </c>
      <c r="L522" s="0" t="n">
        <v>17</v>
      </c>
      <c r="M522" s="3" t="n">
        <f aca="false">_xlfn.NUMBERVALUE("" &amp; K522 &amp; "",".",",")</f>
        <v>0.197286388888889</v>
      </c>
      <c r="O522" s="0" t="str">
        <f aca="false">VLOOKUP(C522,statusdetails!$A:$D,4,0)</f>
        <v>DELAY</v>
      </c>
    </row>
    <row r="523" customFormat="false" ht="12.8" hidden="true" customHeight="false" outlineLevel="0" collapsed="false">
      <c r="A523" s="0" t="n">
        <v>466629</v>
      </c>
      <c r="B523" s="0" t="n">
        <v>466629</v>
      </c>
      <c r="C523" s="0" t="n">
        <v>1</v>
      </c>
      <c r="D523" s="0" t="n">
        <v>6</v>
      </c>
      <c r="E523" s="0" t="n">
        <v>2404</v>
      </c>
      <c r="F523" s="0" t="n">
        <v>85</v>
      </c>
      <c r="G523" s="0" t="n">
        <v>22</v>
      </c>
      <c r="H523" s="0" t="s">
        <v>1050</v>
      </c>
      <c r="I523" s="0" t="s">
        <v>1072</v>
      </c>
      <c r="J523" s="9" t="n">
        <v>45902</v>
      </c>
      <c r="K523" s="0" t="s">
        <v>1073</v>
      </c>
      <c r="L523" s="0" t="n">
        <v>17</v>
      </c>
      <c r="M523" s="10" t="n">
        <f aca="false">_xlfn.NUMBERVALUE("" &amp; K523 &amp; "",".",",")</f>
        <v>1.24008403333333</v>
      </c>
      <c r="N523" s="10"/>
      <c r="O523" s="0" t="str">
        <f aca="false">VLOOKUP(C523,statusdetails!$A:$D,4,0)</f>
        <v>READY</v>
      </c>
    </row>
    <row r="524" customFormat="false" ht="12.8" hidden="true" customHeight="false" outlineLevel="0" collapsed="false">
      <c r="A524" s="0" t="n">
        <v>466630</v>
      </c>
      <c r="B524" s="0" t="n">
        <v>466630</v>
      </c>
      <c r="C524" s="0" t="n">
        <v>1</v>
      </c>
      <c r="D524" s="0" t="n">
        <v>6</v>
      </c>
      <c r="E524" s="0" t="n">
        <v>811</v>
      </c>
      <c r="F524" s="0" t="n">
        <v>42</v>
      </c>
      <c r="G524" s="0" t="n">
        <v>5</v>
      </c>
      <c r="H524" s="0" t="s">
        <v>1070</v>
      </c>
      <c r="I524" s="0" t="s">
        <v>1074</v>
      </c>
      <c r="J524" s="9" t="n">
        <v>45902</v>
      </c>
      <c r="K524" s="0" t="s">
        <v>1075</v>
      </c>
      <c r="L524" s="0" t="n">
        <v>17</v>
      </c>
      <c r="M524" s="10" t="n">
        <f aca="false">_xlfn.NUMBERVALUE("" &amp; K524 &amp; "",".",",")</f>
        <v>0.180038888888889</v>
      </c>
      <c r="N524" s="10"/>
      <c r="O524" s="0" t="str">
        <f aca="false">VLOOKUP(C524,statusdetails!$A:$D,4,0)</f>
        <v>READY</v>
      </c>
    </row>
    <row r="525" customFormat="false" ht="12.8" hidden="true" customHeight="false" outlineLevel="0" collapsed="false">
      <c r="A525" s="0" t="n">
        <v>466631</v>
      </c>
      <c r="B525" s="0" t="n">
        <v>466631</v>
      </c>
      <c r="C525" s="0" t="n">
        <v>2</v>
      </c>
      <c r="D525" s="0" t="n">
        <v>7</v>
      </c>
      <c r="E525" s="0" t="n">
        <v>821</v>
      </c>
      <c r="F525" s="0" t="n">
        <v>43</v>
      </c>
      <c r="G525" s="0" t="n">
        <v>99</v>
      </c>
      <c r="H525" s="0" t="s">
        <v>1010</v>
      </c>
      <c r="I525" s="0" t="s">
        <v>1076</v>
      </c>
      <c r="J525" s="9" t="n">
        <v>45902</v>
      </c>
      <c r="K525" s="0" t="s">
        <v>1077</v>
      </c>
      <c r="L525" s="0" t="n">
        <v>17</v>
      </c>
      <c r="M525" s="3" t="n">
        <f aca="false">_xlfn.NUMBERVALUE("" &amp; K525 &amp; "",".",",")</f>
        <v>0.246193158611111</v>
      </c>
      <c r="O525" s="0" t="str">
        <f aca="false">VLOOKUP(C525,statusdetails!$A:$D,4,0)</f>
        <v>DELAY</v>
      </c>
    </row>
    <row r="526" customFormat="false" ht="12.8" hidden="true" customHeight="false" outlineLevel="0" collapsed="false">
      <c r="A526" s="0" t="n">
        <v>466632</v>
      </c>
      <c r="B526" s="0" t="n">
        <v>466632</v>
      </c>
      <c r="C526" s="0" t="n">
        <v>3</v>
      </c>
      <c r="D526" s="0" t="n">
        <v>12</v>
      </c>
      <c r="E526" s="0" t="n">
        <v>840</v>
      </c>
      <c r="F526" s="0" t="n">
        <v>42</v>
      </c>
      <c r="G526" s="0" t="n">
        <v>5</v>
      </c>
      <c r="H526" s="0" t="s">
        <v>1074</v>
      </c>
      <c r="I526" s="11" t="n">
        <v>45903.2922800926</v>
      </c>
      <c r="J526" s="9" t="n">
        <v>45902</v>
      </c>
      <c r="K526" s="0" t="s">
        <v>1078</v>
      </c>
      <c r="L526" s="0" t="n">
        <v>17</v>
      </c>
      <c r="M526" s="10" t="n">
        <f aca="false">_xlfn.NUMBERVALUE("" &amp; K526 &amp; "",".",",")</f>
        <v>13.1373605555556</v>
      </c>
      <c r="N526" s="10"/>
      <c r="O526" s="0" t="str">
        <f aca="false">VLOOKUP(C526,statusdetails!$A:$D,4,0)</f>
        <v>STANDBY</v>
      </c>
      <c r="P526" s="0" t="str">
        <f aca="false">VLOOKUP(F526,equipment!$A:$E,4,0)</f>
        <v>PE301</v>
      </c>
      <c r="Q526" s="0" t="str">
        <f aca="false">VLOOKUP(F526,equipment!$A:$E,5,0)</f>
        <v>PE301 - 42</v>
      </c>
    </row>
    <row r="527" customFormat="false" ht="12.8" hidden="true" customHeight="false" outlineLevel="0" collapsed="false">
      <c r="A527" s="0" t="n">
        <v>466633</v>
      </c>
      <c r="B527" s="0" t="n">
        <v>466556</v>
      </c>
      <c r="C527" s="0" t="n">
        <v>3</v>
      </c>
      <c r="D527" s="0" t="n">
        <v>14</v>
      </c>
      <c r="E527" s="0" t="n">
        <v>2417</v>
      </c>
      <c r="F527" s="0" t="n">
        <v>87</v>
      </c>
      <c r="G527" s="0" t="n">
        <v>143</v>
      </c>
      <c r="H527" s="11" t="n">
        <v>45902.5208796296</v>
      </c>
      <c r="I527" s="0" t="s">
        <v>943</v>
      </c>
      <c r="J527" s="9" t="n">
        <v>45902</v>
      </c>
      <c r="K527" s="0" t="s">
        <v>1079</v>
      </c>
      <c r="L527" s="0" t="n">
        <v>12</v>
      </c>
      <c r="M527" s="10" t="n">
        <f aca="false">_xlfn.NUMBERVALUE("" &amp; K527 &amp; "",".",",")</f>
        <v>0.378955405555556</v>
      </c>
      <c r="N527" s="10"/>
      <c r="O527" s="0" t="str">
        <f aca="false">VLOOKUP(C527,statusdetails!$A:$D,4,0)</f>
        <v>STANDBY</v>
      </c>
      <c r="P527" s="0" t="str">
        <f aca="false">VLOOKUP(F527,equipment!$A:$E,4,0)</f>
        <v>CM04</v>
      </c>
      <c r="Q527" s="0" t="str">
        <f aca="false">VLOOKUP(F527,equipment!$A:$E,5,0)</f>
        <v>CM04 - 87</v>
      </c>
    </row>
    <row r="528" customFormat="false" ht="12.8" hidden="true" customHeight="false" outlineLevel="0" collapsed="false">
      <c r="A528" s="0" t="n">
        <v>466634</v>
      </c>
      <c r="B528" s="0" t="n">
        <v>466557</v>
      </c>
      <c r="C528" s="0" t="n">
        <v>3</v>
      </c>
      <c r="D528" s="0" t="n">
        <v>14</v>
      </c>
      <c r="E528" s="0" t="n">
        <v>2417</v>
      </c>
      <c r="F528" s="0" t="n">
        <v>84</v>
      </c>
      <c r="G528" s="0" t="n">
        <v>138</v>
      </c>
      <c r="H528" s="11" t="n">
        <v>45902.5223958333</v>
      </c>
      <c r="I528" s="0" t="s">
        <v>940</v>
      </c>
      <c r="J528" s="9" t="n">
        <v>45902</v>
      </c>
      <c r="K528" s="0" t="s">
        <v>1080</v>
      </c>
      <c r="L528" s="0" t="n">
        <v>12</v>
      </c>
      <c r="M528" s="10" t="n">
        <f aca="false">_xlfn.NUMBERVALUE("" &amp; K528 &amp; "",".",",")</f>
        <v>0.311362222222222</v>
      </c>
      <c r="N528" s="10"/>
      <c r="O528" s="0" t="str">
        <f aca="false">VLOOKUP(C528,statusdetails!$A:$D,4,0)</f>
        <v>STANDBY</v>
      </c>
      <c r="P528" s="0" t="str">
        <f aca="false">VLOOKUP(F528,equipment!$A:$E,4,0)</f>
        <v>CM01</v>
      </c>
      <c r="Q528" s="0" t="str">
        <f aca="false">VLOOKUP(F528,equipment!$A:$E,5,0)</f>
        <v>CM01 - 84</v>
      </c>
    </row>
    <row r="529" customFormat="false" ht="12.8" hidden="true" customHeight="false" outlineLevel="0" collapsed="false">
      <c r="A529" s="0" t="n">
        <v>466635</v>
      </c>
      <c r="B529" s="0" t="n">
        <v>466551</v>
      </c>
      <c r="C529" s="0" t="n">
        <v>3</v>
      </c>
      <c r="D529" s="0" t="n">
        <v>14</v>
      </c>
      <c r="E529" s="0" t="n">
        <v>2417</v>
      </c>
      <c r="F529" s="0" t="n">
        <v>88</v>
      </c>
      <c r="G529" s="0" t="n">
        <v>142</v>
      </c>
      <c r="H529" s="11" t="n">
        <v>45902.5202662037</v>
      </c>
      <c r="I529" s="0" t="s">
        <v>961</v>
      </c>
      <c r="J529" s="9" t="n">
        <v>45902</v>
      </c>
      <c r="K529" s="0" t="s">
        <v>1081</v>
      </c>
      <c r="L529" s="0" t="n">
        <v>12</v>
      </c>
      <c r="M529" s="10" t="n">
        <f aca="false">_xlfn.NUMBERVALUE("" &amp; K529 &amp; "",".",",")</f>
        <v>0.657474814722222</v>
      </c>
      <c r="N529" s="10"/>
      <c r="O529" s="0" t="str">
        <f aca="false">VLOOKUP(C529,statusdetails!$A:$D,4,0)</f>
        <v>STANDBY</v>
      </c>
      <c r="P529" s="0" t="str">
        <f aca="false">VLOOKUP(F529,equipment!$A:$E,4,0)</f>
        <v>CM05</v>
      </c>
      <c r="Q529" s="0" t="str">
        <f aca="false">VLOOKUP(F529,equipment!$A:$E,5,0)</f>
        <v>CM05 - 88</v>
      </c>
    </row>
    <row r="530" customFormat="false" ht="12.8" hidden="true" customHeight="false" outlineLevel="0" collapsed="false">
      <c r="A530" s="0" t="n">
        <v>466636</v>
      </c>
      <c r="B530" s="0" t="n">
        <v>466550</v>
      </c>
      <c r="C530" s="0" t="n">
        <v>3</v>
      </c>
      <c r="D530" s="0" t="n">
        <v>14</v>
      </c>
      <c r="E530" s="0" t="n">
        <v>2417</v>
      </c>
      <c r="F530" s="0" t="n">
        <v>89</v>
      </c>
      <c r="G530" s="0" t="n">
        <v>129</v>
      </c>
      <c r="H530" s="11" t="n">
        <v>45902.5191319444</v>
      </c>
      <c r="I530" s="0" t="s">
        <v>946</v>
      </c>
      <c r="J530" s="9" t="n">
        <v>45902</v>
      </c>
      <c r="K530" s="0" t="s">
        <v>1082</v>
      </c>
      <c r="L530" s="0" t="n">
        <v>12</v>
      </c>
      <c r="M530" s="10" t="n">
        <f aca="false">_xlfn.NUMBERVALUE("" &amp; K530 &amp; "",".",",")</f>
        <v>0.442971819166667</v>
      </c>
      <c r="N530" s="10"/>
      <c r="O530" s="0" t="str">
        <f aca="false">VLOOKUP(C530,statusdetails!$A:$D,4,0)</f>
        <v>STANDBY</v>
      </c>
      <c r="P530" s="0" t="str">
        <f aca="false">VLOOKUP(F530,equipment!$A:$E,4,0)</f>
        <v>CM06</v>
      </c>
      <c r="Q530" s="0" t="str">
        <f aca="false">VLOOKUP(F530,equipment!$A:$E,5,0)</f>
        <v>CM06 - 89</v>
      </c>
    </row>
    <row r="531" customFormat="false" ht="12.8" hidden="true" customHeight="false" outlineLevel="0" collapsed="false">
      <c r="A531" s="0" t="n">
        <v>466637</v>
      </c>
      <c r="B531" s="0" t="n">
        <v>466548</v>
      </c>
      <c r="C531" s="0" t="n">
        <v>3</v>
      </c>
      <c r="D531" s="0" t="n">
        <v>14</v>
      </c>
      <c r="E531" s="0" t="n">
        <v>2417</v>
      </c>
      <c r="F531" s="0" t="n">
        <v>85</v>
      </c>
      <c r="G531" s="0" t="n">
        <v>22</v>
      </c>
      <c r="H531" s="11" t="n">
        <v>45902.5184027778</v>
      </c>
      <c r="I531" s="0" t="s">
        <v>972</v>
      </c>
      <c r="J531" s="9" t="n">
        <v>45902</v>
      </c>
      <c r="K531" s="0" t="s">
        <v>1083</v>
      </c>
      <c r="L531" s="0" t="n">
        <v>12</v>
      </c>
      <c r="M531" s="10" t="n">
        <f aca="false">_xlfn.NUMBERVALUE("" &amp; K531 &amp; "",".",",")</f>
        <v>1.50011009972222</v>
      </c>
      <c r="N531" s="10"/>
      <c r="O531" s="0" t="str">
        <f aca="false">VLOOKUP(C531,statusdetails!$A:$D,4,0)</f>
        <v>STANDBY</v>
      </c>
      <c r="P531" s="0" t="str">
        <f aca="false">VLOOKUP(F531,equipment!$A:$E,4,0)</f>
        <v>CM02</v>
      </c>
      <c r="Q531" s="0" t="str">
        <f aca="false">VLOOKUP(F531,equipment!$A:$E,5,0)</f>
        <v>CM02 - 85</v>
      </c>
    </row>
    <row r="532" customFormat="false" ht="12.8" hidden="true" customHeight="false" outlineLevel="0" collapsed="false">
      <c r="A532" s="0" t="n">
        <v>466638</v>
      </c>
      <c r="B532" s="0" t="n">
        <v>466612</v>
      </c>
      <c r="C532" s="0" t="n">
        <v>1</v>
      </c>
      <c r="D532" s="0" t="n">
        <v>6</v>
      </c>
      <c r="E532" s="0" t="n">
        <v>2518</v>
      </c>
      <c r="F532" s="0" t="n">
        <v>96</v>
      </c>
      <c r="G532" s="0" t="n">
        <v>124</v>
      </c>
      <c r="H532" s="11" t="n">
        <v>45902.6866203704</v>
      </c>
      <c r="I532" s="0" t="s">
        <v>1084</v>
      </c>
      <c r="J532" s="9" t="n">
        <v>45902</v>
      </c>
      <c r="K532" s="0" t="s">
        <v>1085</v>
      </c>
      <c r="L532" s="0" t="n">
        <v>16</v>
      </c>
      <c r="M532" s="10" t="n">
        <f aca="false">_xlfn.NUMBERVALUE("" &amp; K532 &amp; "",".",",")</f>
        <v>2.35431492944444</v>
      </c>
      <c r="N532" s="10"/>
      <c r="O532" s="0" t="str">
        <f aca="false">VLOOKUP(C532,statusdetails!$A:$D,4,0)</f>
        <v>READY</v>
      </c>
    </row>
    <row r="533" customFormat="false" ht="12.8" hidden="true" customHeight="false" outlineLevel="0" collapsed="false">
      <c r="A533" s="0" t="n">
        <v>466639</v>
      </c>
      <c r="B533" s="0" t="n">
        <v>466610</v>
      </c>
      <c r="C533" s="0" t="n">
        <v>1</v>
      </c>
      <c r="D533" s="0" t="n">
        <v>6</v>
      </c>
      <c r="E533" s="0" t="n">
        <v>2518</v>
      </c>
      <c r="F533" s="0" t="n">
        <v>82</v>
      </c>
      <c r="G533" s="0" t="n">
        <v>10</v>
      </c>
      <c r="H533" s="11" t="n">
        <v>45902.684849537</v>
      </c>
      <c r="I533" s="0" t="s">
        <v>1047</v>
      </c>
      <c r="J533" s="9" t="n">
        <v>45902</v>
      </c>
      <c r="K533" s="0" t="s">
        <v>1086</v>
      </c>
      <c r="L533" s="0" t="n">
        <v>16</v>
      </c>
      <c r="M533" s="10" t="n">
        <f aca="false">_xlfn.NUMBERVALUE("" &amp; K533 &amp; "",".",",")</f>
        <v>0.201370883888889</v>
      </c>
      <c r="N533" s="10"/>
      <c r="O533" s="0" t="str">
        <f aca="false">VLOOKUP(C533,statusdetails!$A:$D,4,0)</f>
        <v>READY</v>
      </c>
    </row>
    <row r="534" customFormat="false" ht="12.8" hidden="true" customHeight="false" outlineLevel="0" collapsed="false">
      <c r="A534" s="0" t="n">
        <v>466640</v>
      </c>
      <c r="B534" s="0" t="n">
        <v>466491</v>
      </c>
      <c r="C534" s="0" t="n">
        <v>1</v>
      </c>
      <c r="D534" s="0" t="n">
        <v>6</v>
      </c>
      <c r="E534" s="0" t="n">
        <v>2518</v>
      </c>
      <c r="F534" s="0" t="n">
        <v>96</v>
      </c>
      <c r="G534" s="0" t="n">
        <v>124</v>
      </c>
      <c r="H534" s="11" t="n">
        <v>45902.4355092593</v>
      </c>
      <c r="I534" s="0" t="s">
        <v>868</v>
      </c>
      <c r="J534" s="9" t="n">
        <v>45902</v>
      </c>
      <c r="K534" s="0" t="s">
        <v>1087</v>
      </c>
      <c r="L534" s="0" t="n">
        <v>10</v>
      </c>
      <c r="M534" s="10" t="n">
        <f aca="false">_xlfn.NUMBERVALUE("" &amp; K534 &amp; "",".",",")</f>
        <v>0.684373297777778</v>
      </c>
      <c r="N534" s="10"/>
      <c r="O534" s="0" t="str">
        <f aca="false">VLOOKUP(C534,statusdetails!$A:$D,4,0)</f>
        <v>READY</v>
      </c>
    </row>
    <row r="535" customFormat="false" ht="12.8" hidden="true" customHeight="false" outlineLevel="0" collapsed="false">
      <c r="A535" s="0" t="n">
        <v>466641</v>
      </c>
      <c r="B535" s="0" t="n">
        <v>466641</v>
      </c>
      <c r="C535" s="0" t="n">
        <v>1</v>
      </c>
      <c r="D535" s="0" t="n">
        <v>6</v>
      </c>
      <c r="E535" s="0" t="n">
        <v>811</v>
      </c>
      <c r="F535" s="0" t="n">
        <v>43</v>
      </c>
      <c r="G535" s="0" t="n">
        <v>5</v>
      </c>
      <c r="H535" s="0" t="s">
        <v>1076</v>
      </c>
      <c r="I535" s="0" t="s">
        <v>1088</v>
      </c>
      <c r="J535" s="9" t="n">
        <v>45902</v>
      </c>
      <c r="K535" s="0" t="s">
        <v>1089</v>
      </c>
      <c r="L535" s="0" t="n">
        <v>18</v>
      </c>
      <c r="M535" s="10" t="n">
        <f aca="false">_xlfn.NUMBERVALUE("" &amp; K535 &amp; "",".",",")</f>
        <v>0.412580623611111</v>
      </c>
      <c r="N535" s="10"/>
      <c r="O535" s="0" t="str">
        <f aca="false">VLOOKUP(C535,statusdetails!$A:$D,4,0)</f>
        <v>READY</v>
      </c>
    </row>
    <row r="536" customFormat="false" ht="12.8" hidden="true" customHeight="false" outlineLevel="0" collapsed="false">
      <c r="A536" s="0" t="n">
        <v>466642</v>
      </c>
      <c r="B536" s="0" t="n">
        <v>466642</v>
      </c>
      <c r="C536" s="0" t="n">
        <v>1</v>
      </c>
      <c r="D536" s="0" t="n">
        <v>6</v>
      </c>
      <c r="E536" s="0" t="n">
        <v>260</v>
      </c>
      <c r="F536" s="0" t="n">
        <v>66</v>
      </c>
      <c r="G536" s="0" t="n">
        <v>113</v>
      </c>
      <c r="H536" s="0" t="s">
        <v>1036</v>
      </c>
      <c r="I536" s="0" t="s">
        <v>1090</v>
      </c>
      <c r="J536" s="9" t="n">
        <v>45902</v>
      </c>
      <c r="K536" s="0" t="s">
        <v>1091</v>
      </c>
      <c r="L536" s="0" t="n">
        <v>18</v>
      </c>
      <c r="M536" s="10" t="n">
        <f aca="false">_xlfn.NUMBERVALUE("" &amp; K536 &amp; "",".",",")</f>
        <v>0.478998400277778</v>
      </c>
      <c r="N536" s="10"/>
      <c r="O536" s="0" t="str">
        <f aca="false">VLOOKUP(C536,statusdetails!$A:$D,4,0)</f>
        <v>READY</v>
      </c>
    </row>
    <row r="537" customFormat="false" ht="12.8" hidden="true" customHeight="false" outlineLevel="0" collapsed="false">
      <c r="A537" s="0" t="n">
        <v>466643</v>
      </c>
      <c r="B537" s="0" t="n">
        <v>466643</v>
      </c>
      <c r="C537" s="0" t="n">
        <v>3</v>
      </c>
      <c r="D537" s="0" t="n">
        <v>14</v>
      </c>
      <c r="E537" s="0" t="n">
        <v>1785</v>
      </c>
      <c r="F537" s="0" t="n">
        <v>37</v>
      </c>
      <c r="G537" s="0" t="n">
        <v>74</v>
      </c>
      <c r="H537" s="0" t="s">
        <v>748</v>
      </c>
      <c r="I537" s="0" t="s">
        <v>1092</v>
      </c>
      <c r="J537" s="9" t="n">
        <v>45902</v>
      </c>
      <c r="K537" s="0" t="s">
        <v>1093</v>
      </c>
      <c r="L537" s="0" t="n">
        <v>18</v>
      </c>
      <c r="M537" s="10" t="n">
        <f aca="false">_xlfn.NUMBERVALUE("" &amp; K537 &amp; "",".",",")</f>
        <v>0.732171111111111</v>
      </c>
      <c r="N537" s="10"/>
      <c r="O537" s="0" t="str">
        <f aca="false">VLOOKUP(C537,statusdetails!$A:$D,4,0)</f>
        <v>STANDBY</v>
      </c>
      <c r="P537" s="0" t="str">
        <f aca="false">VLOOKUP(F537,equipment!$A:$E,4,0)</f>
        <v>DZ201</v>
      </c>
      <c r="Q537" s="0" t="str">
        <f aca="false">VLOOKUP(F537,equipment!$A:$E,5,0)</f>
        <v>DZ201 - 37</v>
      </c>
    </row>
    <row r="538" customFormat="false" ht="12.8" hidden="true" customHeight="false" outlineLevel="0" collapsed="false">
      <c r="A538" s="0" t="n">
        <v>466644</v>
      </c>
      <c r="B538" s="0" t="n">
        <v>466644</v>
      </c>
      <c r="C538" s="0" t="n">
        <v>2</v>
      </c>
      <c r="D538" s="0" t="n">
        <v>9</v>
      </c>
      <c r="E538" s="0" t="n">
        <v>1064</v>
      </c>
      <c r="F538" s="0" t="n">
        <v>43</v>
      </c>
      <c r="G538" s="0" t="n">
        <v>99</v>
      </c>
      <c r="H538" s="0" t="s">
        <v>1088</v>
      </c>
      <c r="I538" s="0" t="s">
        <v>1094</v>
      </c>
      <c r="J538" s="9" t="n">
        <v>45902</v>
      </c>
      <c r="K538" s="0" t="s">
        <v>1095</v>
      </c>
      <c r="L538" s="0" t="n">
        <v>18</v>
      </c>
      <c r="M538" s="3" t="n">
        <f aca="false">_xlfn.NUMBERVALUE("" &amp; K538 &amp; "",".",",")</f>
        <v>0.534413179444444</v>
      </c>
      <c r="O538" s="0" t="str">
        <f aca="false">VLOOKUP(C538,statusdetails!$A:$D,4,0)</f>
        <v>DELAY</v>
      </c>
    </row>
    <row r="539" customFormat="false" ht="12.8" hidden="true" customHeight="false" outlineLevel="0" collapsed="false">
      <c r="A539" s="0" t="n">
        <v>466645</v>
      </c>
      <c r="B539" s="0" t="n">
        <v>466645</v>
      </c>
      <c r="C539" s="0" t="n">
        <v>3</v>
      </c>
      <c r="D539" s="0" t="n">
        <v>12</v>
      </c>
      <c r="E539" s="0" t="n">
        <v>2422</v>
      </c>
      <c r="F539" s="0" t="n">
        <v>86</v>
      </c>
      <c r="G539" s="0" t="n">
        <v>0</v>
      </c>
      <c r="H539" s="0" t="s">
        <v>863</v>
      </c>
      <c r="I539" s="0" t="s">
        <v>1096</v>
      </c>
      <c r="J539" s="9" t="n">
        <v>45902</v>
      </c>
      <c r="K539" s="0" t="s">
        <v>1097</v>
      </c>
      <c r="L539" s="0" t="n">
        <v>18</v>
      </c>
      <c r="M539" s="10" t="n">
        <f aca="false">_xlfn.NUMBERVALUE("" &amp; K539 &amp; "",".",",")</f>
        <v>0.614876618333333</v>
      </c>
      <c r="N539" s="10"/>
      <c r="O539" s="0" t="str">
        <f aca="false">VLOOKUP(C539,statusdetails!$A:$D,4,0)</f>
        <v>STANDBY</v>
      </c>
      <c r="P539" s="0" t="str">
        <f aca="false">VLOOKUP(F539,equipment!$A:$E,4,0)</f>
        <v>CM03</v>
      </c>
      <c r="Q539" s="0" t="str">
        <f aca="false">VLOOKUP(F539,equipment!$A:$E,5,0)</f>
        <v>CM03 - 86</v>
      </c>
    </row>
    <row r="540" customFormat="false" ht="12.8" hidden="true" customHeight="false" outlineLevel="0" collapsed="false">
      <c r="A540" s="0" t="n">
        <v>466646</v>
      </c>
      <c r="B540" s="0" t="n">
        <v>466609</v>
      </c>
      <c r="C540" s="0" t="n">
        <v>1</v>
      </c>
      <c r="D540" s="0" t="n">
        <v>2303</v>
      </c>
      <c r="E540" s="0" t="n">
        <v>2549</v>
      </c>
      <c r="F540" s="0" t="n">
        <v>60</v>
      </c>
      <c r="G540" s="0" t="n">
        <v>163</v>
      </c>
      <c r="H540" s="11" t="n">
        <v>45902.6844791667</v>
      </c>
      <c r="I540" s="0" t="s">
        <v>1098</v>
      </c>
      <c r="J540" s="9" t="n">
        <v>45902</v>
      </c>
      <c r="K540" s="0" t="s">
        <v>1099</v>
      </c>
      <c r="L540" s="0" t="n">
        <v>16</v>
      </c>
      <c r="M540" s="10" t="n">
        <f aca="false">_xlfn.NUMBERVALUE("" &amp; K540 &amp; "",".",",")</f>
        <v>2.38685578888889</v>
      </c>
      <c r="N540" s="10"/>
      <c r="O540" s="0" t="str">
        <f aca="false">VLOOKUP(C540,statusdetails!$A:$D,4,0)</f>
        <v>READY</v>
      </c>
    </row>
    <row r="541" customFormat="false" ht="12.8" hidden="true" customHeight="false" outlineLevel="0" collapsed="false">
      <c r="A541" s="0" t="n">
        <v>466647</v>
      </c>
      <c r="B541" s="0" t="n">
        <v>466647</v>
      </c>
      <c r="C541" s="0" t="n">
        <v>2</v>
      </c>
      <c r="D541" s="0" t="n">
        <v>9</v>
      </c>
      <c r="E541" s="0" t="n">
        <v>2568</v>
      </c>
      <c r="F541" s="0" t="n">
        <v>66</v>
      </c>
      <c r="G541" s="0" t="n">
        <v>113</v>
      </c>
      <c r="H541" s="0" t="s">
        <v>1090</v>
      </c>
      <c r="I541" s="0" t="s">
        <v>1100</v>
      </c>
      <c r="J541" s="9" t="n">
        <v>45902</v>
      </c>
      <c r="K541" s="0" t="s">
        <v>1101</v>
      </c>
      <c r="L541" s="0" t="n">
        <v>18</v>
      </c>
      <c r="M541" s="3" t="n">
        <f aca="false">_xlfn.NUMBERVALUE("" &amp; K541 &amp; "",".",",")</f>
        <v>0.12464289</v>
      </c>
      <c r="O541" s="0" t="str">
        <f aca="false">VLOOKUP(C541,statusdetails!$A:$D,4,0)</f>
        <v>DELAY</v>
      </c>
    </row>
    <row r="542" customFormat="false" ht="12.8" hidden="true" customHeight="false" outlineLevel="0" collapsed="false">
      <c r="A542" s="0" t="n">
        <v>466648</v>
      </c>
      <c r="B542" s="0" t="n">
        <v>466648</v>
      </c>
      <c r="C542" s="0" t="n">
        <v>3</v>
      </c>
      <c r="D542" s="0" t="n">
        <v>14</v>
      </c>
      <c r="E542" s="0" t="n">
        <v>1789</v>
      </c>
      <c r="F542" s="0" t="n">
        <v>32</v>
      </c>
      <c r="G542" s="0" t="n">
        <v>94</v>
      </c>
      <c r="H542" s="0" t="s">
        <v>1058</v>
      </c>
      <c r="I542" s="0" t="s">
        <v>1102</v>
      </c>
      <c r="J542" s="9" t="n">
        <v>45902</v>
      </c>
      <c r="K542" s="0" t="s">
        <v>1103</v>
      </c>
      <c r="L542" s="0" t="n">
        <v>18</v>
      </c>
      <c r="M542" s="10" t="n">
        <f aca="false">_xlfn.NUMBERVALUE("" &amp; K542 &amp; "",".",",")</f>
        <v>0.106768010833333</v>
      </c>
      <c r="N542" s="10"/>
      <c r="O542" s="0" t="str">
        <f aca="false">VLOOKUP(C542,statusdetails!$A:$D,4,0)</f>
        <v>STANDBY</v>
      </c>
      <c r="P542" s="0" t="str">
        <f aca="false">VLOOKUP(F542,equipment!$A:$E,4,0)</f>
        <v>CM403</v>
      </c>
      <c r="Q542" s="0" t="str">
        <f aca="false">VLOOKUP(F542,equipment!$A:$E,5,0)</f>
        <v>CM403 - 32</v>
      </c>
    </row>
    <row r="543" customFormat="false" ht="12.8" hidden="true" customHeight="false" outlineLevel="0" collapsed="false">
      <c r="A543" s="0" t="n">
        <v>466649</v>
      </c>
      <c r="B543" s="0" t="n">
        <v>466649</v>
      </c>
      <c r="C543" s="0" t="n">
        <v>3</v>
      </c>
      <c r="D543" s="0" t="n">
        <v>14</v>
      </c>
      <c r="E543" s="0" t="n">
        <v>1790</v>
      </c>
      <c r="F543" s="0" t="n">
        <v>45</v>
      </c>
      <c r="G543" s="0" t="n">
        <v>0</v>
      </c>
      <c r="H543" s="0" t="s">
        <v>1066</v>
      </c>
      <c r="I543" s="0" t="s">
        <v>1104</v>
      </c>
      <c r="J543" s="9" t="n">
        <v>45902</v>
      </c>
      <c r="K543" s="0" t="s">
        <v>1105</v>
      </c>
      <c r="L543" s="0" t="n">
        <v>18</v>
      </c>
      <c r="M543" s="10" t="n">
        <f aca="false">_xlfn.NUMBERVALUE("" &amp; K543 &amp; "",".",",")</f>
        <v>0.112908101944444</v>
      </c>
      <c r="N543" s="10"/>
      <c r="O543" s="0" t="str">
        <f aca="false">VLOOKUP(C543,statusdetails!$A:$D,4,0)</f>
        <v>STANDBY</v>
      </c>
      <c r="P543" s="0" t="str">
        <f aca="false">VLOOKUP(F543,equipment!$A:$E,4,0)</f>
        <v>EX501</v>
      </c>
      <c r="Q543" s="0" t="str">
        <f aca="false">VLOOKUP(F543,equipment!$A:$E,5,0)</f>
        <v>EX501 - 45</v>
      </c>
    </row>
    <row r="544" customFormat="false" ht="12.8" hidden="true" customHeight="false" outlineLevel="0" collapsed="false">
      <c r="A544" s="0" t="n">
        <v>466650</v>
      </c>
      <c r="B544" s="0" t="n">
        <v>466650</v>
      </c>
      <c r="C544" s="0" t="n">
        <v>3</v>
      </c>
      <c r="D544" s="0" t="n">
        <v>12</v>
      </c>
      <c r="E544" s="0" t="n">
        <v>2453</v>
      </c>
      <c r="F544" s="0" t="n">
        <v>60</v>
      </c>
      <c r="G544" s="0" t="n">
        <v>163</v>
      </c>
      <c r="H544" s="0" t="s">
        <v>1098</v>
      </c>
      <c r="I544" s="0" t="s">
        <v>1106</v>
      </c>
      <c r="J544" s="9" t="n">
        <v>45902</v>
      </c>
      <c r="K544" s="0" t="s">
        <v>1107</v>
      </c>
      <c r="L544" s="0" t="n">
        <v>18</v>
      </c>
      <c r="M544" s="10" t="n">
        <f aca="false">_xlfn.NUMBERVALUE("" &amp; K544 &amp; "",".",",")</f>
        <v>12.7217485761111</v>
      </c>
      <c r="N544" s="10"/>
      <c r="O544" s="0" t="str">
        <f aca="false">VLOOKUP(C544,statusdetails!$A:$D,4,0)</f>
        <v>STANDBY</v>
      </c>
      <c r="P544" s="0" t="str">
        <f aca="false">VLOOKUP(F544,equipment!$A:$E,4,0)</f>
        <v>EX802</v>
      </c>
      <c r="Q544" s="0" t="str">
        <f aca="false">VLOOKUP(F544,equipment!$A:$E,5,0)</f>
        <v>EX802 - 60</v>
      </c>
    </row>
    <row r="545" customFormat="false" ht="12.8" hidden="true" customHeight="false" outlineLevel="0" collapsed="false">
      <c r="A545" s="0" t="n">
        <v>466651</v>
      </c>
      <c r="B545" s="0" t="n">
        <v>466651</v>
      </c>
      <c r="C545" s="0" t="n">
        <v>3</v>
      </c>
      <c r="D545" s="0" t="n">
        <v>14</v>
      </c>
      <c r="E545" s="0" t="n">
        <v>2406</v>
      </c>
      <c r="F545" s="0" t="n">
        <v>85</v>
      </c>
      <c r="G545" s="0" t="n">
        <v>22</v>
      </c>
      <c r="H545" s="0" t="s">
        <v>1072</v>
      </c>
      <c r="I545" s="0" t="s">
        <v>1108</v>
      </c>
      <c r="J545" s="9" t="n">
        <v>45902</v>
      </c>
      <c r="K545" s="0" t="s">
        <v>1109</v>
      </c>
      <c r="L545" s="0" t="n">
        <v>18</v>
      </c>
      <c r="M545" s="10" t="n">
        <f aca="false">_xlfn.NUMBERVALUE("" &amp; K545 &amp; "",".",",")</f>
        <v>0.151561597777778</v>
      </c>
      <c r="N545" s="10"/>
      <c r="O545" s="0" t="str">
        <f aca="false">VLOOKUP(C545,statusdetails!$A:$D,4,0)</f>
        <v>STANDBY</v>
      </c>
      <c r="P545" s="0" t="str">
        <f aca="false">VLOOKUP(F545,equipment!$A:$E,4,0)</f>
        <v>CM02</v>
      </c>
      <c r="Q545" s="0" t="str">
        <f aca="false">VLOOKUP(F545,equipment!$A:$E,5,0)</f>
        <v>CM02 - 85</v>
      </c>
    </row>
    <row r="546" customFormat="false" ht="12.8" hidden="true" customHeight="false" outlineLevel="0" collapsed="false">
      <c r="A546" s="0" t="n">
        <v>466652</v>
      </c>
      <c r="B546" s="0" t="n">
        <v>466652</v>
      </c>
      <c r="C546" s="0" t="n">
        <v>3</v>
      </c>
      <c r="D546" s="0" t="n">
        <v>14</v>
      </c>
      <c r="E546" s="0" t="n">
        <v>2406</v>
      </c>
      <c r="F546" s="0" t="n">
        <v>88</v>
      </c>
      <c r="G546" s="0" t="n">
        <v>142</v>
      </c>
      <c r="H546" s="0" t="s">
        <v>1068</v>
      </c>
      <c r="I546" s="0" t="s">
        <v>1110</v>
      </c>
      <c r="J546" s="9" t="n">
        <v>45902</v>
      </c>
      <c r="K546" s="0" t="s">
        <v>1111</v>
      </c>
      <c r="L546" s="0" t="n">
        <v>18</v>
      </c>
      <c r="M546" s="10" t="n">
        <f aca="false">_xlfn.NUMBERVALUE("" &amp; K546 &amp; "",".",",")</f>
        <v>0.0943304969444444</v>
      </c>
      <c r="N546" s="10"/>
      <c r="O546" s="0" t="str">
        <f aca="false">VLOOKUP(C546,statusdetails!$A:$D,4,0)</f>
        <v>STANDBY</v>
      </c>
      <c r="P546" s="0" t="str">
        <f aca="false">VLOOKUP(F546,equipment!$A:$E,4,0)</f>
        <v>CM05</v>
      </c>
      <c r="Q546" s="0" t="str">
        <f aca="false">VLOOKUP(F546,equipment!$A:$E,5,0)</f>
        <v>CM05 - 88</v>
      </c>
    </row>
    <row r="547" customFormat="false" ht="12.8" hidden="true" customHeight="false" outlineLevel="0" collapsed="false">
      <c r="A547" s="0" t="n">
        <v>466653</v>
      </c>
      <c r="B547" s="0" t="n">
        <v>466653</v>
      </c>
      <c r="C547" s="0" t="n">
        <v>3</v>
      </c>
      <c r="D547" s="0" t="n">
        <v>14</v>
      </c>
      <c r="E547" s="0" t="n">
        <v>2406</v>
      </c>
      <c r="F547" s="0" t="n">
        <v>87</v>
      </c>
      <c r="G547" s="0" t="n">
        <v>143</v>
      </c>
      <c r="H547" s="0" t="s">
        <v>1017</v>
      </c>
      <c r="I547" s="0" t="s">
        <v>1112</v>
      </c>
      <c r="J547" s="9" t="n">
        <v>45902</v>
      </c>
      <c r="K547" s="0" t="s">
        <v>1113</v>
      </c>
      <c r="L547" s="0" t="n">
        <v>18</v>
      </c>
      <c r="M547" s="10" t="n">
        <f aca="false">_xlfn.NUMBERVALUE("" &amp; K547 &amp; "",".",",")</f>
        <v>0.138571191944444</v>
      </c>
      <c r="N547" s="10"/>
      <c r="O547" s="0" t="str">
        <f aca="false">VLOOKUP(C547,statusdetails!$A:$D,4,0)</f>
        <v>STANDBY</v>
      </c>
      <c r="P547" s="0" t="str">
        <f aca="false">VLOOKUP(F547,equipment!$A:$E,4,0)</f>
        <v>CM04</v>
      </c>
      <c r="Q547" s="0" t="str">
        <f aca="false">VLOOKUP(F547,equipment!$A:$E,5,0)</f>
        <v>CM04 - 87</v>
      </c>
    </row>
    <row r="548" customFormat="false" ht="12.8" hidden="true" customHeight="false" outlineLevel="0" collapsed="false">
      <c r="A548" s="0" t="n">
        <v>466654</v>
      </c>
      <c r="B548" s="0" t="n">
        <v>466654</v>
      </c>
      <c r="C548" s="0" t="n">
        <v>3</v>
      </c>
      <c r="D548" s="0" t="n">
        <v>14</v>
      </c>
      <c r="E548" s="0" t="n">
        <v>2392</v>
      </c>
      <c r="F548" s="0" t="n">
        <v>96</v>
      </c>
      <c r="G548" s="0" t="n">
        <v>124</v>
      </c>
      <c r="H548" s="0" t="s">
        <v>1084</v>
      </c>
      <c r="I548" s="0" t="s">
        <v>1114</v>
      </c>
      <c r="J548" s="9" t="n">
        <v>45902</v>
      </c>
      <c r="K548" s="0" t="s">
        <v>1115</v>
      </c>
      <c r="L548" s="0" t="n">
        <v>18</v>
      </c>
      <c r="M548" s="10" t="n">
        <f aca="false">_xlfn.NUMBERVALUE("" &amp; K548 &amp; "",".",",")</f>
        <v>0.134113812777778</v>
      </c>
      <c r="N548" s="10"/>
      <c r="O548" s="0" t="str">
        <f aca="false">VLOOKUP(C548,statusdetails!$A:$D,4,0)</f>
        <v>STANDBY</v>
      </c>
      <c r="P548" s="0" t="str">
        <f aca="false">VLOOKUP(F548,equipment!$A:$E,4,0)</f>
        <v>EX503</v>
      </c>
      <c r="Q548" s="0" t="str">
        <f aca="false">VLOOKUP(F548,equipment!$A:$E,5,0)</f>
        <v>EX503 - 96</v>
      </c>
    </row>
    <row r="549" customFormat="false" ht="12.8" hidden="true" customHeight="false" outlineLevel="0" collapsed="false">
      <c r="A549" s="0" t="n">
        <v>466655</v>
      </c>
      <c r="B549" s="0" t="n">
        <v>466655</v>
      </c>
      <c r="C549" s="0" t="n">
        <v>3</v>
      </c>
      <c r="D549" s="0" t="n">
        <v>12</v>
      </c>
      <c r="E549" s="0" t="n">
        <v>1175</v>
      </c>
      <c r="F549" s="0" t="n">
        <v>74</v>
      </c>
      <c r="G549" s="0" t="n">
        <v>0</v>
      </c>
      <c r="H549" s="0" t="s">
        <v>762</v>
      </c>
      <c r="I549" s="0" t="s">
        <v>1116</v>
      </c>
      <c r="J549" s="9" t="n">
        <v>45902</v>
      </c>
      <c r="K549" s="0" t="s">
        <v>1117</v>
      </c>
      <c r="L549" s="0" t="n">
        <v>18</v>
      </c>
      <c r="M549" s="10" t="n">
        <f aca="false">_xlfn.NUMBERVALUE("" &amp; K549 &amp; "",".",",")</f>
        <v>16.32282772</v>
      </c>
      <c r="N549" s="10"/>
      <c r="O549" s="0" t="str">
        <f aca="false">VLOOKUP(C549,statusdetails!$A:$D,4,0)</f>
        <v>STANDBY</v>
      </c>
      <c r="P549" s="0" t="str">
        <f aca="false">VLOOKUP(F549,equipment!$A:$E,4,0)</f>
        <v>CR701</v>
      </c>
      <c r="Q549" s="0" t="str">
        <f aca="false">VLOOKUP(F549,equipment!$A:$E,5,0)</f>
        <v>CR701 - 74</v>
      </c>
    </row>
    <row r="550" customFormat="false" ht="12.8" hidden="true" customHeight="false" outlineLevel="0" collapsed="false">
      <c r="A550" s="0" t="n">
        <v>466656</v>
      </c>
      <c r="B550" s="0" t="n">
        <v>466656</v>
      </c>
      <c r="C550" s="0" t="n">
        <v>3</v>
      </c>
      <c r="D550" s="0" t="n">
        <v>12</v>
      </c>
      <c r="E550" s="0" t="n">
        <v>1175</v>
      </c>
      <c r="F550" s="0" t="n">
        <v>49</v>
      </c>
      <c r="G550" s="0" t="n">
        <v>0</v>
      </c>
      <c r="H550" s="0" t="s">
        <v>999</v>
      </c>
      <c r="I550" s="0" t="s">
        <v>1118</v>
      </c>
      <c r="J550" s="9" t="n">
        <v>45902</v>
      </c>
      <c r="K550" s="0" t="s">
        <v>1119</v>
      </c>
      <c r="L550" s="0" t="n">
        <v>18</v>
      </c>
      <c r="M550" s="10" t="n">
        <f aca="false">_xlfn.NUMBERVALUE("" &amp; K550 &amp; "",".",",")</f>
        <v>22.8097517663889</v>
      </c>
      <c r="N550" s="10"/>
      <c r="O550" s="0" t="str">
        <f aca="false">VLOOKUP(C550,statusdetails!$A:$D,4,0)</f>
        <v>STANDBY</v>
      </c>
      <c r="P550" s="0" t="str">
        <f aca="false">VLOOKUP(F550,equipment!$A:$E,4,0)</f>
        <v>CR702</v>
      </c>
      <c r="Q550" s="0" t="str">
        <f aca="false">VLOOKUP(F550,equipment!$A:$E,5,0)</f>
        <v>CR702 - 49</v>
      </c>
    </row>
    <row r="551" customFormat="false" ht="12.8" hidden="true" customHeight="false" outlineLevel="0" collapsed="false">
      <c r="A551" s="0" t="n">
        <v>466657</v>
      </c>
      <c r="B551" s="0" t="n">
        <v>466657</v>
      </c>
      <c r="C551" s="0" t="n">
        <v>3</v>
      </c>
      <c r="D551" s="0" t="n">
        <v>14</v>
      </c>
      <c r="E551" s="0" t="n">
        <v>1785</v>
      </c>
      <c r="F551" s="0" t="n">
        <v>91</v>
      </c>
      <c r="G551" s="0" t="n">
        <v>64</v>
      </c>
      <c r="H551" s="0" t="s">
        <v>742</v>
      </c>
      <c r="I551" s="0" t="s">
        <v>1120</v>
      </c>
      <c r="J551" s="9" t="n">
        <v>45902</v>
      </c>
      <c r="K551" s="0" t="s">
        <v>1121</v>
      </c>
      <c r="L551" s="0" t="n">
        <v>18</v>
      </c>
      <c r="M551" s="10" t="n">
        <f aca="false">_xlfn.NUMBERVALUE("" &amp; K551 &amp; "",".",",")</f>
        <v>0.189846017222222</v>
      </c>
      <c r="N551" s="10"/>
      <c r="O551" s="0" t="str">
        <f aca="false">VLOOKUP(C551,statusdetails!$A:$D,4,0)</f>
        <v>STANDBY</v>
      </c>
      <c r="P551" s="0" t="str">
        <f aca="false">VLOOKUP(F551,equipment!$A:$E,4,0)</f>
        <v>DZ205</v>
      </c>
      <c r="Q551" s="0" t="str">
        <f aca="false">VLOOKUP(F551,equipment!$A:$E,5,0)</f>
        <v>DZ205 - 91</v>
      </c>
    </row>
    <row r="552" customFormat="false" ht="12.8" hidden="true" customHeight="false" outlineLevel="0" collapsed="false">
      <c r="A552" s="0" t="n">
        <v>466658</v>
      </c>
      <c r="B552" s="0" t="n">
        <v>466658</v>
      </c>
      <c r="C552" s="0" t="n">
        <v>3</v>
      </c>
      <c r="D552" s="0" t="n">
        <v>14</v>
      </c>
      <c r="E552" s="0" t="n">
        <v>1789</v>
      </c>
      <c r="F552" s="0" t="n">
        <v>35</v>
      </c>
      <c r="G552" s="0" t="n">
        <v>126</v>
      </c>
      <c r="H552" s="0" t="s">
        <v>1045</v>
      </c>
      <c r="I552" s="0" t="s">
        <v>1122</v>
      </c>
      <c r="J552" s="9" t="n">
        <v>45902</v>
      </c>
      <c r="K552" s="0" t="s">
        <v>1123</v>
      </c>
      <c r="L552" s="0" t="n">
        <v>18</v>
      </c>
      <c r="M552" s="10" t="n">
        <f aca="false">_xlfn.NUMBERVALUE("" &amp; K552 &amp; "",".",",")</f>
        <v>0.121808829722222</v>
      </c>
      <c r="N552" s="10"/>
      <c r="O552" s="0" t="str">
        <f aca="false">VLOOKUP(C552,statusdetails!$A:$D,4,0)</f>
        <v>STANDBY</v>
      </c>
      <c r="P552" s="0" t="str">
        <f aca="false">VLOOKUP(F552,equipment!$A:$E,4,0)</f>
        <v>CM405</v>
      </c>
      <c r="Q552" s="0" t="str">
        <f aca="false">VLOOKUP(F552,equipment!$A:$E,5,0)</f>
        <v>CM405 - 35</v>
      </c>
    </row>
    <row r="553" customFormat="false" ht="12.8" hidden="true" customHeight="false" outlineLevel="0" collapsed="false">
      <c r="A553" s="0" t="n">
        <v>466659</v>
      </c>
      <c r="B553" s="0" t="n">
        <v>466659</v>
      </c>
      <c r="C553" s="0" t="n">
        <v>3</v>
      </c>
      <c r="D553" s="0" t="n">
        <v>14</v>
      </c>
      <c r="E553" s="0" t="n">
        <v>2406</v>
      </c>
      <c r="F553" s="0" t="n">
        <v>89</v>
      </c>
      <c r="G553" s="0" t="n">
        <v>129</v>
      </c>
      <c r="H553" s="0" t="s">
        <v>1064</v>
      </c>
      <c r="I553" s="0" t="s">
        <v>1124</v>
      </c>
      <c r="J553" s="9" t="n">
        <v>45902</v>
      </c>
      <c r="K553" s="0" t="s">
        <v>1125</v>
      </c>
      <c r="L553" s="0" t="n">
        <v>18</v>
      </c>
      <c r="M553" s="10" t="n">
        <f aca="false">_xlfn.NUMBERVALUE("" &amp; K553 &amp; "",".",",")</f>
        <v>0.0803989022222222</v>
      </c>
      <c r="N553" s="10"/>
      <c r="O553" s="0" t="str">
        <f aca="false">VLOOKUP(C553,statusdetails!$A:$D,4,0)</f>
        <v>STANDBY</v>
      </c>
      <c r="P553" s="0" t="str">
        <f aca="false">VLOOKUP(F553,equipment!$A:$E,4,0)</f>
        <v>CM06</v>
      </c>
      <c r="Q553" s="0" t="str">
        <f aca="false">VLOOKUP(F553,equipment!$A:$E,5,0)</f>
        <v>CM06 - 89</v>
      </c>
    </row>
    <row r="554" customFormat="false" ht="12.8" hidden="true" customHeight="false" outlineLevel="0" collapsed="false">
      <c r="A554" s="0" t="n">
        <v>466660</v>
      </c>
      <c r="B554" s="0" t="n">
        <v>466660</v>
      </c>
      <c r="C554" s="0" t="n">
        <v>3</v>
      </c>
      <c r="D554" s="0" t="n">
        <v>14</v>
      </c>
      <c r="E554" s="0" t="n">
        <v>2392</v>
      </c>
      <c r="F554" s="0" t="n">
        <v>82</v>
      </c>
      <c r="G554" s="0" t="n">
        <v>28</v>
      </c>
      <c r="H554" s="0" t="s">
        <v>1056</v>
      </c>
      <c r="I554" s="0" t="s">
        <v>1126</v>
      </c>
      <c r="J554" s="9" t="n">
        <v>45902</v>
      </c>
      <c r="K554" s="0" t="s">
        <v>1127</v>
      </c>
      <c r="L554" s="0" t="n">
        <v>18</v>
      </c>
      <c r="M554" s="10" t="n">
        <f aca="false">_xlfn.NUMBERVALUE("" &amp; K554 &amp; "",".",",")</f>
        <v>0.0296503669444444</v>
      </c>
      <c r="N554" s="10"/>
      <c r="O554" s="0" t="str">
        <f aca="false">VLOOKUP(C554,statusdetails!$A:$D,4,0)</f>
        <v>STANDBY</v>
      </c>
      <c r="P554" s="0" t="str">
        <f aca="false">VLOOKUP(F554,equipment!$A:$E,4,0)</f>
        <v>EX502</v>
      </c>
      <c r="Q554" s="0" t="str">
        <f aca="false">VLOOKUP(F554,equipment!$A:$E,5,0)</f>
        <v>EX502 - 82</v>
      </c>
    </row>
    <row r="555" customFormat="false" ht="12.8" hidden="true" customHeight="false" outlineLevel="0" collapsed="false">
      <c r="A555" s="0" t="n">
        <v>466661</v>
      </c>
      <c r="B555" s="0" t="n">
        <v>466661</v>
      </c>
      <c r="C555" s="0" t="n">
        <v>2</v>
      </c>
      <c r="D555" s="0" t="n">
        <v>9</v>
      </c>
      <c r="E555" s="0" t="n">
        <v>2632</v>
      </c>
      <c r="F555" s="0" t="n">
        <v>34</v>
      </c>
      <c r="G555" s="0" t="n">
        <v>119</v>
      </c>
      <c r="H555" s="0" t="s">
        <v>949</v>
      </c>
      <c r="I555" s="0" t="s">
        <v>1128</v>
      </c>
      <c r="J555" s="9" t="n">
        <v>45902</v>
      </c>
      <c r="K555" s="0" t="s">
        <v>1129</v>
      </c>
      <c r="L555" s="0" t="n">
        <v>18</v>
      </c>
      <c r="M555" s="3" t="n">
        <f aca="false">_xlfn.NUMBERVALUE("" &amp; K555 &amp; "",".",",")</f>
        <v>0.0736854608333333</v>
      </c>
      <c r="O555" s="0" t="str">
        <f aca="false">VLOOKUP(C555,statusdetails!$A:$D,4,0)</f>
        <v>DELAY</v>
      </c>
    </row>
    <row r="556" customFormat="false" ht="12.8" hidden="true" customHeight="false" outlineLevel="0" collapsed="false">
      <c r="A556" s="0" t="n">
        <v>466662</v>
      </c>
      <c r="B556" s="0" t="n">
        <v>466662</v>
      </c>
      <c r="C556" s="0" t="n">
        <v>1</v>
      </c>
      <c r="D556" s="0" t="n">
        <v>6</v>
      </c>
      <c r="E556" s="0" t="n">
        <v>260</v>
      </c>
      <c r="F556" s="0" t="n">
        <v>32</v>
      </c>
      <c r="G556" s="0" t="n">
        <v>20</v>
      </c>
      <c r="H556" s="0" t="s">
        <v>1102</v>
      </c>
      <c r="I556" s="0" t="s">
        <v>1130</v>
      </c>
      <c r="J556" s="9" t="n">
        <v>45902</v>
      </c>
      <c r="K556" s="0" t="s">
        <v>1131</v>
      </c>
      <c r="L556" s="0" t="n">
        <v>18</v>
      </c>
      <c r="M556" s="10" t="n">
        <f aca="false">_xlfn.NUMBERVALUE("" &amp; K556 &amp; "",".",",")</f>
        <v>0.109365506111111</v>
      </c>
      <c r="N556" s="10"/>
      <c r="O556" s="0" t="str">
        <f aca="false">VLOOKUP(C556,statusdetails!$A:$D,4,0)</f>
        <v>READY</v>
      </c>
    </row>
    <row r="557" customFormat="false" ht="12.8" hidden="true" customHeight="false" outlineLevel="0" collapsed="false">
      <c r="A557" s="0" t="n">
        <v>466663</v>
      </c>
      <c r="B557" s="0" t="n">
        <v>466663</v>
      </c>
      <c r="C557" s="0" t="n">
        <v>1</v>
      </c>
      <c r="D557" s="0" t="n">
        <v>6</v>
      </c>
      <c r="E557" s="0" t="n">
        <v>138</v>
      </c>
      <c r="F557" s="0" t="n">
        <v>45</v>
      </c>
      <c r="G557" s="0" t="n">
        <v>0</v>
      </c>
      <c r="H557" s="0" t="s">
        <v>1104</v>
      </c>
      <c r="I557" s="0" t="s">
        <v>1132</v>
      </c>
      <c r="J557" s="9" t="n">
        <v>45902</v>
      </c>
      <c r="K557" s="0" t="s">
        <v>1133</v>
      </c>
      <c r="L557" s="0" t="n">
        <v>18</v>
      </c>
      <c r="M557" s="10" t="n">
        <f aca="false">_xlfn.NUMBERVALUE("" &amp; K557 &amp; "",".",",")</f>
        <v>5.29757565944444</v>
      </c>
      <c r="N557" s="10"/>
      <c r="O557" s="0" t="str">
        <f aca="false">VLOOKUP(C557,statusdetails!$A:$D,4,0)</f>
        <v>READY</v>
      </c>
    </row>
    <row r="558" customFormat="false" ht="12.8" hidden="true" customHeight="false" outlineLevel="0" collapsed="false">
      <c r="A558" s="0" t="n">
        <v>466664</v>
      </c>
      <c r="B558" s="0" t="n">
        <v>466664</v>
      </c>
      <c r="C558" s="0" t="n">
        <v>1</v>
      </c>
      <c r="D558" s="0" t="n">
        <v>6</v>
      </c>
      <c r="E558" s="0" t="n">
        <v>260</v>
      </c>
      <c r="F558" s="0" t="n">
        <v>66</v>
      </c>
      <c r="G558" s="0" t="n">
        <v>116</v>
      </c>
      <c r="H558" s="0" t="s">
        <v>1100</v>
      </c>
      <c r="I558" s="0" t="s">
        <v>1134</v>
      </c>
      <c r="J558" s="9" t="n">
        <v>45902</v>
      </c>
      <c r="K558" s="0" t="s">
        <v>1135</v>
      </c>
      <c r="L558" s="0" t="n">
        <v>18</v>
      </c>
      <c r="M558" s="10" t="n">
        <f aca="false">_xlfn.NUMBERVALUE("" &amp; K558 &amp; "",".",",")</f>
        <v>1.26862851916667</v>
      </c>
      <c r="N558" s="10"/>
      <c r="O558" s="0" t="str">
        <f aca="false">VLOOKUP(C558,statusdetails!$A:$D,4,0)</f>
        <v>READY</v>
      </c>
    </row>
    <row r="559" customFormat="false" ht="12.8" hidden="true" customHeight="false" outlineLevel="0" collapsed="false">
      <c r="A559" s="0" t="n">
        <v>466665</v>
      </c>
      <c r="B559" s="0" t="n">
        <v>466665</v>
      </c>
      <c r="C559" s="0" t="n">
        <v>1</v>
      </c>
      <c r="D559" s="0" t="n">
        <v>6</v>
      </c>
      <c r="E559" s="0" t="n">
        <v>2518</v>
      </c>
      <c r="F559" s="0" t="n">
        <v>82</v>
      </c>
      <c r="G559" s="0" t="n">
        <v>28</v>
      </c>
      <c r="H559" s="0" t="s">
        <v>1126</v>
      </c>
      <c r="I559" s="0" t="s">
        <v>1136</v>
      </c>
      <c r="J559" s="9" t="n">
        <v>45902</v>
      </c>
      <c r="K559" s="0" t="s">
        <v>1137</v>
      </c>
      <c r="L559" s="0" t="n">
        <v>18</v>
      </c>
      <c r="M559" s="10" t="n">
        <f aca="false">_xlfn.NUMBERVALUE("" &amp; K559 &amp; "",".",",")</f>
        <v>1.13719011055556</v>
      </c>
      <c r="N559" s="10"/>
      <c r="O559" s="0" t="str">
        <f aca="false">VLOOKUP(C559,statusdetails!$A:$D,4,0)</f>
        <v>READY</v>
      </c>
    </row>
    <row r="560" customFormat="false" ht="12.8" hidden="true" customHeight="false" outlineLevel="0" collapsed="false">
      <c r="A560" s="0" t="n">
        <v>466666</v>
      </c>
      <c r="B560" s="0" t="n">
        <v>466666</v>
      </c>
      <c r="C560" s="0" t="n">
        <v>1</v>
      </c>
      <c r="D560" s="0" t="n">
        <v>6</v>
      </c>
      <c r="E560" s="0" t="n">
        <v>2404</v>
      </c>
      <c r="F560" s="0" t="n">
        <v>88</v>
      </c>
      <c r="G560" s="0" t="n">
        <v>131</v>
      </c>
      <c r="H560" s="0" t="s">
        <v>1110</v>
      </c>
      <c r="I560" s="0" t="s">
        <v>1138</v>
      </c>
      <c r="J560" s="9" t="n">
        <v>45902</v>
      </c>
      <c r="K560" s="0" t="s">
        <v>1139</v>
      </c>
      <c r="L560" s="0" t="n">
        <v>18</v>
      </c>
      <c r="M560" s="10" t="n">
        <f aca="false">_xlfn.NUMBERVALUE("" &amp; K560 &amp; "",".",",")</f>
        <v>0.158270953888889</v>
      </c>
      <c r="N560" s="10"/>
      <c r="O560" s="0" t="str">
        <f aca="false">VLOOKUP(C560,statusdetails!$A:$D,4,0)</f>
        <v>READY</v>
      </c>
    </row>
    <row r="561" customFormat="false" ht="12.8" hidden="true" customHeight="false" outlineLevel="0" collapsed="false">
      <c r="A561" s="0" t="n">
        <v>466667</v>
      </c>
      <c r="B561" s="0" t="n">
        <v>466667</v>
      </c>
      <c r="C561" s="0" t="n">
        <v>1</v>
      </c>
      <c r="D561" s="0" t="n">
        <v>6</v>
      </c>
      <c r="E561" s="0" t="n">
        <v>2518</v>
      </c>
      <c r="F561" s="0" t="n">
        <v>96</v>
      </c>
      <c r="G561" s="0" t="n">
        <v>124</v>
      </c>
      <c r="H561" s="0" t="s">
        <v>1114</v>
      </c>
      <c r="I561" s="0" t="s">
        <v>1140</v>
      </c>
      <c r="J561" s="9" t="n">
        <v>45902</v>
      </c>
      <c r="K561" s="0" t="s">
        <v>1141</v>
      </c>
      <c r="L561" s="0" t="n">
        <v>18</v>
      </c>
      <c r="M561" s="10" t="n">
        <f aca="false">_xlfn.NUMBERVALUE("" &amp; K561 &amp; "",".",",")</f>
        <v>4.81652807833333</v>
      </c>
      <c r="N561" s="10"/>
      <c r="O561" s="0" t="str">
        <f aca="false">VLOOKUP(C561,statusdetails!$A:$D,4,0)</f>
        <v>READY</v>
      </c>
    </row>
    <row r="562" customFormat="false" ht="12.8" hidden="true" customHeight="false" outlineLevel="0" collapsed="false">
      <c r="A562" s="0" t="n">
        <v>466668</v>
      </c>
      <c r="B562" s="0" t="n">
        <v>466668</v>
      </c>
      <c r="C562" s="0" t="n">
        <v>1</v>
      </c>
      <c r="D562" s="0" t="n">
        <v>6</v>
      </c>
      <c r="E562" s="0" t="n">
        <v>2404</v>
      </c>
      <c r="F562" s="0" t="n">
        <v>85</v>
      </c>
      <c r="G562" s="0" t="n">
        <v>22</v>
      </c>
      <c r="H562" s="0" t="s">
        <v>1108</v>
      </c>
      <c r="I562" s="0" t="s">
        <v>1142</v>
      </c>
      <c r="J562" s="9" t="n">
        <v>45902</v>
      </c>
      <c r="K562" s="0" t="s">
        <v>1143</v>
      </c>
      <c r="L562" s="0" t="n">
        <v>18</v>
      </c>
      <c r="M562" s="10" t="n">
        <f aca="false">_xlfn.NUMBERVALUE("" &amp; K562 &amp; "",".",",")</f>
        <v>4.83546857166667</v>
      </c>
      <c r="N562" s="10"/>
      <c r="O562" s="0" t="str">
        <f aca="false">VLOOKUP(C562,statusdetails!$A:$D,4,0)</f>
        <v>READY</v>
      </c>
    </row>
    <row r="563" customFormat="false" ht="12.8" hidden="true" customHeight="false" outlineLevel="0" collapsed="false">
      <c r="A563" s="0" t="n">
        <v>466669</v>
      </c>
      <c r="B563" s="0" t="n">
        <v>466669</v>
      </c>
      <c r="C563" s="0" t="n">
        <v>1</v>
      </c>
      <c r="D563" s="0" t="n">
        <v>6</v>
      </c>
      <c r="E563" s="0" t="n">
        <v>260</v>
      </c>
      <c r="F563" s="0" t="n">
        <v>35</v>
      </c>
      <c r="G563" s="0" t="n">
        <v>112</v>
      </c>
      <c r="H563" s="0" t="s">
        <v>1122</v>
      </c>
      <c r="I563" s="0" t="s">
        <v>1144</v>
      </c>
      <c r="J563" s="9" t="n">
        <v>45902</v>
      </c>
      <c r="K563" s="0" t="s">
        <v>1145</v>
      </c>
      <c r="L563" s="0" t="n">
        <v>18</v>
      </c>
      <c r="M563" s="10" t="n">
        <f aca="false">_xlfn.NUMBERVALUE("" &amp; K563 &amp; "",".",",")</f>
        <v>5.23805598555556</v>
      </c>
      <c r="N563" s="10"/>
      <c r="O563" s="0" t="str">
        <f aca="false">VLOOKUP(C563,statusdetails!$A:$D,4,0)</f>
        <v>READY</v>
      </c>
    </row>
    <row r="564" customFormat="false" ht="12.8" hidden="true" customHeight="false" outlineLevel="0" collapsed="false">
      <c r="A564" s="0" t="n">
        <v>466670</v>
      </c>
      <c r="B564" s="0" t="n">
        <v>466670</v>
      </c>
      <c r="C564" s="0" t="n">
        <v>1</v>
      </c>
      <c r="D564" s="0" t="n">
        <v>6</v>
      </c>
      <c r="E564" s="0" t="n">
        <v>2404</v>
      </c>
      <c r="F564" s="0" t="n">
        <v>87</v>
      </c>
      <c r="G564" s="0" t="n">
        <v>143</v>
      </c>
      <c r="H564" s="0" t="s">
        <v>1112</v>
      </c>
      <c r="I564" s="0" t="s">
        <v>1146</v>
      </c>
      <c r="J564" s="9" t="n">
        <v>45902</v>
      </c>
      <c r="K564" s="0" t="s">
        <v>1147</v>
      </c>
      <c r="L564" s="0" t="n">
        <v>18</v>
      </c>
      <c r="M564" s="10" t="n">
        <f aca="false">_xlfn.NUMBERVALUE("" &amp; K564 &amp; "",".",",")</f>
        <v>4.85599541916667</v>
      </c>
      <c r="N564" s="10"/>
      <c r="O564" s="0" t="str">
        <f aca="false">VLOOKUP(C564,statusdetails!$A:$D,4,0)</f>
        <v>READY</v>
      </c>
    </row>
    <row r="565" customFormat="false" ht="12.8" hidden="true" customHeight="false" outlineLevel="0" collapsed="false">
      <c r="A565" s="0" t="n">
        <v>466671</v>
      </c>
      <c r="B565" s="0" t="n">
        <v>466671</v>
      </c>
      <c r="C565" s="0" t="n">
        <v>1</v>
      </c>
      <c r="D565" s="0" t="n">
        <v>6</v>
      </c>
      <c r="E565" s="0" t="n">
        <v>2404</v>
      </c>
      <c r="F565" s="0" t="n">
        <v>89</v>
      </c>
      <c r="G565" s="0" t="n">
        <v>129</v>
      </c>
      <c r="H565" s="0" t="s">
        <v>1124</v>
      </c>
      <c r="I565" s="0" t="s">
        <v>1148</v>
      </c>
      <c r="J565" s="9" t="n">
        <v>45902</v>
      </c>
      <c r="K565" s="0" t="s">
        <v>1149</v>
      </c>
      <c r="L565" s="0" t="n">
        <v>18</v>
      </c>
      <c r="M565" s="10" t="n">
        <f aca="false">_xlfn.NUMBERVALUE("" &amp; K565 &amp; "",".",",")</f>
        <v>4.80917402777778</v>
      </c>
      <c r="N565" s="10"/>
      <c r="O565" s="0" t="str">
        <f aca="false">VLOOKUP(C565,statusdetails!$A:$D,4,0)</f>
        <v>READY</v>
      </c>
    </row>
    <row r="566" customFormat="false" ht="12.8" hidden="true" customHeight="false" outlineLevel="0" collapsed="false">
      <c r="A566" s="0" t="n">
        <v>466672</v>
      </c>
      <c r="B566" s="0" t="n">
        <v>466672</v>
      </c>
      <c r="C566" s="0" t="n">
        <v>1</v>
      </c>
      <c r="D566" s="0" t="n">
        <v>6</v>
      </c>
      <c r="E566" s="0" t="n">
        <v>260</v>
      </c>
      <c r="F566" s="0" t="n">
        <v>34</v>
      </c>
      <c r="G566" s="0" t="n">
        <v>96</v>
      </c>
      <c r="H566" s="0" t="s">
        <v>1128</v>
      </c>
      <c r="I566" s="0" t="s">
        <v>1150</v>
      </c>
      <c r="J566" s="9" t="n">
        <v>45902</v>
      </c>
      <c r="K566" s="0" t="s">
        <v>1151</v>
      </c>
      <c r="L566" s="0" t="n">
        <v>18</v>
      </c>
      <c r="M566" s="10" t="n">
        <f aca="false">_xlfn.NUMBERVALUE("" &amp; K566 &amp; "",".",",")</f>
        <v>0.885395280833333</v>
      </c>
      <c r="N566" s="10"/>
      <c r="O566" s="0" t="str">
        <f aca="false">VLOOKUP(C566,statusdetails!$A:$D,4,0)</f>
        <v>READY</v>
      </c>
    </row>
    <row r="567" customFormat="false" ht="12.8" hidden="true" customHeight="false" outlineLevel="0" collapsed="false">
      <c r="A567" s="0" t="n">
        <v>466673</v>
      </c>
      <c r="B567" s="0" t="n">
        <v>466673</v>
      </c>
      <c r="C567" s="0" t="n">
        <v>2</v>
      </c>
      <c r="D567" s="0" t="n">
        <v>9</v>
      </c>
      <c r="E567" s="0" t="n">
        <v>1066</v>
      </c>
      <c r="F567" s="0" t="n">
        <v>32</v>
      </c>
      <c r="G567" s="0" t="n">
        <v>20</v>
      </c>
      <c r="H567" s="0" t="s">
        <v>1130</v>
      </c>
      <c r="I567" s="0" t="s">
        <v>1152</v>
      </c>
      <c r="J567" s="9" t="n">
        <v>45902</v>
      </c>
      <c r="K567" s="0" t="s">
        <v>1153</v>
      </c>
      <c r="L567" s="0" t="n">
        <v>19</v>
      </c>
      <c r="M567" s="3" t="n">
        <f aca="false">_xlfn.NUMBERVALUE("" &amp; K567 &amp; "",".",",")</f>
        <v>0.0526932352777778</v>
      </c>
      <c r="O567" s="0" t="str">
        <f aca="false">VLOOKUP(C567,statusdetails!$A:$D,4,0)</f>
        <v>DELAY</v>
      </c>
    </row>
    <row r="568" customFormat="false" ht="12.8" hidden="true" customHeight="false" outlineLevel="0" collapsed="false">
      <c r="A568" s="0" t="n">
        <v>466674</v>
      </c>
      <c r="B568" s="0" t="n">
        <v>466674</v>
      </c>
      <c r="C568" s="0" t="n">
        <v>1</v>
      </c>
      <c r="D568" s="0" t="n">
        <v>6</v>
      </c>
      <c r="E568" s="0" t="n">
        <v>372</v>
      </c>
      <c r="F568" s="0" t="n">
        <v>91</v>
      </c>
      <c r="G568" s="0" t="n">
        <v>64</v>
      </c>
      <c r="H568" s="0" t="s">
        <v>1120</v>
      </c>
      <c r="I568" s="11" t="n">
        <v>45902.8003587963</v>
      </c>
      <c r="J568" s="9" t="n">
        <v>45902</v>
      </c>
      <c r="K568" s="0" t="s">
        <v>1154</v>
      </c>
      <c r="L568" s="0" t="n">
        <v>19</v>
      </c>
      <c r="M568" s="10" t="n">
        <f aca="false">_xlfn.NUMBERVALUE("" &amp; K568 &amp; "",".",",")</f>
        <v>0.177785853333333</v>
      </c>
      <c r="N568" s="10"/>
      <c r="O568" s="0" t="str">
        <f aca="false">VLOOKUP(C568,statusdetails!$A:$D,4,0)</f>
        <v>READY</v>
      </c>
    </row>
    <row r="569" customFormat="false" ht="12.8" hidden="true" customHeight="false" outlineLevel="0" collapsed="false">
      <c r="A569" s="0" t="n">
        <v>466675</v>
      </c>
      <c r="B569" s="0" t="n">
        <v>466675</v>
      </c>
      <c r="C569" s="0" t="n">
        <v>1</v>
      </c>
      <c r="D569" s="0" t="n">
        <v>6</v>
      </c>
      <c r="E569" s="0" t="n">
        <v>586</v>
      </c>
      <c r="F569" s="0" t="n">
        <v>41</v>
      </c>
      <c r="G569" s="0" t="n">
        <v>58</v>
      </c>
      <c r="H569" s="0" t="s">
        <v>970</v>
      </c>
      <c r="I569" s="0" t="s">
        <v>1155</v>
      </c>
      <c r="J569" s="9" t="n">
        <v>45902</v>
      </c>
      <c r="K569" s="0" t="s">
        <v>1156</v>
      </c>
      <c r="L569" s="0" t="n">
        <v>19</v>
      </c>
      <c r="M569" s="10" t="n">
        <f aca="false">_xlfn.NUMBERVALUE("" &amp; K569 &amp; "",".",",")</f>
        <v>11.6020787197222</v>
      </c>
      <c r="N569" s="10"/>
      <c r="O569" s="0" t="str">
        <f aca="false">VLOOKUP(C569,statusdetails!$A:$D,4,0)</f>
        <v>READY</v>
      </c>
    </row>
    <row r="570" customFormat="false" ht="12.8" hidden="true" customHeight="false" outlineLevel="0" collapsed="false">
      <c r="A570" s="0" t="n">
        <v>466676</v>
      </c>
      <c r="B570" s="0" t="n">
        <v>466676</v>
      </c>
      <c r="C570" s="0" t="n">
        <v>1</v>
      </c>
      <c r="D570" s="0" t="n">
        <v>6</v>
      </c>
      <c r="E570" s="0" t="n">
        <v>811</v>
      </c>
      <c r="F570" s="0" t="n">
        <v>43</v>
      </c>
      <c r="G570" s="0" t="n">
        <v>35</v>
      </c>
      <c r="H570" s="0" t="s">
        <v>1094</v>
      </c>
      <c r="I570" s="0" t="s">
        <v>1157</v>
      </c>
      <c r="J570" s="9" t="n">
        <v>45902</v>
      </c>
      <c r="K570" s="0" t="s">
        <v>1158</v>
      </c>
      <c r="L570" s="0" t="n">
        <v>19</v>
      </c>
      <c r="M570" s="10" t="n">
        <f aca="false">_xlfn.NUMBERVALUE("" &amp; K570 &amp; "",".",",")</f>
        <v>0.8630185</v>
      </c>
      <c r="N570" s="10"/>
      <c r="O570" s="0" t="str">
        <f aca="false">VLOOKUP(C570,statusdetails!$A:$D,4,0)</f>
        <v>READY</v>
      </c>
    </row>
    <row r="571" customFormat="false" ht="12.8" hidden="true" customHeight="false" outlineLevel="0" collapsed="false">
      <c r="A571" s="0" t="n">
        <v>466677</v>
      </c>
      <c r="B571" s="0" t="n">
        <v>466677</v>
      </c>
      <c r="C571" s="0" t="n">
        <v>1</v>
      </c>
      <c r="D571" s="0" t="n">
        <v>6</v>
      </c>
      <c r="E571" s="0" t="n">
        <v>260</v>
      </c>
      <c r="F571" s="0" t="n">
        <v>32</v>
      </c>
      <c r="G571" s="0" t="n">
        <v>20</v>
      </c>
      <c r="H571" s="0" t="s">
        <v>1152</v>
      </c>
      <c r="I571" s="0" t="s">
        <v>1159</v>
      </c>
      <c r="J571" s="9" t="n">
        <v>45902</v>
      </c>
      <c r="K571" s="0" t="s">
        <v>1160</v>
      </c>
      <c r="L571" s="0" t="n">
        <v>19</v>
      </c>
      <c r="M571" s="10" t="n">
        <f aca="false">_xlfn.NUMBERVALUE("" &amp; K571 &amp; "",".",",")</f>
        <v>1.04693532583333</v>
      </c>
      <c r="N571" s="10"/>
      <c r="O571" s="0" t="str">
        <f aca="false">VLOOKUP(C571,statusdetails!$A:$D,4,0)</f>
        <v>READY</v>
      </c>
    </row>
    <row r="572" customFormat="false" ht="12.8" hidden="true" customHeight="false" outlineLevel="0" collapsed="false">
      <c r="A572" s="0" t="n">
        <v>466678</v>
      </c>
      <c r="B572" s="0" t="n">
        <v>466678</v>
      </c>
      <c r="C572" s="0" t="n">
        <v>3</v>
      </c>
      <c r="D572" s="0" t="n">
        <v>14</v>
      </c>
      <c r="E572" s="0" t="n">
        <v>2555</v>
      </c>
      <c r="F572" s="0" t="n">
        <v>88</v>
      </c>
      <c r="G572" s="0" t="n">
        <v>131</v>
      </c>
      <c r="H572" s="0" t="s">
        <v>1138</v>
      </c>
      <c r="I572" s="0" t="s">
        <v>1161</v>
      </c>
      <c r="J572" s="9" t="n">
        <v>45902</v>
      </c>
      <c r="K572" s="0" t="s">
        <v>1162</v>
      </c>
      <c r="L572" s="0" t="n">
        <v>19</v>
      </c>
      <c r="M572" s="10" t="n">
        <f aca="false">_xlfn.NUMBERVALUE("" &amp; K572 &amp; "",".",",")</f>
        <v>0.187612101666667</v>
      </c>
      <c r="N572" s="10"/>
      <c r="O572" s="0" t="str">
        <f aca="false">VLOOKUP(C572,statusdetails!$A:$D,4,0)</f>
        <v>STANDBY</v>
      </c>
      <c r="P572" s="0" t="str">
        <f aca="false">VLOOKUP(F572,equipment!$A:$E,4,0)</f>
        <v>CM05</v>
      </c>
      <c r="Q572" s="0" t="str">
        <f aca="false">VLOOKUP(F572,equipment!$A:$E,5,0)</f>
        <v>CM05 - 88</v>
      </c>
    </row>
    <row r="573" customFormat="false" ht="12.8" hidden="true" customHeight="false" outlineLevel="0" collapsed="false">
      <c r="A573" s="0" t="n">
        <v>466679</v>
      </c>
      <c r="B573" s="0" t="n">
        <v>466679</v>
      </c>
      <c r="C573" s="0" t="n">
        <v>3</v>
      </c>
      <c r="D573" s="0" t="n">
        <v>12</v>
      </c>
      <c r="E573" s="0" t="n">
        <v>2504</v>
      </c>
      <c r="F573" s="0" t="n">
        <v>86</v>
      </c>
      <c r="G573" s="0" t="n">
        <v>0</v>
      </c>
      <c r="H573" s="0" t="s">
        <v>1096</v>
      </c>
      <c r="I573" s="0" t="s">
        <v>1163</v>
      </c>
      <c r="J573" s="9" t="n">
        <v>45902</v>
      </c>
      <c r="K573" s="0" t="s">
        <v>1164</v>
      </c>
      <c r="L573" s="0" t="n">
        <v>19</v>
      </c>
      <c r="M573" s="10" t="n">
        <f aca="false">_xlfn.NUMBERVALUE("" &amp; K573 &amp; "",".",",")</f>
        <v>12.7038542855556</v>
      </c>
      <c r="N573" s="10"/>
      <c r="O573" s="0" t="str">
        <f aca="false">VLOOKUP(C573,statusdetails!$A:$D,4,0)</f>
        <v>STANDBY</v>
      </c>
      <c r="P573" s="0" t="str">
        <f aca="false">VLOOKUP(F573,equipment!$A:$E,4,0)</f>
        <v>CM03</v>
      </c>
      <c r="Q573" s="0" t="str">
        <f aca="false">VLOOKUP(F573,equipment!$A:$E,5,0)</f>
        <v>CM03 - 86</v>
      </c>
    </row>
    <row r="574" customFormat="false" ht="12.8" hidden="true" customHeight="false" outlineLevel="0" collapsed="false">
      <c r="A574" s="0" t="n">
        <v>466681</v>
      </c>
      <c r="B574" s="0" t="n">
        <v>466681</v>
      </c>
      <c r="C574" s="0" t="n">
        <v>1</v>
      </c>
      <c r="D574" s="0" t="n">
        <v>6</v>
      </c>
      <c r="E574" s="0" t="n">
        <v>372</v>
      </c>
      <c r="F574" s="0" t="n">
        <v>37</v>
      </c>
      <c r="G574" s="0" t="n">
        <v>40</v>
      </c>
      <c r="H574" s="0" t="s">
        <v>1092</v>
      </c>
      <c r="I574" s="0" t="s">
        <v>1165</v>
      </c>
      <c r="J574" s="9" t="n">
        <v>45902</v>
      </c>
      <c r="K574" s="0" t="s">
        <v>1166</v>
      </c>
      <c r="L574" s="0" t="n">
        <v>19</v>
      </c>
      <c r="M574" s="10" t="n">
        <f aca="false">_xlfn.NUMBERVALUE("" &amp; K574 &amp; "",".",",")</f>
        <v>3.57380244972222</v>
      </c>
      <c r="N574" s="10"/>
      <c r="O574" s="0" t="str">
        <f aca="false">VLOOKUP(C574,statusdetails!$A:$D,4,0)</f>
        <v>READY</v>
      </c>
    </row>
    <row r="575" customFormat="false" ht="12.8" hidden="true" customHeight="false" outlineLevel="0" collapsed="false">
      <c r="A575" s="0" t="n">
        <v>466682</v>
      </c>
      <c r="B575" s="0" t="n">
        <v>466682</v>
      </c>
      <c r="C575" s="0" t="n">
        <v>1</v>
      </c>
      <c r="D575" s="0" t="n">
        <v>6</v>
      </c>
      <c r="E575" s="0" t="n">
        <v>2404</v>
      </c>
      <c r="F575" s="0" t="n">
        <v>88</v>
      </c>
      <c r="G575" s="0" t="n">
        <v>131</v>
      </c>
      <c r="H575" s="0" t="s">
        <v>1161</v>
      </c>
      <c r="I575" s="0" t="s">
        <v>1167</v>
      </c>
      <c r="J575" s="9" t="n">
        <v>45902</v>
      </c>
      <c r="K575" s="0" t="s">
        <v>1168</v>
      </c>
      <c r="L575" s="0" t="n">
        <v>19</v>
      </c>
      <c r="M575" s="10" t="n">
        <f aca="false">_xlfn.NUMBERVALUE("" &amp; K575 &amp; "",".",",")</f>
        <v>4.59603041611111</v>
      </c>
      <c r="N575" s="10"/>
      <c r="O575" s="0" t="str">
        <f aca="false">VLOOKUP(C575,statusdetails!$A:$D,4,0)</f>
        <v>READY</v>
      </c>
    </row>
    <row r="576" customFormat="false" ht="12.8" hidden="true" customHeight="false" outlineLevel="0" collapsed="false">
      <c r="A576" s="0" t="n">
        <v>466683</v>
      </c>
      <c r="B576" s="0" t="n">
        <v>466683</v>
      </c>
      <c r="C576" s="0" t="n">
        <v>1</v>
      </c>
      <c r="D576" s="0" t="n">
        <v>6</v>
      </c>
      <c r="E576" s="0" t="n">
        <v>2404</v>
      </c>
      <c r="F576" s="0" t="n">
        <v>84</v>
      </c>
      <c r="G576" s="0" t="n">
        <v>139</v>
      </c>
      <c r="H576" s="0" t="s">
        <v>1062</v>
      </c>
      <c r="I576" s="0" t="s">
        <v>1169</v>
      </c>
      <c r="J576" s="9" t="n">
        <v>45902</v>
      </c>
      <c r="K576" s="0" t="s">
        <v>1170</v>
      </c>
      <c r="L576" s="0" t="n">
        <v>19</v>
      </c>
      <c r="M576" s="10" t="n">
        <f aca="false">_xlfn.NUMBERVALUE("" &amp; K576 &amp; "",".",",")</f>
        <v>4.53917454527778</v>
      </c>
      <c r="N576" s="10"/>
      <c r="O576" s="0" t="str">
        <f aca="false">VLOOKUP(C576,statusdetails!$A:$D,4,0)</f>
        <v>READY</v>
      </c>
    </row>
    <row r="577" customFormat="false" ht="12.8" hidden="true" customHeight="false" outlineLevel="0" collapsed="false">
      <c r="A577" s="0" t="n">
        <v>466684</v>
      </c>
      <c r="B577" s="0" t="n">
        <v>466684</v>
      </c>
      <c r="C577" s="0" t="n">
        <v>4</v>
      </c>
      <c r="D577" s="0" t="n">
        <v>16</v>
      </c>
      <c r="E577" s="0" t="n">
        <v>368</v>
      </c>
      <c r="F577" s="0" t="n">
        <v>34</v>
      </c>
      <c r="G577" s="0" t="n">
        <v>96</v>
      </c>
      <c r="H577" s="0" t="s">
        <v>1150</v>
      </c>
      <c r="I577" s="0" t="s">
        <v>1171</v>
      </c>
      <c r="J577" s="9" t="n">
        <v>45902</v>
      </c>
      <c r="K577" s="0" t="s">
        <v>1172</v>
      </c>
      <c r="L577" s="0" t="n">
        <v>19</v>
      </c>
      <c r="M577" s="10" t="n">
        <f aca="false">_xlfn.NUMBERVALUE("" &amp; K577 &amp; "",".",",")</f>
        <v>0.0385817627777778</v>
      </c>
      <c r="N577" s="10"/>
      <c r="O577" s="0" t="str">
        <f aca="false">VLOOKUP(C577,statusdetails!$A:$D,4,0)</f>
        <v>MAINT</v>
      </c>
    </row>
    <row r="578" customFormat="false" ht="12.8" hidden="true" customHeight="false" outlineLevel="0" collapsed="false">
      <c r="A578" s="0" t="n">
        <v>466685</v>
      </c>
      <c r="B578" s="0" t="n">
        <v>466685</v>
      </c>
      <c r="C578" s="0" t="n">
        <v>1</v>
      </c>
      <c r="D578" s="0" t="n">
        <v>6</v>
      </c>
      <c r="E578" s="0" t="n">
        <v>260</v>
      </c>
      <c r="F578" s="0" t="n">
        <v>34</v>
      </c>
      <c r="G578" s="0" t="n">
        <v>96</v>
      </c>
      <c r="H578" s="0" t="s">
        <v>1171</v>
      </c>
      <c r="I578" s="0" t="s">
        <v>1173</v>
      </c>
      <c r="J578" s="9" t="n">
        <v>45902</v>
      </c>
      <c r="K578" s="0" t="s">
        <v>1174</v>
      </c>
      <c r="L578" s="0" t="n">
        <v>19</v>
      </c>
      <c r="M578" s="10" t="n">
        <f aca="false">_xlfn.NUMBERVALUE("" &amp; K578 &amp; "",".",",")</f>
        <v>0.0603611038888889</v>
      </c>
      <c r="N578" s="10"/>
      <c r="O578" s="0" t="str">
        <f aca="false">VLOOKUP(C578,statusdetails!$A:$D,4,0)</f>
        <v>READY</v>
      </c>
    </row>
    <row r="579" customFormat="false" ht="12.8" hidden="true" customHeight="false" outlineLevel="0" collapsed="false">
      <c r="A579" s="0" t="n">
        <v>466686</v>
      </c>
      <c r="B579" s="0" t="n">
        <v>466686</v>
      </c>
      <c r="C579" s="0" t="n">
        <v>4</v>
      </c>
      <c r="D579" s="0" t="n">
        <v>16</v>
      </c>
      <c r="E579" s="0" t="n">
        <v>901</v>
      </c>
      <c r="F579" s="0" t="n">
        <v>43</v>
      </c>
      <c r="G579" s="0" t="n">
        <v>35</v>
      </c>
      <c r="H579" s="0" t="s">
        <v>1157</v>
      </c>
      <c r="I579" s="0" t="s">
        <v>1175</v>
      </c>
      <c r="J579" s="9" t="n">
        <v>45902</v>
      </c>
      <c r="K579" s="0" t="s">
        <v>1176</v>
      </c>
      <c r="L579" s="0" t="n">
        <v>19</v>
      </c>
      <c r="M579" s="10" t="n">
        <f aca="false">_xlfn.NUMBERVALUE("" &amp; K579 &amp; "",".",",")</f>
        <v>0.371556571388889</v>
      </c>
      <c r="N579" s="10"/>
      <c r="O579" s="0" t="str">
        <f aca="false">VLOOKUP(C579,statusdetails!$A:$D,4,0)</f>
        <v>MAINT</v>
      </c>
    </row>
    <row r="580" customFormat="false" ht="12.8" hidden="true" customHeight="false" outlineLevel="0" collapsed="false">
      <c r="A580" s="0" t="n">
        <v>466687</v>
      </c>
      <c r="B580" s="0" t="n">
        <v>466687</v>
      </c>
      <c r="C580" s="0" t="n">
        <v>4</v>
      </c>
      <c r="D580" s="0" t="n">
        <v>16</v>
      </c>
      <c r="E580" s="0" t="n">
        <v>368</v>
      </c>
      <c r="F580" s="0" t="n">
        <v>34</v>
      </c>
      <c r="G580" s="0" t="n">
        <v>96</v>
      </c>
      <c r="H580" s="0" t="s">
        <v>1173</v>
      </c>
      <c r="I580" s="0" t="s">
        <v>1177</v>
      </c>
      <c r="J580" s="9" t="n">
        <v>45902</v>
      </c>
      <c r="K580" s="0" t="s">
        <v>1178</v>
      </c>
      <c r="L580" s="0" t="n">
        <v>19</v>
      </c>
      <c r="M580" s="10" t="n">
        <f aca="false">_xlfn.NUMBERVALUE("" &amp; K580 &amp; "",".",",")</f>
        <v>1.24153875416667</v>
      </c>
      <c r="N580" s="10"/>
      <c r="O580" s="0" t="str">
        <f aca="false">VLOOKUP(C580,statusdetails!$A:$D,4,0)</f>
        <v>MAINT</v>
      </c>
    </row>
    <row r="581" customFormat="false" ht="12.8" hidden="true" customHeight="false" outlineLevel="0" collapsed="false">
      <c r="A581" s="0" t="n">
        <v>466688</v>
      </c>
      <c r="B581" s="0" t="n">
        <v>466688</v>
      </c>
      <c r="C581" s="0" t="n">
        <v>3</v>
      </c>
      <c r="D581" s="0" t="n">
        <v>14</v>
      </c>
      <c r="E581" s="0" t="n">
        <v>2387</v>
      </c>
      <c r="F581" s="0" t="n">
        <v>82</v>
      </c>
      <c r="G581" s="0" t="n">
        <v>28</v>
      </c>
      <c r="H581" s="0" t="s">
        <v>1136</v>
      </c>
      <c r="I581" s="0" t="s">
        <v>1179</v>
      </c>
      <c r="J581" s="9" t="n">
        <v>45902</v>
      </c>
      <c r="K581" s="0" t="s">
        <v>1180</v>
      </c>
      <c r="L581" s="0" t="n">
        <v>20</v>
      </c>
      <c r="M581" s="10" t="n">
        <f aca="false">_xlfn.NUMBERVALUE("" &amp; K581 &amp; "",".",",")</f>
        <v>0.150164444444444</v>
      </c>
      <c r="N581" s="10"/>
      <c r="O581" s="0" t="str">
        <f aca="false">VLOOKUP(C581,statusdetails!$A:$D,4,0)</f>
        <v>STANDBY</v>
      </c>
      <c r="P581" s="0" t="str">
        <f aca="false">VLOOKUP(F581,equipment!$A:$E,4,0)</f>
        <v>EX502</v>
      </c>
      <c r="Q581" s="0" t="str">
        <f aca="false">VLOOKUP(F581,equipment!$A:$E,5,0)</f>
        <v>EX502 - 82</v>
      </c>
    </row>
    <row r="582" customFormat="false" ht="12.8" hidden="true" customHeight="false" outlineLevel="0" collapsed="false">
      <c r="A582" s="0" t="n">
        <v>466689</v>
      </c>
      <c r="B582" s="0" t="n">
        <v>466689</v>
      </c>
      <c r="C582" s="0" t="n">
        <v>2</v>
      </c>
      <c r="D582" s="0" t="n">
        <v>9</v>
      </c>
      <c r="E582" s="0" t="n">
        <v>1004</v>
      </c>
      <c r="F582" s="0" t="n">
        <v>32</v>
      </c>
      <c r="G582" s="0" t="n">
        <v>20</v>
      </c>
      <c r="H582" s="0" t="s">
        <v>1159</v>
      </c>
      <c r="I582" s="0" t="s">
        <v>1181</v>
      </c>
      <c r="J582" s="9" t="n">
        <v>45902</v>
      </c>
      <c r="K582" s="0" t="s">
        <v>1182</v>
      </c>
      <c r="L582" s="0" t="n">
        <v>20</v>
      </c>
      <c r="M582" s="3" t="n">
        <f aca="false">_xlfn.NUMBERVALUE("" &amp; K582 &amp; "",".",",")</f>
        <v>0.160117485</v>
      </c>
      <c r="O582" s="0" t="str">
        <f aca="false">VLOOKUP(C582,statusdetails!$A:$D,4,0)</f>
        <v>DELAY</v>
      </c>
    </row>
    <row r="583" customFormat="false" ht="12.8" hidden="true" customHeight="false" outlineLevel="0" collapsed="false">
      <c r="A583" s="0" t="n">
        <v>466690</v>
      </c>
      <c r="B583" s="0" t="n">
        <v>466690</v>
      </c>
      <c r="C583" s="0" t="n">
        <v>1</v>
      </c>
      <c r="D583" s="0" t="n">
        <v>6</v>
      </c>
      <c r="E583" s="0" t="n">
        <v>260</v>
      </c>
      <c r="F583" s="0" t="n">
        <v>33</v>
      </c>
      <c r="G583" s="0" t="n">
        <v>96</v>
      </c>
      <c r="H583" s="0" t="s">
        <v>873</v>
      </c>
      <c r="I583" s="0" t="s">
        <v>1183</v>
      </c>
      <c r="J583" s="9" t="n">
        <v>45902</v>
      </c>
      <c r="K583" s="0" t="s">
        <v>1184</v>
      </c>
      <c r="L583" s="0" t="n">
        <v>20</v>
      </c>
      <c r="M583" s="10" t="n">
        <f aca="false">_xlfn.NUMBERVALUE("" &amp; K583 &amp; "",".",",")</f>
        <v>4.19488758777778</v>
      </c>
      <c r="N583" s="10"/>
      <c r="O583" s="0" t="str">
        <f aca="false">VLOOKUP(C583,statusdetails!$A:$D,4,0)</f>
        <v>READY</v>
      </c>
    </row>
    <row r="584" customFormat="false" ht="12.8" hidden="true" customHeight="false" outlineLevel="0" collapsed="false">
      <c r="A584" s="0" t="n">
        <v>466691</v>
      </c>
      <c r="B584" s="0" t="n">
        <v>466691</v>
      </c>
      <c r="C584" s="0" t="n">
        <v>2</v>
      </c>
      <c r="D584" s="0" t="n">
        <v>9</v>
      </c>
      <c r="E584" s="0" t="n">
        <v>1004</v>
      </c>
      <c r="F584" s="0" t="n">
        <v>66</v>
      </c>
      <c r="G584" s="0" t="n">
        <v>116</v>
      </c>
      <c r="H584" s="0" t="s">
        <v>1134</v>
      </c>
      <c r="I584" s="0" t="s">
        <v>1185</v>
      </c>
      <c r="J584" s="9" t="n">
        <v>45902</v>
      </c>
      <c r="K584" s="0" t="s">
        <v>1186</v>
      </c>
      <c r="L584" s="0" t="n">
        <v>20</v>
      </c>
      <c r="M584" s="3" t="n">
        <f aca="false">_xlfn.NUMBERVALUE("" &amp; K584 &amp; "",".",",")</f>
        <v>0.0924410627777778</v>
      </c>
      <c r="O584" s="0" t="str">
        <f aca="false">VLOOKUP(C584,statusdetails!$A:$D,4,0)</f>
        <v>DELAY</v>
      </c>
    </row>
    <row r="585" customFormat="false" ht="12.8" hidden="true" customHeight="false" outlineLevel="0" collapsed="false">
      <c r="A585" s="0" t="n">
        <v>466692</v>
      </c>
      <c r="B585" s="0" t="n">
        <v>466692</v>
      </c>
      <c r="C585" s="0" t="n">
        <v>2</v>
      </c>
      <c r="D585" s="0" t="n">
        <v>9</v>
      </c>
      <c r="E585" s="0" t="n">
        <v>2388</v>
      </c>
      <c r="F585" s="0" t="n">
        <v>82</v>
      </c>
      <c r="G585" s="0" t="n">
        <v>28</v>
      </c>
      <c r="H585" s="0" t="s">
        <v>1179</v>
      </c>
      <c r="I585" s="0" t="s">
        <v>1187</v>
      </c>
      <c r="J585" s="9" t="n">
        <v>45902</v>
      </c>
      <c r="K585" s="0" t="s">
        <v>1188</v>
      </c>
      <c r="L585" s="0" t="n">
        <v>20</v>
      </c>
      <c r="M585" s="3" t="n">
        <f aca="false">_xlfn.NUMBERVALUE("" &amp; K585 &amp; "",".",",")</f>
        <v>0.0695011194444444</v>
      </c>
      <c r="O585" s="0" t="str">
        <f aca="false">VLOOKUP(C585,statusdetails!$A:$D,4,0)</f>
        <v>DELAY</v>
      </c>
    </row>
    <row r="586" customFormat="false" ht="12.8" hidden="true" customHeight="false" outlineLevel="0" collapsed="false">
      <c r="A586" s="0" t="n">
        <v>466693</v>
      </c>
      <c r="B586" s="0" t="n">
        <v>466693</v>
      </c>
      <c r="C586" s="0" t="n">
        <v>1</v>
      </c>
      <c r="D586" s="0" t="n">
        <v>6</v>
      </c>
      <c r="E586" s="0" t="n">
        <v>2518</v>
      </c>
      <c r="F586" s="0" t="n">
        <v>82</v>
      </c>
      <c r="G586" s="0" t="n">
        <v>28</v>
      </c>
      <c r="H586" s="0" t="s">
        <v>1187</v>
      </c>
      <c r="I586" s="0" t="s">
        <v>1189</v>
      </c>
      <c r="J586" s="9" t="n">
        <v>45902</v>
      </c>
      <c r="K586" s="0" t="s">
        <v>1190</v>
      </c>
      <c r="L586" s="0" t="n">
        <v>20</v>
      </c>
      <c r="M586" s="10" t="n">
        <f aca="false">_xlfn.NUMBERVALUE("" &amp; K586 &amp; "",".",",")</f>
        <v>3.34443753277778</v>
      </c>
      <c r="N586" s="10"/>
      <c r="O586" s="0" t="str">
        <f aca="false">VLOOKUP(C586,statusdetails!$A:$D,4,0)</f>
        <v>READY</v>
      </c>
    </row>
    <row r="587" customFormat="false" ht="12.8" hidden="true" customHeight="false" outlineLevel="0" collapsed="false">
      <c r="A587" s="0" t="n">
        <v>466694</v>
      </c>
      <c r="B587" s="0" t="n">
        <v>466694</v>
      </c>
      <c r="C587" s="0" t="n">
        <v>1</v>
      </c>
      <c r="D587" s="0" t="n">
        <v>6</v>
      </c>
      <c r="E587" s="0" t="n">
        <v>260</v>
      </c>
      <c r="F587" s="0" t="n">
        <v>32</v>
      </c>
      <c r="G587" s="0" t="n">
        <v>20</v>
      </c>
      <c r="H587" s="0" t="s">
        <v>1181</v>
      </c>
      <c r="I587" s="0" t="s">
        <v>1191</v>
      </c>
      <c r="J587" s="9" t="n">
        <v>45902</v>
      </c>
      <c r="K587" s="0" t="s">
        <v>1192</v>
      </c>
      <c r="L587" s="0" t="n">
        <v>20</v>
      </c>
      <c r="M587" s="10" t="n">
        <f aca="false">_xlfn.NUMBERVALUE("" &amp; K587 &amp; "",".",",")</f>
        <v>2.29559174472222</v>
      </c>
      <c r="N587" s="10"/>
      <c r="O587" s="0" t="str">
        <f aca="false">VLOOKUP(C587,statusdetails!$A:$D,4,0)</f>
        <v>READY</v>
      </c>
    </row>
    <row r="588" customFormat="false" ht="12.8" hidden="true" customHeight="false" outlineLevel="0" collapsed="false">
      <c r="A588" s="0" t="n">
        <v>466695</v>
      </c>
      <c r="B588" s="0" t="n">
        <v>466695</v>
      </c>
      <c r="C588" s="0" t="n">
        <v>1</v>
      </c>
      <c r="D588" s="0" t="n">
        <v>6</v>
      </c>
      <c r="E588" s="0" t="n">
        <v>260</v>
      </c>
      <c r="F588" s="0" t="n">
        <v>66</v>
      </c>
      <c r="G588" s="0" t="n">
        <v>116</v>
      </c>
      <c r="H588" s="0" t="s">
        <v>1185</v>
      </c>
      <c r="I588" s="0" t="s">
        <v>1193</v>
      </c>
      <c r="J588" s="9" t="n">
        <v>45902</v>
      </c>
      <c r="K588" s="0" t="s">
        <v>1194</v>
      </c>
      <c r="L588" s="0" t="n">
        <v>20</v>
      </c>
      <c r="M588" s="10" t="n">
        <f aca="false">_xlfn.NUMBERVALUE("" &amp; K588 &amp; "",".",",")</f>
        <v>1.53846302527778</v>
      </c>
      <c r="N588" s="10"/>
      <c r="O588" s="0" t="str">
        <f aca="false">VLOOKUP(C588,statusdetails!$A:$D,4,0)</f>
        <v>READY</v>
      </c>
    </row>
    <row r="589" customFormat="false" ht="12.8" hidden="true" customHeight="false" outlineLevel="0" collapsed="false">
      <c r="A589" s="0" t="n">
        <v>466696</v>
      </c>
      <c r="B589" s="0" t="n">
        <v>466696</v>
      </c>
      <c r="C589" s="0" t="n">
        <v>1</v>
      </c>
      <c r="D589" s="0" t="n">
        <v>6</v>
      </c>
      <c r="E589" s="0" t="n">
        <v>811</v>
      </c>
      <c r="F589" s="0" t="n">
        <v>43</v>
      </c>
      <c r="G589" s="0" t="n">
        <v>35</v>
      </c>
      <c r="H589" s="0" t="s">
        <v>1175</v>
      </c>
      <c r="I589" s="0" t="s">
        <v>1195</v>
      </c>
      <c r="J589" s="9" t="n">
        <v>45902</v>
      </c>
      <c r="K589" s="0" t="s">
        <v>1196</v>
      </c>
      <c r="L589" s="0" t="n">
        <v>20</v>
      </c>
      <c r="M589" s="10" t="n">
        <f aca="false">_xlfn.NUMBERVALUE("" &amp; K589 &amp; "",".",",")</f>
        <v>0.54254557</v>
      </c>
      <c r="N589" s="10"/>
      <c r="O589" s="0" t="str">
        <f aca="false">VLOOKUP(C589,statusdetails!$A:$D,4,0)</f>
        <v>READY</v>
      </c>
    </row>
    <row r="590" customFormat="false" ht="12.8" hidden="true" customHeight="false" outlineLevel="0" collapsed="false">
      <c r="A590" s="0" t="n">
        <v>466697</v>
      </c>
      <c r="B590" s="0" t="n">
        <v>466697</v>
      </c>
      <c r="C590" s="0" t="n">
        <v>2</v>
      </c>
      <c r="D590" s="0" t="n">
        <v>7</v>
      </c>
      <c r="E590" s="0" t="n">
        <v>815</v>
      </c>
      <c r="F590" s="0" t="n">
        <v>43</v>
      </c>
      <c r="G590" s="0" t="n">
        <v>35</v>
      </c>
      <c r="H590" s="0" t="s">
        <v>1195</v>
      </c>
      <c r="I590" s="0" t="s">
        <v>1197</v>
      </c>
      <c r="J590" s="9" t="n">
        <v>45902</v>
      </c>
      <c r="K590" s="0" t="s">
        <v>1198</v>
      </c>
      <c r="L590" s="0" t="n">
        <v>20</v>
      </c>
      <c r="M590" s="3" t="n">
        <f aca="false">_xlfn.NUMBERVALUE("" &amp; K590 &amp; "",".",",")</f>
        <v>0.289969540833333</v>
      </c>
      <c r="O590" s="0" t="str">
        <f aca="false">VLOOKUP(C590,statusdetails!$A:$D,4,0)</f>
        <v>DELAY</v>
      </c>
    </row>
    <row r="591" customFormat="false" ht="12.8" hidden="true" customHeight="false" outlineLevel="0" collapsed="false">
      <c r="A591" s="0" t="n">
        <v>466698</v>
      </c>
      <c r="B591" s="0" t="n">
        <v>466698</v>
      </c>
      <c r="C591" s="0" t="n">
        <v>1</v>
      </c>
      <c r="D591" s="0" t="n">
        <v>6</v>
      </c>
      <c r="E591" s="0" t="n">
        <v>811</v>
      </c>
      <c r="F591" s="0" t="n">
        <v>43</v>
      </c>
      <c r="G591" s="0" t="n">
        <v>35</v>
      </c>
      <c r="H591" s="0" t="s">
        <v>1197</v>
      </c>
      <c r="I591" s="0" t="s">
        <v>1199</v>
      </c>
      <c r="J591" s="9" t="n">
        <v>45902</v>
      </c>
      <c r="K591" s="0" t="s">
        <v>1200</v>
      </c>
      <c r="L591" s="0" t="n">
        <v>21</v>
      </c>
      <c r="M591" s="10" t="n">
        <f aca="false">_xlfn.NUMBERVALUE("" &amp; K591 &amp; "",".",",")</f>
        <v>0.521886312777778</v>
      </c>
      <c r="N591" s="10"/>
      <c r="O591" s="0" t="str">
        <f aca="false">VLOOKUP(C591,statusdetails!$A:$D,4,0)</f>
        <v>READY</v>
      </c>
    </row>
    <row r="592" customFormat="false" ht="12.8" hidden="true" customHeight="false" outlineLevel="0" collapsed="false">
      <c r="A592" s="0" t="n">
        <v>466699</v>
      </c>
      <c r="B592" s="0" t="n">
        <v>466699</v>
      </c>
      <c r="C592" s="0" t="n">
        <v>3</v>
      </c>
      <c r="D592" s="0" t="n">
        <v>12</v>
      </c>
      <c r="E592" s="0" t="n">
        <v>289</v>
      </c>
      <c r="F592" s="0" t="n">
        <v>34</v>
      </c>
      <c r="G592" s="0" t="n">
        <v>0</v>
      </c>
      <c r="H592" s="0" t="s">
        <v>1177</v>
      </c>
      <c r="I592" s="11" t="n">
        <v>45903.3615740741</v>
      </c>
      <c r="J592" s="9" t="n">
        <v>45902</v>
      </c>
      <c r="K592" s="0" t="s">
        <v>1201</v>
      </c>
      <c r="L592" s="0" t="n">
        <v>21</v>
      </c>
      <c r="M592" s="10" t="n">
        <f aca="false">_xlfn.NUMBERVALUE("" &amp; K592 &amp; "",".",",")</f>
        <v>11.4734939119444</v>
      </c>
      <c r="N592" s="10"/>
      <c r="O592" s="0" t="str">
        <f aca="false">VLOOKUP(C592,statusdetails!$A:$D,4,0)</f>
        <v>STANDBY</v>
      </c>
      <c r="P592" s="0" t="str">
        <f aca="false">VLOOKUP(F592,equipment!$A:$E,4,0)</f>
        <v>CM404</v>
      </c>
      <c r="Q592" s="0" t="str">
        <f aca="false">VLOOKUP(F592,equipment!$A:$E,5,0)</f>
        <v>CM404 - 34</v>
      </c>
    </row>
    <row r="593" customFormat="false" ht="12.8" hidden="true" customHeight="false" outlineLevel="0" collapsed="false">
      <c r="A593" s="0" t="n">
        <v>466700</v>
      </c>
      <c r="B593" s="0" t="n">
        <v>466700</v>
      </c>
      <c r="C593" s="0" t="n">
        <v>2</v>
      </c>
      <c r="D593" s="0" t="n">
        <v>7</v>
      </c>
      <c r="E593" s="0" t="n">
        <v>821</v>
      </c>
      <c r="F593" s="0" t="n">
        <v>43</v>
      </c>
      <c r="G593" s="0" t="n">
        <v>35</v>
      </c>
      <c r="H593" s="0" t="s">
        <v>1199</v>
      </c>
      <c r="I593" s="0" t="s">
        <v>1202</v>
      </c>
      <c r="J593" s="9" t="n">
        <v>45902</v>
      </c>
      <c r="K593" s="0" t="s">
        <v>1203</v>
      </c>
      <c r="L593" s="0" t="n">
        <v>21</v>
      </c>
      <c r="M593" s="3" t="n">
        <f aca="false">_xlfn.NUMBERVALUE("" &amp; K593 &amp; "",".",",")</f>
        <v>0.164915296388889</v>
      </c>
      <c r="O593" s="0" t="str">
        <f aca="false">VLOOKUP(C593,statusdetails!$A:$D,4,0)</f>
        <v>DELAY</v>
      </c>
    </row>
    <row r="594" customFormat="false" ht="12.8" hidden="true" customHeight="false" outlineLevel="0" collapsed="false">
      <c r="A594" s="0" t="n">
        <v>466701</v>
      </c>
      <c r="B594" s="0" t="n">
        <v>466701</v>
      </c>
      <c r="C594" s="0" t="n">
        <v>1</v>
      </c>
      <c r="D594" s="0" t="n">
        <v>6</v>
      </c>
      <c r="E594" s="0" t="n">
        <v>811</v>
      </c>
      <c r="F594" s="0" t="n">
        <v>43</v>
      </c>
      <c r="G594" s="0" t="n">
        <v>35</v>
      </c>
      <c r="H594" s="0" t="s">
        <v>1202</v>
      </c>
      <c r="I594" s="0" t="s">
        <v>1204</v>
      </c>
      <c r="J594" s="9" t="n">
        <v>45902</v>
      </c>
      <c r="K594" s="0" t="s">
        <v>1205</v>
      </c>
      <c r="L594" s="0" t="n">
        <v>21</v>
      </c>
      <c r="M594" s="10" t="n">
        <f aca="false">_xlfn.NUMBERVALUE("" &amp; K594 &amp; "",".",",")</f>
        <v>2.73249762361111</v>
      </c>
      <c r="N594" s="10"/>
      <c r="O594" s="0" t="str">
        <f aca="false">VLOOKUP(C594,statusdetails!$A:$D,4,0)</f>
        <v>READY</v>
      </c>
    </row>
    <row r="595" customFormat="false" ht="12.8" hidden="true" customHeight="false" outlineLevel="0" collapsed="false">
      <c r="A595" s="0" t="n">
        <v>466702</v>
      </c>
      <c r="B595" s="0" t="n">
        <v>466702</v>
      </c>
      <c r="C595" s="0" t="n">
        <v>2</v>
      </c>
      <c r="D595" s="0" t="n">
        <v>9</v>
      </c>
      <c r="E595" s="0" t="n">
        <v>2568</v>
      </c>
      <c r="F595" s="0" t="n">
        <v>66</v>
      </c>
      <c r="G595" s="0" t="n">
        <v>116</v>
      </c>
      <c r="H595" s="0" t="s">
        <v>1193</v>
      </c>
      <c r="I595" s="0" t="s">
        <v>1206</v>
      </c>
      <c r="J595" s="9" t="n">
        <v>45902</v>
      </c>
      <c r="K595" s="0" t="s">
        <v>1207</v>
      </c>
      <c r="L595" s="0" t="n">
        <v>21</v>
      </c>
      <c r="M595" s="3" t="n">
        <f aca="false">_xlfn.NUMBERVALUE("" &amp; K595 &amp; "",".",",")</f>
        <v>0.0162346522222222</v>
      </c>
      <c r="O595" s="0" t="str">
        <f aca="false">VLOOKUP(C595,statusdetails!$A:$D,4,0)</f>
        <v>DELAY</v>
      </c>
    </row>
    <row r="596" customFormat="false" ht="12.8" hidden="true" customHeight="false" outlineLevel="0" collapsed="false">
      <c r="A596" s="0" t="n">
        <v>466703</v>
      </c>
      <c r="B596" s="0" t="n">
        <v>466703</v>
      </c>
      <c r="C596" s="0" t="n">
        <v>1</v>
      </c>
      <c r="D596" s="0" t="n">
        <v>6</v>
      </c>
      <c r="E596" s="0" t="n">
        <v>260</v>
      </c>
      <c r="F596" s="0" t="n">
        <v>66</v>
      </c>
      <c r="G596" s="0" t="n">
        <v>116</v>
      </c>
      <c r="H596" s="0" t="s">
        <v>1206</v>
      </c>
      <c r="I596" s="0" t="s">
        <v>1208</v>
      </c>
      <c r="J596" s="9" t="n">
        <v>45902</v>
      </c>
      <c r="K596" s="0" t="s">
        <v>1209</v>
      </c>
      <c r="L596" s="0" t="n">
        <v>21</v>
      </c>
      <c r="M596" s="10" t="n">
        <f aca="false">_xlfn.NUMBERVALUE("" &amp; K596 &amp; "",".",",")</f>
        <v>0.741179406388889</v>
      </c>
      <c r="N596" s="10"/>
      <c r="O596" s="0" t="str">
        <f aca="false">VLOOKUP(C596,statusdetails!$A:$D,4,0)</f>
        <v>READY</v>
      </c>
    </row>
    <row r="597" customFormat="false" ht="12.8" hidden="true" customHeight="false" outlineLevel="0" collapsed="false">
      <c r="A597" s="0" t="n">
        <v>466704</v>
      </c>
      <c r="B597" s="0" t="n">
        <v>466704</v>
      </c>
      <c r="C597" s="0" t="n">
        <v>2</v>
      </c>
      <c r="D597" s="0" t="n">
        <v>9</v>
      </c>
      <c r="E597" s="0" t="n">
        <v>2305</v>
      </c>
      <c r="F597" s="0" t="n">
        <v>32</v>
      </c>
      <c r="G597" s="0" t="n">
        <v>20</v>
      </c>
      <c r="H597" s="0" t="s">
        <v>1191</v>
      </c>
      <c r="I597" s="0" t="s">
        <v>1210</v>
      </c>
      <c r="J597" s="9" t="n">
        <v>45902</v>
      </c>
      <c r="K597" s="0" t="s">
        <v>1211</v>
      </c>
      <c r="L597" s="0" t="n">
        <v>22</v>
      </c>
      <c r="M597" s="3" t="n">
        <f aca="false">_xlfn.NUMBERVALUE("" &amp; K597 &amp; "",".",",")</f>
        <v>0.09348343</v>
      </c>
      <c r="O597" s="0" t="str">
        <f aca="false">VLOOKUP(C597,statusdetails!$A:$D,4,0)</f>
        <v>DELAY</v>
      </c>
    </row>
    <row r="598" customFormat="false" ht="12.8" hidden="true" customHeight="false" outlineLevel="0" collapsed="false">
      <c r="A598" s="0" t="n">
        <v>466705</v>
      </c>
      <c r="B598" s="0" t="n">
        <v>466705</v>
      </c>
      <c r="C598" s="0" t="n">
        <v>2</v>
      </c>
      <c r="D598" s="0" t="n">
        <v>9</v>
      </c>
      <c r="E598" s="0" t="n">
        <v>2305</v>
      </c>
      <c r="F598" s="0" t="n">
        <v>66</v>
      </c>
      <c r="G598" s="0" t="n">
        <v>116</v>
      </c>
      <c r="H598" s="0" t="s">
        <v>1208</v>
      </c>
      <c r="I598" s="0" t="s">
        <v>1212</v>
      </c>
      <c r="J598" s="9" t="n">
        <v>45902</v>
      </c>
      <c r="K598" s="0" t="s">
        <v>1213</v>
      </c>
      <c r="L598" s="0" t="n">
        <v>22</v>
      </c>
      <c r="M598" s="3" t="n">
        <f aca="false">_xlfn.NUMBERVALUE("" &amp; K598 &amp; "",".",",")</f>
        <v>0.0395320913888889</v>
      </c>
      <c r="O598" s="0" t="str">
        <f aca="false">VLOOKUP(C598,statusdetails!$A:$D,4,0)</f>
        <v>DELAY</v>
      </c>
    </row>
    <row r="599" customFormat="false" ht="12.8" hidden="true" customHeight="false" outlineLevel="0" collapsed="false">
      <c r="A599" s="0" t="n">
        <v>466706</v>
      </c>
      <c r="B599" s="0" t="n">
        <v>466706</v>
      </c>
      <c r="C599" s="0" t="n">
        <v>1</v>
      </c>
      <c r="D599" s="0" t="n">
        <v>6</v>
      </c>
      <c r="E599" s="0" t="n">
        <v>260</v>
      </c>
      <c r="F599" s="0" t="n">
        <v>66</v>
      </c>
      <c r="G599" s="0" t="n">
        <v>116</v>
      </c>
      <c r="H599" s="0" t="s">
        <v>1212</v>
      </c>
      <c r="I599" s="0" t="s">
        <v>1214</v>
      </c>
      <c r="J599" s="9" t="n">
        <v>45902</v>
      </c>
      <c r="K599" s="0" t="s">
        <v>1215</v>
      </c>
      <c r="L599" s="0" t="n">
        <v>22</v>
      </c>
      <c r="M599" s="10" t="n">
        <f aca="false">_xlfn.NUMBERVALUE("" &amp; K599 &amp; "",".",",")</f>
        <v>0.795318091944444</v>
      </c>
      <c r="N599" s="10"/>
      <c r="O599" s="0" t="str">
        <f aca="false">VLOOKUP(C599,statusdetails!$A:$D,4,0)</f>
        <v>READY</v>
      </c>
    </row>
    <row r="600" customFormat="false" ht="12.8" hidden="true" customHeight="false" outlineLevel="0" collapsed="false">
      <c r="A600" s="0" t="n">
        <v>466707</v>
      </c>
      <c r="B600" s="0" t="n">
        <v>466707</v>
      </c>
      <c r="C600" s="0" t="n">
        <v>1</v>
      </c>
      <c r="D600" s="0" t="n">
        <v>6</v>
      </c>
      <c r="E600" s="0" t="n">
        <v>260</v>
      </c>
      <c r="F600" s="0" t="n">
        <v>32</v>
      </c>
      <c r="G600" s="0" t="n">
        <v>20</v>
      </c>
      <c r="H600" s="0" t="s">
        <v>1210</v>
      </c>
      <c r="I600" s="0" t="s">
        <v>1216</v>
      </c>
      <c r="J600" s="9" t="n">
        <v>45902</v>
      </c>
      <c r="K600" s="0" t="s">
        <v>1217</v>
      </c>
      <c r="L600" s="0" t="n">
        <v>22</v>
      </c>
      <c r="M600" s="10" t="n">
        <f aca="false">_xlfn.NUMBERVALUE("" &amp; K600 &amp; "",".",",")</f>
        <v>0.903538105277778</v>
      </c>
      <c r="N600" s="10"/>
      <c r="O600" s="0" t="str">
        <f aca="false">VLOOKUP(C600,statusdetails!$A:$D,4,0)</f>
        <v>READY</v>
      </c>
    </row>
    <row r="601" customFormat="false" ht="12.8" hidden="true" customHeight="false" outlineLevel="0" collapsed="false">
      <c r="A601" s="0" t="n">
        <v>466708</v>
      </c>
      <c r="B601" s="0" t="n">
        <v>466708</v>
      </c>
      <c r="C601" s="0" t="n">
        <v>3</v>
      </c>
      <c r="D601" s="0" t="n">
        <v>12</v>
      </c>
      <c r="E601" s="0" t="n">
        <v>394</v>
      </c>
      <c r="F601" s="0" t="n">
        <v>37</v>
      </c>
      <c r="G601" s="0" t="n">
        <v>40</v>
      </c>
      <c r="H601" s="0" t="s">
        <v>1165</v>
      </c>
      <c r="I601" s="0" t="s">
        <v>1218</v>
      </c>
      <c r="J601" s="9" t="n">
        <v>45902</v>
      </c>
      <c r="K601" s="0" t="s">
        <v>1219</v>
      </c>
      <c r="L601" s="0" t="n">
        <v>22</v>
      </c>
      <c r="M601" s="10" t="n">
        <f aca="false">_xlfn.NUMBERVALUE("" &amp; K601 &amp; "",".",",")</f>
        <v>4.19205255027778</v>
      </c>
      <c r="N601" s="10"/>
      <c r="O601" s="0" t="str">
        <f aca="false">VLOOKUP(C601,statusdetails!$A:$D,4,0)</f>
        <v>STANDBY</v>
      </c>
      <c r="P601" s="0" t="str">
        <f aca="false">VLOOKUP(F601,equipment!$A:$E,4,0)</f>
        <v>DZ201</v>
      </c>
      <c r="Q601" s="0" t="str">
        <f aca="false">VLOOKUP(F601,equipment!$A:$E,5,0)</f>
        <v>DZ201 - 37</v>
      </c>
    </row>
    <row r="602" customFormat="false" ht="12.8" hidden="true" customHeight="false" outlineLevel="0" collapsed="false">
      <c r="A602" s="0" t="n">
        <v>466709</v>
      </c>
      <c r="B602" s="0" t="n">
        <v>466709</v>
      </c>
      <c r="C602" s="0" t="n">
        <v>2</v>
      </c>
      <c r="D602" s="0" t="n">
        <v>9</v>
      </c>
      <c r="E602" s="0" t="n">
        <v>2568</v>
      </c>
      <c r="F602" s="0" t="n">
        <v>66</v>
      </c>
      <c r="G602" s="0" t="n">
        <v>116</v>
      </c>
      <c r="H602" s="0" t="s">
        <v>1214</v>
      </c>
      <c r="I602" s="0" t="s">
        <v>1220</v>
      </c>
      <c r="J602" s="9" t="n">
        <v>45902</v>
      </c>
      <c r="K602" s="0" t="s">
        <v>1221</v>
      </c>
      <c r="L602" s="0" t="n">
        <v>23</v>
      </c>
      <c r="M602" s="3" t="n">
        <f aca="false">_xlfn.NUMBERVALUE("" &amp; K602 &amp; "",".",",")</f>
        <v>0.0461796661111111</v>
      </c>
      <c r="O602" s="0" t="str">
        <f aca="false">VLOOKUP(C602,statusdetails!$A:$D,4,0)</f>
        <v>DELAY</v>
      </c>
    </row>
    <row r="603" customFormat="false" ht="12.8" hidden="true" customHeight="false" outlineLevel="0" collapsed="false">
      <c r="A603" s="0" t="n">
        <v>466710</v>
      </c>
      <c r="B603" s="0" t="n">
        <v>466710</v>
      </c>
      <c r="C603" s="0" t="n">
        <v>1</v>
      </c>
      <c r="D603" s="0" t="n">
        <v>6</v>
      </c>
      <c r="E603" s="0" t="n">
        <v>260</v>
      </c>
      <c r="F603" s="0" t="n">
        <v>66</v>
      </c>
      <c r="G603" s="0" t="n">
        <v>116</v>
      </c>
      <c r="H603" s="0" t="s">
        <v>1220</v>
      </c>
      <c r="I603" s="0" t="s">
        <v>1222</v>
      </c>
      <c r="J603" s="9" t="n">
        <v>45902</v>
      </c>
      <c r="K603" s="0" t="s">
        <v>1223</v>
      </c>
      <c r="L603" s="0" t="n">
        <v>23</v>
      </c>
      <c r="M603" s="10" t="n">
        <f aca="false">_xlfn.NUMBERVALUE("" &amp; K603 &amp; "",".",",")</f>
        <v>0.1459053775</v>
      </c>
      <c r="N603" s="10"/>
      <c r="O603" s="0" t="str">
        <f aca="false">VLOOKUP(C603,statusdetails!$A:$D,4,0)</f>
        <v>READY</v>
      </c>
    </row>
    <row r="604" customFormat="false" ht="12.8" hidden="true" customHeight="false" outlineLevel="0" collapsed="false">
      <c r="A604" s="0" t="n">
        <v>466711</v>
      </c>
      <c r="B604" s="0" t="n">
        <v>466711</v>
      </c>
      <c r="C604" s="0" t="n">
        <v>2</v>
      </c>
      <c r="D604" s="0" t="n">
        <v>9</v>
      </c>
      <c r="E604" s="0" t="n">
        <v>2305</v>
      </c>
      <c r="F604" s="0" t="n">
        <v>32</v>
      </c>
      <c r="G604" s="0" t="n">
        <v>20</v>
      </c>
      <c r="H604" s="0" t="s">
        <v>1216</v>
      </c>
      <c r="I604" s="0" t="s">
        <v>1224</v>
      </c>
      <c r="J604" s="9" t="n">
        <v>45902</v>
      </c>
      <c r="K604" s="0" t="s">
        <v>1225</v>
      </c>
      <c r="L604" s="0" t="n">
        <v>23</v>
      </c>
      <c r="M604" s="3" t="n">
        <f aca="false">_xlfn.NUMBERVALUE("" &amp; K604 &amp; "",".",",")</f>
        <v>0.1701476725</v>
      </c>
      <c r="O604" s="0" t="str">
        <f aca="false">VLOOKUP(C604,statusdetails!$A:$D,4,0)</f>
        <v>DELAY</v>
      </c>
    </row>
    <row r="605" customFormat="false" ht="12.8" hidden="true" customHeight="false" outlineLevel="0" collapsed="false">
      <c r="A605" s="0" t="n">
        <v>466712</v>
      </c>
      <c r="B605" s="0" t="n">
        <v>466712</v>
      </c>
      <c r="C605" s="0" t="n">
        <v>2</v>
      </c>
      <c r="D605" s="0" t="n">
        <v>9</v>
      </c>
      <c r="E605" s="0" t="n">
        <v>2568</v>
      </c>
      <c r="F605" s="0" t="n">
        <v>66</v>
      </c>
      <c r="G605" s="0" t="n">
        <v>116</v>
      </c>
      <c r="H605" s="0" t="s">
        <v>1222</v>
      </c>
      <c r="I605" s="0" t="s">
        <v>1226</v>
      </c>
      <c r="J605" s="9" t="n">
        <v>45902</v>
      </c>
      <c r="K605" s="0" t="s">
        <v>1227</v>
      </c>
      <c r="L605" s="0" t="n">
        <v>23</v>
      </c>
      <c r="M605" s="3" t="n">
        <f aca="false">_xlfn.NUMBERVALUE("" &amp; K605 &amp; "",".",",")</f>
        <v>0.141786916666667</v>
      </c>
      <c r="O605" s="0" t="str">
        <f aca="false">VLOOKUP(C605,statusdetails!$A:$D,4,0)</f>
        <v>DELAY</v>
      </c>
    </row>
    <row r="606" customFormat="false" ht="12.8" hidden="true" customHeight="false" outlineLevel="0" collapsed="false">
      <c r="A606" s="0" t="n">
        <v>466713</v>
      </c>
      <c r="B606" s="0" t="n">
        <v>466713</v>
      </c>
      <c r="C606" s="0" t="n">
        <v>2</v>
      </c>
      <c r="D606" s="0" t="n">
        <v>9</v>
      </c>
      <c r="E606" s="0" t="n">
        <v>2399</v>
      </c>
      <c r="F606" s="0" t="n">
        <v>82</v>
      </c>
      <c r="G606" s="0" t="n">
        <v>28</v>
      </c>
      <c r="H606" s="0" t="s">
        <v>1189</v>
      </c>
      <c r="I606" s="0" t="s">
        <v>1228</v>
      </c>
      <c r="J606" s="9" t="n">
        <v>45902</v>
      </c>
      <c r="K606" s="0" t="s">
        <v>1229</v>
      </c>
      <c r="L606" s="0" t="n">
        <v>23</v>
      </c>
      <c r="M606" s="3" t="n">
        <f aca="false">_xlfn.NUMBERVALUE("" &amp; K606 &amp; "",".",",")</f>
        <v>0.1589991725</v>
      </c>
      <c r="O606" s="0" t="str">
        <f aca="false">VLOOKUP(C606,statusdetails!$A:$D,4,0)</f>
        <v>DELAY</v>
      </c>
    </row>
    <row r="607" customFormat="false" ht="12.8" hidden="true" customHeight="false" outlineLevel="0" collapsed="false">
      <c r="A607" s="0" t="n">
        <v>466714</v>
      </c>
      <c r="B607" s="0" t="n">
        <v>466714</v>
      </c>
      <c r="C607" s="0" t="n">
        <v>1</v>
      </c>
      <c r="D607" s="0" t="n">
        <v>6</v>
      </c>
      <c r="E607" s="0" t="n">
        <v>260</v>
      </c>
      <c r="F607" s="0" t="n">
        <v>32</v>
      </c>
      <c r="G607" s="0" t="n">
        <v>20</v>
      </c>
      <c r="H607" s="0" t="s">
        <v>1224</v>
      </c>
      <c r="I607" s="0" t="s">
        <v>1230</v>
      </c>
      <c r="J607" s="9" t="n">
        <v>45902</v>
      </c>
      <c r="K607" s="0" t="s">
        <v>1231</v>
      </c>
      <c r="L607" s="0" t="n">
        <v>23</v>
      </c>
      <c r="M607" s="10" t="n">
        <f aca="false">_xlfn.NUMBERVALUE("" &amp; K607 &amp; "",".",",")</f>
        <v>1.4243720925</v>
      </c>
      <c r="N607" s="10"/>
      <c r="O607" s="0" t="str">
        <f aca="false">VLOOKUP(C607,statusdetails!$A:$D,4,0)</f>
        <v>READY</v>
      </c>
    </row>
    <row r="608" customFormat="false" ht="12.8" hidden="true" customHeight="false" outlineLevel="0" collapsed="false">
      <c r="A608" s="0" t="n">
        <v>466715</v>
      </c>
      <c r="B608" s="0" t="n">
        <v>466715</v>
      </c>
      <c r="C608" s="0" t="n">
        <v>1</v>
      </c>
      <c r="D608" s="0" t="n">
        <v>6</v>
      </c>
      <c r="E608" s="0" t="n">
        <v>260</v>
      </c>
      <c r="F608" s="0" t="n">
        <v>66</v>
      </c>
      <c r="G608" s="0" t="n">
        <v>116</v>
      </c>
      <c r="H608" s="0" t="s">
        <v>1226</v>
      </c>
      <c r="I608" s="0" t="s">
        <v>1232</v>
      </c>
      <c r="J608" s="9" t="n">
        <v>45902</v>
      </c>
      <c r="K608" s="0" t="s">
        <v>1233</v>
      </c>
      <c r="L608" s="0" t="n">
        <v>23</v>
      </c>
      <c r="M608" s="10" t="n">
        <f aca="false">_xlfn.NUMBERVALUE("" &amp; K608 &amp; "",".",",")</f>
        <v>1.33126757722222</v>
      </c>
      <c r="N608" s="10"/>
      <c r="O608" s="0" t="str">
        <f aca="false">VLOOKUP(C608,statusdetails!$A:$D,4,0)</f>
        <v>READY</v>
      </c>
    </row>
    <row r="609" customFormat="false" ht="12.8" hidden="true" customHeight="false" outlineLevel="0" collapsed="false">
      <c r="A609" s="0" t="n">
        <v>466716</v>
      </c>
      <c r="B609" s="0" t="n">
        <v>466716</v>
      </c>
      <c r="C609" s="0" t="n">
        <v>3</v>
      </c>
      <c r="D609" s="0" t="n">
        <v>12</v>
      </c>
      <c r="E609" s="0" t="n">
        <v>2422</v>
      </c>
      <c r="F609" s="0" t="n">
        <v>89</v>
      </c>
      <c r="G609" s="0" t="n">
        <v>2</v>
      </c>
      <c r="H609" s="0" t="s">
        <v>1148</v>
      </c>
      <c r="I609" s="0" t="s">
        <v>1234</v>
      </c>
      <c r="J609" s="9" t="n">
        <v>45902</v>
      </c>
      <c r="K609" s="0" t="s">
        <v>1235</v>
      </c>
      <c r="L609" s="0" t="n">
        <v>23</v>
      </c>
      <c r="M609" s="10" t="n">
        <f aca="false">_xlfn.NUMBERVALUE("" &amp; K609 &amp; "",".",",")</f>
        <v>2.05751408305556</v>
      </c>
      <c r="N609" s="10"/>
      <c r="O609" s="0" t="str">
        <f aca="false">VLOOKUP(C609,statusdetails!$A:$D,4,0)</f>
        <v>STANDBY</v>
      </c>
      <c r="P609" s="0" t="str">
        <f aca="false">VLOOKUP(F609,equipment!$A:$E,4,0)</f>
        <v>CM06</v>
      </c>
      <c r="Q609" s="0" t="str">
        <f aca="false">VLOOKUP(F609,equipment!$A:$E,5,0)</f>
        <v>CM06 - 89</v>
      </c>
    </row>
    <row r="610" customFormat="false" ht="12.8" hidden="true" customHeight="false" outlineLevel="0" collapsed="false">
      <c r="A610" s="0" t="n">
        <v>466717</v>
      </c>
      <c r="B610" s="0" t="n">
        <v>466717</v>
      </c>
      <c r="C610" s="0" t="n">
        <v>2</v>
      </c>
      <c r="D610" s="0" t="n">
        <v>7</v>
      </c>
      <c r="E610" s="0" t="n">
        <v>2385</v>
      </c>
      <c r="F610" s="0" t="n">
        <v>96</v>
      </c>
      <c r="G610" s="0" t="n">
        <v>124</v>
      </c>
      <c r="H610" s="0" t="s">
        <v>1140</v>
      </c>
      <c r="I610" s="0" t="s">
        <v>1236</v>
      </c>
      <c r="J610" s="9" t="n">
        <v>45902</v>
      </c>
      <c r="K610" s="0" t="s">
        <v>1237</v>
      </c>
      <c r="L610" s="0" t="n">
        <v>23</v>
      </c>
      <c r="M610" s="3" t="n">
        <f aca="false">_xlfn.NUMBERVALUE("" &amp; K610 &amp; "",".",",")</f>
        <v>0.558532693333333</v>
      </c>
      <c r="O610" s="0" t="str">
        <f aca="false">VLOOKUP(C610,statusdetails!$A:$D,4,0)</f>
        <v>DELAY</v>
      </c>
    </row>
    <row r="611" customFormat="false" ht="12.8" hidden="true" customHeight="false" outlineLevel="0" collapsed="false">
      <c r="A611" s="0" t="n">
        <v>466718</v>
      </c>
      <c r="B611" s="0" t="n">
        <v>466718</v>
      </c>
      <c r="C611" s="0" t="n">
        <v>1</v>
      </c>
      <c r="D611" s="0" t="n">
        <v>6</v>
      </c>
      <c r="E611" s="0" t="n">
        <v>2518</v>
      </c>
      <c r="F611" s="0" t="n">
        <v>82</v>
      </c>
      <c r="G611" s="0" t="n">
        <v>28</v>
      </c>
      <c r="H611" s="0" t="s">
        <v>1228</v>
      </c>
      <c r="I611" s="0" t="s">
        <v>1238</v>
      </c>
      <c r="J611" s="9" t="n">
        <v>45902</v>
      </c>
      <c r="K611" s="0" t="s">
        <v>1239</v>
      </c>
      <c r="L611" s="0" t="n">
        <v>23</v>
      </c>
      <c r="M611" s="10" t="n">
        <f aca="false">_xlfn.NUMBERVALUE("" &amp; K611 &amp; "",".",",")</f>
        <v>0.554619593888889</v>
      </c>
      <c r="N611" s="10"/>
      <c r="O611" s="0" t="str">
        <f aca="false">VLOOKUP(C611,statusdetails!$A:$D,4,0)</f>
        <v>READY</v>
      </c>
    </row>
    <row r="612" customFormat="false" ht="12.8" hidden="true" customHeight="false" outlineLevel="0" collapsed="false">
      <c r="A612" s="0" t="n">
        <v>466719</v>
      </c>
      <c r="B612" s="0" t="n">
        <v>466719</v>
      </c>
      <c r="C612" s="0" t="n">
        <v>3</v>
      </c>
      <c r="D612" s="0" t="n">
        <v>12</v>
      </c>
      <c r="E612" s="0" t="n">
        <v>2422</v>
      </c>
      <c r="F612" s="0" t="n">
        <v>85</v>
      </c>
      <c r="G612" s="0" t="n">
        <v>4</v>
      </c>
      <c r="H612" s="0" t="s">
        <v>1142</v>
      </c>
      <c r="I612" s="0" t="s">
        <v>1240</v>
      </c>
      <c r="J612" s="9" t="n">
        <v>45902</v>
      </c>
      <c r="K612" s="0" t="s">
        <v>1241</v>
      </c>
      <c r="L612" s="0" t="n">
        <v>23</v>
      </c>
      <c r="M612" s="10" t="n">
        <f aca="false">_xlfn.NUMBERVALUE("" &amp; K612 &amp; "",".",",")</f>
        <v>2.03141868916667</v>
      </c>
      <c r="N612" s="10"/>
      <c r="O612" s="0" t="str">
        <f aca="false">VLOOKUP(C612,statusdetails!$A:$D,4,0)</f>
        <v>STANDBY</v>
      </c>
      <c r="P612" s="0" t="str">
        <f aca="false">VLOOKUP(F612,equipment!$A:$E,4,0)</f>
        <v>CM02</v>
      </c>
      <c r="Q612" s="0" t="str">
        <f aca="false">VLOOKUP(F612,equipment!$A:$E,5,0)</f>
        <v>CM02 - 85</v>
      </c>
    </row>
    <row r="613" customFormat="false" ht="12.8" hidden="true" customHeight="false" outlineLevel="0" collapsed="false">
      <c r="A613" s="0" t="n">
        <v>466720</v>
      </c>
      <c r="B613" s="0" t="n">
        <v>466720</v>
      </c>
      <c r="C613" s="0" t="n">
        <v>3</v>
      </c>
      <c r="D613" s="0" t="n">
        <v>12</v>
      </c>
      <c r="E613" s="0" t="n">
        <v>2422</v>
      </c>
      <c r="F613" s="0" t="n">
        <v>87</v>
      </c>
      <c r="G613" s="0" t="n">
        <v>140</v>
      </c>
      <c r="H613" s="0" t="s">
        <v>1146</v>
      </c>
      <c r="I613" s="0" t="s">
        <v>1242</v>
      </c>
      <c r="J613" s="9" t="n">
        <v>45902</v>
      </c>
      <c r="K613" s="0" t="s">
        <v>1243</v>
      </c>
      <c r="L613" s="0" t="n">
        <v>23</v>
      </c>
      <c r="M613" s="10" t="n">
        <f aca="false">_xlfn.NUMBERVALUE("" &amp; K613 &amp; "",".",",")</f>
        <v>2.01048228111111</v>
      </c>
      <c r="N613" s="10"/>
      <c r="O613" s="0" t="str">
        <f aca="false">VLOOKUP(C613,statusdetails!$A:$D,4,0)</f>
        <v>STANDBY</v>
      </c>
      <c r="P613" s="0" t="str">
        <f aca="false">VLOOKUP(F613,equipment!$A:$E,4,0)</f>
        <v>CM04</v>
      </c>
      <c r="Q613" s="0" t="str">
        <f aca="false">VLOOKUP(F613,equipment!$A:$E,5,0)</f>
        <v>CM04 - 87</v>
      </c>
    </row>
    <row r="614" customFormat="false" ht="12.8" hidden="true" customHeight="false" outlineLevel="0" collapsed="false">
      <c r="A614" s="0" t="n">
        <v>466721</v>
      </c>
      <c r="B614" s="0" t="n">
        <v>466721</v>
      </c>
      <c r="C614" s="0" t="n">
        <v>3</v>
      </c>
      <c r="D614" s="0" t="n">
        <v>14</v>
      </c>
      <c r="E614" s="0" t="n">
        <v>2417</v>
      </c>
      <c r="F614" s="0" t="n">
        <v>84</v>
      </c>
      <c r="G614" s="0" t="n">
        <v>139</v>
      </c>
      <c r="H614" s="0" t="s">
        <v>1169</v>
      </c>
      <c r="I614" s="0" t="s">
        <v>1244</v>
      </c>
      <c r="J614" s="9" t="n">
        <v>45902</v>
      </c>
      <c r="K614" s="0" t="s">
        <v>1245</v>
      </c>
      <c r="L614" s="0" t="n">
        <v>23</v>
      </c>
      <c r="M614" s="10" t="n">
        <f aca="false">_xlfn.NUMBERVALUE("" &amp; K614 &amp; "",".",",")</f>
        <v>0.013899105</v>
      </c>
      <c r="N614" s="10"/>
      <c r="O614" s="0" t="str">
        <f aca="false">VLOOKUP(C614,statusdetails!$A:$D,4,0)</f>
        <v>STANDBY</v>
      </c>
      <c r="P614" s="0" t="str">
        <f aca="false">VLOOKUP(F614,equipment!$A:$E,4,0)</f>
        <v>CM01</v>
      </c>
      <c r="Q614" s="0" t="str">
        <f aca="false">VLOOKUP(F614,equipment!$A:$E,5,0)</f>
        <v>CM01 - 84</v>
      </c>
    </row>
    <row r="615" customFormat="false" ht="12.8" hidden="true" customHeight="false" outlineLevel="0" collapsed="false">
      <c r="A615" s="0" t="n">
        <v>466722</v>
      </c>
      <c r="B615" s="0" t="n">
        <v>466722</v>
      </c>
      <c r="C615" s="0" t="n">
        <v>3</v>
      </c>
      <c r="D615" s="0" t="n">
        <v>12</v>
      </c>
      <c r="E615" s="0" t="n">
        <v>2422</v>
      </c>
      <c r="F615" s="0" t="n">
        <v>84</v>
      </c>
      <c r="G615" s="0" t="n">
        <v>139</v>
      </c>
      <c r="H615" s="0" t="s">
        <v>1244</v>
      </c>
      <c r="I615" s="0" t="s">
        <v>1246</v>
      </c>
      <c r="J615" s="9" t="n">
        <v>45902</v>
      </c>
      <c r="K615" s="0" t="s">
        <v>1247</v>
      </c>
      <c r="L615" s="0" t="n">
        <v>23</v>
      </c>
      <c r="M615" s="10" t="n">
        <f aca="false">_xlfn.NUMBERVALUE("" &amp; K615 &amp; "",".",",")</f>
        <v>1.98062176027778</v>
      </c>
      <c r="N615" s="10"/>
      <c r="O615" s="0" t="str">
        <f aca="false">VLOOKUP(C615,statusdetails!$A:$D,4,0)</f>
        <v>STANDBY</v>
      </c>
      <c r="P615" s="0" t="str">
        <f aca="false">VLOOKUP(F615,equipment!$A:$E,4,0)</f>
        <v>CM01</v>
      </c>
      <c r="Q615" s="0" t="str">
        <f aca="false">VLOOKUP(F615,equipment!$A:$E,5,0)</f>
        <v>CM01 - 84</v>
      </c>
    </row>
    <row r="616" customFormat="false" ht="12.8" hidden="true" customHeight="false" outlineLevel="0" collapsed="false">
      <c r="A616" s="0" t="n">
        <v>466723</v>
      </c>
      <c r="B616" s="0" t="n">
        <v>466723</v>
      </c>
      <c r="C616" s="0" t="n">
        <v>3</v>
      </c>
      <c r="D616" s="0" t="n">
        <v>12</v>
      </c>
      <c r="E616" s="0" t="n">
        <v>2422</v>
      </c>
      <c r="F616" s="0" t="n">
        <v>88</v>
      </c>
      <c r="G616" s="0" t="n">
        <v>131</v>
      </c>
      <c r="H616" s="0" t="s">
        <v>1167</v>
      </c>
      <c r="I616" s="0" t="s">
        <v>1248</v>
      </c>
      <c r="J616" s="9" t="n">
        <v>45902</v>
      </c>
      <c r="K616" s="0" t="s">
        <v>1249</v>
      </c>
      <c r="L616" s="0" t="n">
        <v>23</v>
      </c>
      <c r="M616" s="10" t="n">
        <f aca="false">_xlfn.NUMBERVALUE("" &amp; K616 &amp; "",".",",")</f>
        <v>1.97034961083333</v>
      </c>
      <c r="N616" s="10"/>
      <c r="O616" s="0" t="str">
        <f aca="false">VLOOKUP(C616,statusdetails!$A:$D,4,0)</f>
        <v>STANDBY</v>
      </c>
      <c r="P616" s="0" t="str">
        <f aca="false">VLOOKUP(F616,equipment!$A:$E,4,0)</f>
        <v>CM05</v>
      </c>
      <c r="Q616" s="0" t="str">
        <f aca="false">VLOOKUP(F616,equipment!$A:$E,5,0)</f>
        <v>CM05 - 88</v>
      </c>
    </row>
    <row r="617" customFormat="false" ht="12.8" hidden="true" customHeight="false" outlineLevel="0" collapsed="false">
      <c r="A617" s="0" t="n">
        <v>466724</v>
      </c>
      <c r="B617" s="0" t="n">
        <v>466724</v>
      </c>
      <c r="C617" s="0" t="n">
        <v>2</v>
      </c>
      <c r="D617" s="0" t="n">
        <v>9</v>
      </c>
      <c r="E617" s="0" t="n">
        <v>1004</v>
      </c>
      <c r="F617" s="0" t="n">
        <v>35</v>
      </c>
      <c r="G617" s="0" t="n">
        <v>112</v>
      </c>
      <c r="H617" s="0" t="s">
        <v>1144</v>
      </c>
      <c r="I617" s="0" t="s">
        <v>1250</v>
      </c>
      <c r="J617" s="9" t="n">
        <v>45902</v>
      </c>
      <c r="K617" s="0" t="s">
        <v>1251</v>
      </c>
      <c r="L617" s="0" t="n">
        <v>0</v>
      </c>
      <c r="M617" s="3" t="n">
        <f aca="false">_xlfn.NUMBERVALUE("" &amp; K617 &amp; "",".",",")</f>
        <v>0.235865792222222</v>
      </c>
      <c r="O617" s="0" t="str">
        <f aca="false">VLOOKUP(C617,statusdetails!$A:$D,4,0)</f>
        <v>DELAY</v>
      </c>
    </row>
    <row r="618" customFormat="false" ht="12.8" hidden="true" customHeight="false" outlineLevel="0" collapsed="false">
      <c r="A618" s="0" t="n">
        <v>466725</v>
      </c>
      <c r="B618" s="0" t="n">
        <v>466725</v>
      </c>
      <c r="C618" s="0" t="n">
        <v>3</v>
      </c>
      <c r="D618" s="0" t="n">
        <v>14</v>
      </c>
      <c r="E618" s="0" t="n">
        <v>1163</v>
      </c>
      <c r="F618" s="0" t="n">
        <v>45</v>
      </c>
      <c r="G618" s="0" t="n">
        <v>0</v>
      </c>
      <c r="H618" s="0" t="s">
        <v>1132</v>
      </c>
      <c r="I618" s="0" t="s">
        <v>1252</v>
      </c>
      <c r="J618" s="9" t="n">
        <v>45902</v>
      </c>
      <c r="K618" s="0" t="s">
        <v>1253</v>
      </c>
      <c r="L618" s="0" t="n">
        <v>0</v>
      </c>
      <c r="M618" s="10" t="n">
        <f aca="false">_xlfn.NUMBERVALUE("" &amp; K618 &amp; "",".",",")</f>
        <v>0.221469549166667</v>
      </c>
      <c r="N618" s="10"/>
      <c r="O618" s="0" t="str">
        <f aca="false">VLOOKUP(C618,statusdetails!$A:$D,4,0)</f>
        <v>STANDBY</v>
      </c>
      <c r="P618" s="0" t="str">
        <f aca="false">VLOOKUP(F618,equipment!$A:$E,4,0)</f>
        <v>EX501</v>
      </c>
      <c r="Q618" s="0" t="str">
        <f aca="false">VLOOKUP(F618,equipment!$A:$E,5,0)</f>
        <v>EX501 - 45</v>
      </c>
    </row>
    <row r="619" customFormat="false" ht="12.8" hidden="true" customHeight="false" outlineLevel="0" collapsed="false">
      <c r="A619" s="0" t="n">
        <v>466726</v>
      </c>
      <c r="B619" s="0" t="n">
        <v>466726</v>
      </c>
      <c r="C619" s="0" t="n">
        <v>4</v>
      </c>
      <c r="D619" s="0" t="n">
        <v>15</v>
      </c>
      <c r="E619" s="0" t="n">
        <v>2396</v>
      </c>
      <c r="F619" s="0" t="n">
        <v>82</v>
      </c>
      <c r="G619" s="0" t="n">
        <v>28</v>
      </c>
      <c r="H619" s="0" t="s">
        <v>1238</v>
      </c>
      <c r="I619" s="0" t="s">
        <v>1254</v>
      </c>
      <c r="J619" s="9" t="n">
        <v>45902</v>
      </c>
      <c r="K619" s="0" t="s">
        <v>1255</v>
      </c>
      <c r="L619" s="0" t="n">
        <v>0</v>
      </c>
      <c r="M619" s="10" t="n">
        <f aca="false">_xlfn.NUMBERVALUE("" &amp; K619 &amp; "",".",",")</f>
        <v>1.65006933444444</v>
      </c>
      <c r="N619" s="10"/>
      <c r="O619" s="0" t="str">
        <f aca="false">VLOOKUP(C619,statusdetails!$A:$D,4,0)</f>
        <v>MAINT</v>
      </c>
    </row>
    <row r="620" customFormat="false" ht="12.8" hidden="true" customHeight="false" outlineLevel="0" collapsed="false">
      <c r="A620" s="0" t="n">
        <v>466727</v>
      </c>
      <c r="B620" s="0" t="n">
        <v>466727</v>
      </c>
      <c r="C620" s="0" t="n">
        <v>1</v>
      </c>
      <c r="D620" s="0" t="n">
        <v>6</v>
      </c>
      <c r="E620" s="0" t="n">
        <v>2518</v>
      </c>
      <c r="F620" s="0" t="n">
        <v>96</v>
      </c>
      <c r="G620" s="0" t="n">
        <v>124</v>
      </c>
      <c r="H620" s="0" t="s">
        <v>1236</v>
      </c>
      <c r="I620" s="0" t="s">
        <v>1256</v>
      </c>
      <c r="J620" s="9" t="n">
        <v>45902</v>
      </c>
      <c r="K620" s="0" t="s">
        <v>1257</v>
      </c>
      <c r="L620" s="0" t="n">
        <v>0</v>
      </c>
      <c r="M620" s="10" t="n">
        <f aca="false">_xlfn.NUMBERVALUE("" &amp; K620 &amp; "",".",",")</f>
        <v>0.968590517777778</v>
      </c>
      <c r="N620" s="10"/>
      <c r="O620" s="0" t="str">
        <f aca="false">VLOOKUP(C620,statusdetails!$A:$D,4,0)</f>
        <v>READY</v>
      </c>
    </row>
    <row r="621" customFormat="false" ht="12.8" hidden="true" customHeight="false" outlineLevel="0" collapsed="false">
      <c r="A621" s="0" t="n">
        <v>466728</v>
      </c>
      <c r="B621" s="0" t="n">
        <v>466728</v>
      </c>
      <c r="C621" s="0" t="n">
        <v>2</v>
      </c>
      <c r="D621" s="0" t="n">
        <v>9</v>
      </c>
      <c r="E621" s="0" t="n">
        <v>1004</v>
      </c>
      <c r="F621" s="0" t="n">
        <v>33</v>
      </c>
      <c r="G621" s="0" t="n">
        <v>96</v>
      </c>
      <c r="H621" s="0" t="s">
        <v>1183</v>
      </c>
      <c r="I621" s="0" t="s">
        <v>1258</v>
      </c>
      <c r="J621" s="9" t="n">
        <v>45902</v>
      </c>
      <c r="K621" s="0" t="s">
        <v>1259</v>
      </c>
      <c r="L621" s="0" t="n">
        <v>0</v>
      </c>
      <c r="M621" s="3" t="n">
        <f aca="false">_xlfn.NUMBERVALUE("" &amp; K621 &amp; "",".",",")</f>
        <v>0.0897615369444444</v>
      </c>
      <c r="O621" s="0" t="str">
        <f aca="false">VLOOKUP(C621,statusdetails!$A:$D,4,0)</f>
        <v>DELAY</v>
      </c>
    </row>
    <row r="622" customFormat="false" ht="12.8" hidden="true" customHeight="false" outlineLevel="0" collapsed="false">
      <c r="A622" s="0" t="n">
        <v>466729</v>
      </c>
      <c r="B622" s="0" t="n">
        <v>466729</v>
      </c>
      <c r="C622" s="0" t="n">
        <v>1</v>
      </c>
      <c r="D622" s="0" t="n">
        <v>6</v>
      </c>
      <c r="E622" s="0" t="n">
        <v>138</v>
      </c>
      <c r="F622" s="0" t="n">
        <v>45</v>
      </c>
      <c r="G622" s="0" t="n">
        <v>0</v>
      </c>
      <c r="H622" s="0" t="s">
        <v>1252</v>
      </c>
      <c r="I622" s="0" t="s">
        <v>1260</v>
      </c>
      <c r="J622" s="9" t="n">
        <v>45902</v>
      </c>
      <c r="K622" s="0" t="s">
        <v>1261</v>
      </c>
      <c r="L622" s="0" t="n">
        <v>0</v>
      </c>
      <c r="M622" s="10" t="n">
        <f aca="false">_xlfn.NUMBERVALUE("" &amp; K622 &amp; "",".",",")</f>
        <v>1.76000410277778</v>
      </c>
      <c r="N622" s="10"/>
      <c r="O622" s="0" t="str">
        <f aca="false">VLOOKUP(C622,statusdetails!$A:$D,4,0)</f>
        <v>READY</v>
      </c>
    </row>
    <row r="623" customFormat="false" ht="12.8" hidden="true" customHeight="false" outlineLevel="0" collapsed="false">
      <c r="A623" s="0" t="n">
        <v>466730</v>
      </c>
      <c r="B623" s="0" t="n">
        <v>466730</v>
      </c>
      <c r="C623" s="0" t="n">
        <v>1</v>
      </c>
      <c r="D623" s="0" t="n">
        <v>6</v>
      </c>
      <c r="E623" s="0" t="n">
        <v>260</v>
      </c>
      <c r="F623" s="0" t="n">
        <v>35</v>
      </c>
      <c r="G623" s="0" t="n">
        <v>112</v>
      </c>
      <c r="H623" s="0" t="s">
        <v>1250</v>
      </c>
      <c r="I623" s="0" t="s">
        <v>1262</v>
      </c>
      <c r="J623" s="9" t="n">
        <v>45902</v>
      </c>
      <c r="K623" s="0" t="s">
        <v>1263</v>
      </c>
      <c r="L623" s="0" t="n">
        <v>0</v>
      </c>
      <c r="M623" s="10" t="n">
        <f aca="false">_xlfn.NUMBERVALUE("" &amp; K623 &amp; "",".",",")</f>
        <v>1.73215284805556</v>
      </c>
      <c r="N623" s="10"/>
      <c r="O623" s="0" t="str">
        <f aca="false">VLOOKUP(C623,statusdetails!$A:$D,4,0)</f>
        <v>READY</v>
      </c>
    </row>
    <row r="624" customFormat="false" ht="12.8" hidden="true" customHeight="false" outlineLevel="0" collapsed="false">
      <c r="A624" s="0" t="n">
        <v>466731</v>
      </c>
      <c r="B624" s="0" t="n">
        <v>466731</v>
      </c>
      <c r="C624" s="0" t="n">
        <v>1</v>
      </c>
      <c r="D624" s="0" t="n">
        <v>6</v>
      </c>
      <c r="E624" s="0" t="n">
        <v>260</v>
      </c>
      <c r="F624" s="0" t="n">
        <v>33</v>
      </c>
      <c r="G624" s="0" t="n">
        <v>96</v>
      </c>
      <c r="H624" s="0" t="s">
        <v>1258</v>
      </c>
      <c r="I624" s="0" t="s">
        <v>1264</v>
      </c>
      <c r="J624" s="9" t="n">
        <v>45902</v>
      </c>
      <c r="K624" s="0" t="s">
        <v>1265</v>
      </c>
      <c r="L624" s="0" t="n">
        <v>0</v>
      </c>
      <c r="M624" s="10" t="n">
        <f aca="false">_xlfn.NUMBERVALUE("" &amp; K624 &amp; "",".",",")</f>
        <v>1.8659927825</v>
      </c>
      <c r="N624" s="10"/>
      <c r="O624" s="0" t="str">
        <f aca="false">VLOOKUP(C624,statusdetails!$A:$D,4,0)</f>
        <v>READY</v>
      </c>
    </row>
    <row r="625" customFormat="false" ht="12.8" hidden="true" customHeight="false" outlineLevel="0" collapsed="false">
      <c r="A625" s="0" t="n">
        <v>466732</v>
      </c>
      <c r="B625" s="0" t="n">
        <v>466732</v>
      </c>
      <c r="C625" s="0" t="n">
        <v>3</v>
      </c>
      <c r="D625" s="0" t="n">
        <v>14</v>
      </c>
      <c r="E625" s="0" t="n">
        <v>1139</v>
      </c>
      <c r="F625" s="0" t="n">
        <v>43</v>
      </c>
      <c r="G625" s="0" t="n">
        <v>35</v>
      </c>
      <c r="H625" s="0" t="s">
        <v>1204</v>
      </c>
      <c r="I625" s="0" t="s">
        <v>1266</v>
      </c>
      <c r="J625" s="9" t="n">
        <v>45902</v>
      </c>
      <c r="K625" s="0" t="s">
        <v>1267</v>
      </c>
      <c r="L625" s="0" t="n">
        <v>0</v>
      </c>
      <c r="M625" s="10" t="n">
        <f aca="false">_xlfn.NUMBERVALUE("" &amp; K625 &amp; "",".",",")</f>
        <v>1.93427432805556</v>
      </c>
      <c r="N625" s="10"/>
      <c r="O625" s="0" t="str">
        <f aca="false">VLOOKUP(C625,statusdetails!$A:$D,4,0)</f>
        <v>STANDBY</v>
      </c>
      <c r="P625" s="0" t="str">
        <f aca="false">VLOOKUP(F625,equipment!$A:$E,4,0)</f>
        <v>PE302</v>
      </c>
      <c r="Q625" s="0" t="str">
        <f aca="false">VLOOKUP(F625,equipment!$A:$E,5,0)</f>
        <v>PE302 - 43</v>
      </c>
    </row>
    <row r="626" customFormat="false" ht="12.8" hidden="true" customHeight="false" outlineLevel="0" collapsed="false">
      <c r="A626" s="0" t="n">
        <v>466733</v>
      </c>
      <c r="B626" s="0" t="n">
        <v>466733</v>
      </c>
      <c r="C626" s="0" t="n">
        <v>2</v>
      </c>
      <c r="D626" s="0" t="n">
        <v>9</v>
      </c>
      <c r="E626" s="0" t="n">
        <v>2305</v>
      </c>
      <c r="F626" s="0" t="n">
        <v>66</v>
      </c>
      <c r="G626" s="0" t="n">
        <v>116</v>
      </c>
      <c r="H626" s="0" t="s">
        <v>1232</v>
      </c>
      <c r="I626" s="0" t="s">
        <v>1268</v>
      </c>
      <c r="J626" s="9" t="n">
        <v>45902</v>
      </c>
      <c r="K626" s="0" t="s">
        <v>1269</v>
      </c>
      <c r="L626" s="0" t="n">
        <v>1</v>
      </c>
      <c r="M626" s="3" t="n">
        <f aca="false">_xlfn.NUMBERVALUE("" &amp; K626 &amp; "",".",",")</f>
        <v>0.1146740175</v>
      </c>
      <c r="O626" s="0" t="str">
        <f aca="false">VLOOKUP(C626,statusdetails!$A:$D,4,0)</f>
        <v>DELAY</v>
      </c>
    </row>
    <row r="627" customFormat="false" ht="12.8" hidden="true" customHeight="false" outlineLevel="0" collapsed="false">
      <c r="A627" s="0" t="n">
        <v>466734</v>
      </c>
      <c r="B627" s="0" t="n">
        <v>466734</v>
      </c>
      <c r="C627" s="0" t="n">
        <v>2</v>
      </c>
      <c r="D627" s="0" t="n">
        <v>9</v>
      </c>
      <c r="E627" s="0" t="n">
        <v>2568</v>
      </c>
      <c r="F627" s="0" t="n">
        <v>32</v>
      </c>
      <c r="G627" s="0" t="n">
        <v>20</v>
      </c>
      <c r="H627" s="0" t="s">
        <v>1230</v>
      </c>
      <c r="I627" s="0" t="s">
        <v>1270</v>
      </c>
      <c r="J627" s="9" t="n">
        <v>45902</v>
      </c>
      <c r="K627" s="0" t="s">
        <v>1271</v>
      </c>
      <c r="L627" s="0" t="n">
        <v>1</v>
      </c>
      <c r="M627" s="3" t="n">
        <f aca="false">_xlfn.NUMBERVALUE("" &amp; K627 &amp; "",".",",")</f>
        <v>0.2342692375</v>
      </c>
      <c r="O627" s="0" t="str">
        <f aca="false">VLOOKUP(C627,statusdetails!$A:$D,4,0)</f>
        <v>DELAY</v>
      </c>
    </row>
    <row r="628" customFormat="false" ht="12.8" hidden="true" customHeight="false" outlineLevel="0" collapsed="false">
      <c r="A628" s="0" t="n">
        <v>466735</v>
      </c>
      <c r="B628" s="0" t="n">
        <v>466735</v>
      </c>
      <c r="C628" s="0" t="n">
        <v>2</v>
      </c>
      <c r="D628" s="0" t="n">
        <v>9</v>
      </c>
      <c r="E628" s="0" t="n">
        <v>2568</v>
      </c>
      <c r="F628" s="0" t="n">
        <v>66</v>
      </c>
      <c r="G628" s="0" t="n">
        <v>116</v>
      </c>
      <c r="H628" s="0" t="s">
        <v>1268</v>
      </c>
      <c r="I628" s="0" t="s">
        <v>1272</v>
      </c>
      <c r="J628" s="9" t="n">
        <v>45902</v>
      </c>
      <c r="K628" s="0" t="s">
        <v>1273</v>
      </c>
      <c r="L628" s="0" t="n">
        <v>1</v>
      </c>
      <c r="M628" s="3" t="n">
        <f aca="false">_xlfn.NUMBERVALUE("" &amp; K628 &amp; "",".",",")</f>
        <v>0.207915766111111</v>
      </c>
      <c r="O628" s="0" t="str">
        <f aca="false">VLOOKUP(C628,statusdetails!$A:$D,4,0)</f>
        <v>DELAY</v>
      </c>
    </row>
    <row r="629" customFormat="false" ht="12.8" hidden="true" customHeight="false" outlineLevel="0" collapsed="false">
      <c r="A629" s="0" t="n">
        <v>466736</v>
      </c>
      <c r="B629" s="0" t="n">
        <v>466736</v>
      </c>
      <c r="C629" s="0" t="n">
        <v>2</v>
      </c>
      <c r="D629" s="0" t="n">
        <v>9</v>
      </c>
      <c r="E629" s="0" t="n">
        <v>2399</v>
      </c>
      <c r="F629" s="0" t="n">
        <v>96</v>
      </c>
      <c r="G629" s="0" t="n">
        <v>124</v>
      </c>
      <c r="H629" s="0" t="s">
        <v>1256</v>
      </c>
      <c r="I629" s="0" t="s">
        <v>1274</v>
      </c>
      <c r="J629" s="9" t="n">
        <v>45902</v>
      </c>
      <c r="K629" s="0" t="s">
        <v>1275</v>
      </c>
      <c r="L629" s="0" t="n">
        <v>1</v>
      </c>
      <c r="M629" s="3" t="n">
        <f aca="false">_xlfn.NUMBERVALUE("" &amp; K629 &amp; "",".",",")</f>
        <v>0.0967645238888889</v>
      </c>
      <c r="O629" s="0" t="str">
        <f aca="false">VLOOKUP(C629,statusdetails!$A:$D,4,0)</f>
        <v>DELAY</v>
      </c>
    </row>
    <row r="630" customFormat="false" ht="12.8" hidden="true" customHeight="false" outlineLevel="0" collapsed="false">
      <c r="A630" s="0" t="n">
        <v>466737</v>
      </c>
      <c r="B630" s="0" t="n">
        <v>466737</v>
      </c>
      <c r="C630" s="0" t="n">
        <v>1</v>
      </c>
      <c r="D630" s="0" t="n">
        <v>6</v>
      </c>
      <c r="E630" s="0" t="n">
        <v>260</v>
      </c>
      <c r="F630" s="0" t="n">
        <v>66</v>
      </c>
      <c r="G630" s="0" t="n">
        <v>85</v>
      </c>
      <c r="H630" s="0" t="s">
        <v>1272</v>
      </c>
      <c r="I630" s="0" t="s">
        <v>1276</v>
      </c>
      <c r="J630" s="9" t="n">
        <v>45902</v>
      </c>
      <c r="K630" s="0" t="s">
        <v>1277</v>
      </c>
      <c r="L630" s="0" t="n">
        <v>1</v>
      </c>
      <c r="M630" s="10" t="n">
        <f aca="false">_xlfn.NUMBERVALUE("" &amp; K630 &amp; "",".",",")</f>
        <v>0.903163181944444</v>
      </c>
      <c r="N630" s="10"/>
      <c r="O630" s="0" t="str">
        <f aca="false">VLOOKUP(C630,statusdetails!$A:$D,4,0)</f>
        <v>READY</v>
      </c>
    </row>
    <row r="631" customFormat="false" ht="12.8" hidden="true" customHeight="false" outlineLevel="0" collapsed="false">
      <c r="A631" s="0" t="n">
        <v>466738</v>
      </c>
      <c r="B631" s="0" t="n">
        <v>466738</v>
      </c>
      <c r="C631" s="0" t="n">
        <v>1</v>
      </c>
      <c r="D631" s="0" t="n">
        <v>6</v>
      </c>
      <c r="E631" s="0" t="n">
        <v>260</v>
      </c>
      <c r="F631" s="0" t="n">
        <v>32</v>
      </c>
      <c r="G631" s="0" t="n">
        <v>40</v>
      </c>
      <c r="H631" s="0" t="s">
        <v>1270</v>
      </c>
      <c r="I631" s="0" t="s">
        <v>1278</v>
      </c>
      <c r="J631" s="9" t="n">
        <v>45902</v>
      </c>
      <c r="K631" s="0" t="s">
        <v>1279</v>
      </c>
      <c r="L631" s="0" t="n">
        <v>1</v>
      </c>
      <c r="M631" s="10" t="n">
        <f aca="false">_xlfn.NUMBERVALUE("" &amp; K631 &amp; "",".",",")</f>
        <v>0.959460958888889</v>
      </c>
      <c r="N631" s="10"/>
      <c r="O631" s="0" t="str">
        <f aca="false">VLOOKUP(C631,statusdetails!$A:$D,4,0)</f>
        <v>READY</v>
      </c>
    </row>
    <row r="632" customFormat="false" ht="12.8" hidden="true" customHeight="false" outlineLevel="0" collapsed="false">
      <c r="A632" s="0" t="n">
        <v>466739</v>
      </c>
      <c r="B632" s="0" t="n">
        <v>466739</v>
      </c>
      <c r="C632" s="0" t="n">
        <v>1</v>
      </c>
      <c r="D632" s="0" t="n">
        <v>6</v>
      </c>
      <c r="E632" s="0" t="n">
        <v>2518</v>
      </c>
      <c r="F632" s="0" t="n">
        <v>96</v>
      </c>
      <c r="G632" s="0" t="n">
        <v>124</v>
      </c>
      <c r="H632" s="0" t="s">
        <v>1274</v>
      </c>
      <c r="I632" s="0" t="s">
        <v>1280</v>
      </c>
      <c r="J632" s="9" t="n">
        <v>45902</v>
      </c>
      <c r="K632" s="0" t="s">
        <v>1281</v>
      </c>
      <c r="L632" s="0" t="n">
        <v>1</v>
      </c>
      <c r="M632" s="10" t="n">
        <f aca="false">_xlfn.NUMBERVALUE("" &amp; K632 &amp; "",".",",")</f>
        <v>0.605676041944444</v>
      </c>
      <c r="N632" s="10"/>
      <c r="O632" s="0" t="str">
        <f aca="false">VLOOKUP(C632,statusdetails!$A:$D,4,0)</f>
        <v>READY</v>
      </c>
    </row>
    <row r="633" customFormat="false" ht="12.8" hidden="true" customHeight="false" outlineLevel="0" collapsed="false">
      <c r="A633" s="0" t="n">
        <v>466740</v>
      </c>
      <c r="B633" s="0" t="n">
        <v>466740</v>
      </c>
      <c r="C633" s="0" t="n">
        <v>2</v>
      </c>
      <c r="D633" s="0" t="n">
        <v>7</v>
      </c>
      <c r="E633" s="0" t="n">
        <v>2405</v>
      </c>
      <c r="F633" s="0" t="n">
        <v>84</v>
      </c>
      <c r="G633" s="0" t="n">
        <v>139</v>
      </c>
      <c r="H633" s="0" t="s">
        <v>1246</v>
      </c>
      <c r="I633" s="0" t="s">
        <v>1282</v>
      </c>
      <c r="J633" s="9" t="n">
        <v>45902</v>
      </c>
      <c r="K633" s="0" t="s">
        <v>1283</v>
      </c>
      <c r="L633" s="0" t="n">
        <v>1</v>
      </c>
      <c r="M633" s="3" t="n">
        <f aca="false">_xlfn.NUMBERVALUE("" &amp; K633 &amp; "",".",",")</f>
        <v>0.379029561666667</v>
      </c>
      <c r="O633" s="0" t="str">
        <f aca="false">VLOOKUP(C633,statusdetails!$A:$D,4,0)</f>
        <v>DELAY</v>
      </c>
    </row>
    <row r="634" customFormat="false" ht="12.8" hidden="true" customHeight="false" outlineLevel="0" collapsed="false">
      <c r="A634" s="0" t="n">
        <v>466741</v>
      </c>
      <c r="B634" s="0" t="n">
        <v>466741</v>
      </c>
      <c r="C634" s="0" t="n">
        <v>2</v>
      </c>
      <c r="D634" s="0" t="n">
        <v>7</v>
      </c>
      <c r="E634" s="0" t="n">
        <v>2405</v>
      </c>
      <c r="F634" s="0" t="n">
        <v>85</v>
      </c>
      <c r="G634" s="0" t="n">
        <v>4</v>
      </c>
      <c r="H634" s="0" t="s">
        <v>1240</v>
      </c>
      <c r="I634" s="0" t="s">
        <v>1284</v>
      </c>
      <c r="J634" s="9" t="n">
        <v>45902</v>
      </c>
      <c r="K634" s="0" t="s">
        <v>1285</v>
      </c>
      <c r="L634" s="0" t="n">
        <v>1</v>
      </c>
      <c r="M634" s="3" t="n">
        <f aca="false">_xlfn.NUMBERVALUE("" &amp; K634 &amp; "",".",",")</f>
        <v>0.373605543333333</v>
      </c>
      <c r="O634" s="0" t="str">
        <f aca="false">VLOOKUP(C634,statusdetails!$A:$D,4,0)</f>
        <v>DELAY</v>
      </c>
    </row>
    <row r="635" customFormat="false" ht="12.8" hidden="true" customHeight="false" outlineLevel="0" collapsed="false">
      <c r="A635" s="0" t="n">
        <v>466742</v>
      </c>
      <c r="B635" s="0" t="n">
        <v>466742</v>
      </c>
      <c r="C635" s="0" t="n">
        <v>2</v>
      </c>
      <c r="D635" s="0" t="n">
        <v>7</v>
      </c>
      <c r="E635" s="0" t="n">
        <v>2405</v>
      </c>
      <c r="F635" s="0" t="n">
        <v>87</v>
      </c>
      <c r="G635" s="0" t="n">
        <v>140</v>
      </c>
      <c r="H635" s="0" t="s">
        <v>1242</v>
      </c>
      <c r="I635" s="0" t="s">
        <v>1286</v>
      </c>
      <c r="J635" s="9" t="n">
        <v>45902</v>
      </c>
      <c r="K635" s="0" t="s">
        <v>1287</v>
      </c>
      <c r="L635" s="0" t="n">
        <v>1</v>
      </c>
      <c r="M635" s="3" t="n">
        <f aca="false">_xlfn.NUMBERVALUE("" &amp; K635 &amp; "",".",",")</f>
        <v>0.374510848055556</v>
      </c>
      <c r="O635" s="0" t="str">
        <f aca="false">VLOOKUP(C635,statusdetails!$A:$D,4,0)</f>
        <v>DELAY</v>
      </c>
    </row>
    <row r="636" customFormat="false" ht="12.8" hidden="true" customHeight="false" outlineLevel="0" collapsed="false">
      <c r="A636" s="0" t="n">
        <v>466743</v>
      </c>
      <c r="B636" s="0" t="n">
        <v>466743</v>
      </c>
      <c r="C636" s="0" t="n">
        <v>2</v>
      </c>
      <c r="D636" s="0" t="n">
        <v>7</v>
      </c>
      <c r="E636" s="0" t="n">
        <v>2405</v>
      </c>
      <c r="F636" s="0" t="n">
        <v>88</v>
      </c>
      <c r="G636" s="0" t="n">
        <v>131</v>
      </c>
      <c r="H636" s="0" t="s">
        <v>1248</v>
      </c>
      <c r="I636" s="0" t="s">
        <v>1288</v>
      </c>
      <c r="J636" s="9" t="n">
        <v>45902</v>
      </c>
      <c r="K636" s="0" t="s">
        <v>1289</v>
      </c>
      <c r="L636" s="0" t="n">
        <v>1</v>
      </c>
      <c r="M636" s="3" t="n">
        <f aca="false">_xlfn.NUMBERVALUE("" &amp; K636 &amp; "",".",",")</f>
        <v>0.375603918333333</v>
      </c>
      <c r="O636" s="0" t="str">
        <f aca="false">VLOOKUP(C636,statusdetails!$A:$D,4,0)</f>
        <v>DELAY</v>
      </c>
    </row>
    <row r="637" customFormat="false" ht="12.8" hidden="true" customHeight="false" outlineLevel="0" collapsed="false">
      <c r="A637" s="0" t="n">
        <v>466744</v>
      </c>
      <c r="B637" s="0" t="n">
        <v>466744</v>
      </c>
      <c r="C637" s="0" t="n">
        <v>2</v>
      </c>
      <c r="D637" s="0" t="n">
        <v>7</v>
      </c>
      <c r="E637" s="0" t="n">
        <v>2405</v>
      </c>
      <c r="F637" s="0" t="n">
        <v>89</v>
      </c>
      <c r="G637" s="0" t="n">
        <v>2</v>
      </c>
      <c r="H637" s="0" t="s">
        <v>1234</v>
      </c>
      <c r="I637" s="0" t="s">
        <v>1290</v>
      </c>
      <c r="J637" s="9" t="n">
        <v>45902</v>
      </c>
      <c r="K637" s="0" t="s">
        <v>1291</v>
      </c>
      <c r="L637" s="0" t="n">
        <v>1</v>
      </c>
      <c r="M637" s="3" t="n">
        <f aca="false">_xlfn.NUMBERVALUE("" &amp; K637 &amp; "",".",",")</f>
        <v>0.301331941666667</v>
      </c>
      <c r="O637" s="0" t="str">
        <f aca="false">VLOOKUP(C637,statusdetails!$A:$D,4,0)</f>
        <v>DELAY</v>
      </c>
    </row>
    <row r="638" customFormat="false" ht="12.8" hidden="true" customHeight="false" outlineLevel="0" collapsed="false">
      <c r="A638" s="0" t="n">
        <v>466745</v>
      </c>
      <c r="B638" s="0" t="n">
        <v>466745</v>
      </c>
      <c r="C638" s="0" t="n">
        <v>1</v>
      </c>
      <c r="D638" s="0" t="n">
        <v>6</v>
      </c>
      <c r="E638" s="0" t="n">
        <v>2518</v>
      </c>
      <c r="F638" s="0" t="n">
        <v>82</v>
      </c>
      <c r="G638" s="0" t="n">
        <v>28</v>
      </c>
      <c r="H638" s="0" t="s">
        <v>1254</v>
      </c>
      <c r="I638" s="0" t="s">
        <v>1292</v>
      </c>
      <c r="J638" s="9" t="n">
        <v>45902</v>
      </c>
      <c r="K638" s="0" t="s">
        <v>1293</v>
      </c>
      <c r="L638" s="0" t="n">
        <v>1</v>
      </c>
      <c r="M638" s="10" t="n">
        <f aca="false">_xlfn.NUMBERVALUE("" &amp; K638 &amp; "",".",",")</f>
        <v>0.423212929444444</v>
      </c>
      <c r="N638" s="10"/>
      <c r="O638" s="0" t="str">
        <f aca="false">VLOOKUP(C638,statusdetails!$A:$D,4,0)</f>
        <v>READY</v>
      </c>
    </row>
    <row r="639" customFormat="false" ht="12.8" hidden="true" customHeight="false" outlineLevel="0" collapsed="false">
      <c r="A639" s="0" t="n">
        <v>466746</v>
      </c>
      <c r="B639" s="0" t="n">
        <v>466746</v>
      </c>
      <c r="C639" s="0" t="n">
        <v>2</v>
      </c>
      <c r="D639" s="0" t="n">
        <v>7</v>
      </c>
      <c r="E639" s="0" t="n">
        <v>2385</v>
      </c>
      <c r="F639" s="0" t="n">
        <v>96</v>
      </c>
      <c r="G639" s="0" t="n">
        <v>124</v>
      </c>
      <c r="H639" s="0" t="s">
        <v>1280</v>
      </c>
      <c r="I639" s="0" t="s">
        <v>1294</v>
      </c>
      <c r="J639" s="9" t="n">
        <v>45902</v>
      </c>
      <c r="K639" s="0" t="s">
        <v>1295</v>
      </c>
      <c r="L639" s="0" t="n">
        <v>2</v>
      </c>
      <c r="M639" s="3" t="n">
        <f aca="false">_xlfn.NUMBERVALUE("" &amp; K639 &amp; "",".",",")</f>
        <v>0.354079904444444</v>
      </c>
      <c r="O639" s="0" t="str">
        <f aca="false">VLOOKUP(C639,statusdetails!$A:$D,4,0)</f>
        <v>DELAY</v>
      </c>
    </row>
    <row r="640" customFormat="false" ht="12.8" hidden="true" customHeight="false" outlineLevel="0" collapsed="false">
      <c r="A640" s="0" t="n">
        <v>466747</v>
      </c>
      <c r="B640" s="0" t="n">
        <v>466747</v>
      </c>
      <c r="C640" s="0" t="n">
        <v>1</v>
      </c>
      <c r="D640" s="0" t="n">
        <v>6</v>
      </c>
      <c r="E640" s="0" t="n">
        <v>2404</v>
      </c>
      <c r="F640" s="0" t="n">
        <v>89</v>
      </c>
      <c r="G640" s="0" t="n">
        <v>2</v>
      </c>
      <c r="H640" s="0" t="s">
        <v>1290</v>
      </c>
      <c r="I640" s="0" t="s">
        <v>1296</v>
      </c>
      <c r="J640" s="9" t="n">
        <v>45902</v>
      </c>
      <c r="K640" s="0" t="s">
        <v>1297</v>
      </c>
      <c r="L640" s="0" t="n">
        <v>2</v>
      </c>
      <c r="M640" s="10" t="n">
        <f aca="false">_xlfn.NUMBERVALUE("" &amp; K640 &amp; "",".",",")</f>
        <v>1.38791654472222</v>
      </c>
      <c r="N640" s="10"/>
      <c r="O640" s="0" t="str">
        <f aca="false">VLOOKUP(C640,statusdetails!$A:$D,4,0)</f>
        <v>READY</v>
      </c>
    </row>
    <row r="641" customFormat="false" ht="12.8" hidden="true" customHeight="false" outlineLevel="0" collapsed="false">
      <c r="A641" s="0" t="n">
        <v>466748</v>
      </c>
      <c r="B641" s="0" t="n">
        <v>466748</v>
      </c>
      <c r="C641" s="0" t="n">
        <v>3</v>
      </c>
      <c r="D641" s="0" t="n">
        <v>14</v>
      </c>
      <c r="E641" s="0" t="n">
        <v>1142</v>
      </c>
      <c r="F641" s="0" t="n">
        <v>35</v>
      </c>
      <c r="G641" s="0" t="n">
        <v>112</v>
      </c>
      <c r="H641" s="0" t="s">
        <v>1262</v>
      </c>
      <c r="I641" s="0" t="s">
        <v>1298</v>
      </c>
      <c r="J641" s="9" t="n">
        <v>45902</v>
      </c>
      <c r="K641" s="0" t="s">
        <v>1299</v>
      </c>
      <c r="L641" s="0" t="n">
        <v>2</v>
      </c>
      <c r="M641" s="10" t="n">
        <f aca="false">_xlfn.NUMBERVALUE("" &amp; K641 &amp; "",".",",")</f>
        <v>0.0201089852777778</v>
      </c>
      <c r="N641" s="10"/>
      <c r="O641" s="0" t="str">
        <f aca="false">VLOOKUP(C641,statusdetails!$A:$D,4,0)</f>
        <v>STANDBY</v>
      </c>
      <c r="P641" s="0" t="str">
        <f aca="false">VLOOKUP(F641,equipment!$A:$E,4,0)</f>
        <v>CM405</v>
      </c>
      <c r="Q641" s="0" t="str">
        <f aca="false">VLOOKUP(F641,equipment!$A:$E,5,0)</f>
        <v>CM405 - 35</v>
      </c>
    </row>
    <row r="642" customFormat="false" ht="12.8" hidden="true" customHeight="false" outlineLevel="0" collapsed="false">
      <c r="A642" s="0" t="n">
        <v>466749</v>
      </c>
      <c r="B642" s="0" t="n">
        <v>466749</v>
      </c>
      <c r="C642" s="0" t="n">
        <v>3</v>
      </c>
      <c r="D642" s="0" t="n">
        <v>14</v>
      </c>
      <c r="E642" s="0" t="n">
        <v>1142</v>
      </c>
      <c r="F642" s="0" t="n">
        <v>35</v>
      </c>
      <c r="G642" s="0" t="n">
        <v>112</v>
      </c>
      <c r="H642" s="0" t="s">
        <v>1298</v>
      </c>
      <c r="I642" s="0" t="s">
        <v>1300</v>
      </c>
      <c r="J642" s="9" t="n">
        <v>45902</v>
      </c>
      <c r="K642" s="0" t="s">
        <v>1301</v>
      </c>
      <c r="L642" s="0" t="n">
        <v>2</v>
      </c>
      <c r="M642" s="10" t="n">
        <f aca="false">_xlfn.NUMBERVALUE("" &amp; K642 &amp; "",".",",")</f>
        <v>0.521439856388889</v>
      </c>
      <c r="N642" s="10"/>
      <c r="O642" s="0" t="str">
        <f aca="false">VLOOKUP(C642,statusdetails!$A:$D,4,0)</f>
        <v>STANDBY</v>
      </c>
      <c r="P642" s="0" t="str">
        <f aca="false">VLOOKUP(F642,equipment!$A:$E,4,0)</f>
        <v>CM405</v>
      </c>
      <c r="Q642" s="0" t="str">
        <f aca="false">VLOOKUP(F642,equipment!$A:$E,5,0)</f>
        <v>CM405 - 35</v>
      </c>
    </row>
    <row r="643" customFormat="false" ht="12.8" hidden="true" customHeight="false" outlineLevel="0" collapsed="false">
      <c r="A643" s="0" t="n">
        <v>466750</v>
      </c>
      <c r="B643" s="0" t="n">
        <v>466750</v>
      </c>
      <c r="C643" s="0" t="n">
        <v>3</v>
      </c>
      <c r="D643" s="0" t="n">
        <v>14</v>
      </c>
      <c r="E643" s="0" t="n">
        <v>1143</v>
      </c>
      <c r="F643" s="0" t="n">
        <v>45</v>
      </c>
      <c r="G643" s="0" t="n">
        <v>0</v>
      </c>
      <c r="H643" s="0" t="s">
        <v>1260</v>
      </c>
      <c r="I643" s="0" t="s">
        <v>1302</v>
      </c>
      <c r="J643" s="9" t="n">
        <v>45902</v>
      </c>
      <c r="K643" s="0" t="s">
        <v>1303</v>
      </c>
      <c r="L643" s="0" t="n">
        <v>2</v>
      </c>
      <c r="M643" s="10" t="n">
        <f aca="false">_xlfn.NUMBERVALUE("" &amp; K643 &amp; "",".",",")</f>
        <v>1.9871714125</v>
      </c>
      <c r="N643" s="10"/>
      <c r="O643" s="0" t="str">
        <f aca="false">VLOOKUP(C643,statusdetails!$A:$D,4,0)</f>
        <v>STANDBY</v>
      </c>
      <c r="P643" s="0" t="str">
        <f aca="false">VLOOKUP(F643,equipment!$A:$E,4,0)</f>
        <v>EX501</v>
      </c>
      <c r="Q643" s="0" t="str">
        <f aca="false">VLOOKUP(F643,equipment!$A:$E,5,0)</f>
        <v>EX501 - 45</v>
      </c>
    </row>
    <row r="644" customFormat="false" ht="12.8" hidden="true" customHeight="false" outlineLevel="0" collapsed="false">
      <c r="A644" s="0" t="n">
        <v>466751</v>
      </c>
      <c r="B644" s="0" t="n">
        <v>466751</v>
      </c>
      <c r="C644" s="0" t="n">
        <v>1</v>
      </c>
      <c r="D644" s="0" t="n">
        <v>6</v>
      </c>
      <c r="E644" s="0" t="n">
        <v>2404</v>
      </c>
      <c r="F644" s="0" t="n">
        <v>85</v>
      </c>
      <c r="G644" s="0" t="n">
        <v>4</v>
      </c>
      <c r="H644" s="0" t="s">
        <v>1284</v>
      </c>
      <c r="I644" s="0" t="s">
        <v>1304</v>
      </c>
      <c r="J644" s="9" t="n">
        <v>45902</v>
      </c>
      <c r="K644" s="0" t="s">
        <v>1305</v>
      </c>
      <c r="L644" s="0" t="n">
        <v>2</v>
      </c>
      <c r="M644" s="10" t="n">
        <f aca="false">_xlfn.NUMBERVALUE("" &amp; K644 &amp; "",".",",")</f>
        <v>1.31270949194444</v>
      </c>
      <c r="N644" s="10"/>
      <c r="O644" s="0" t="str">
        <f aca="false">VLOOKUP(C644,statusdetails!$A:$D,4,0)</f>
        <v>READY</v>
      </c>
    </row>
    <row r="645" customFormat="false" ht="12.8" hidden="true" customHeight="false" outlineLevel="0" collapsed="false">
      <c r="A645" s="0" t="n">
        <v>466752</v>
      </c>
      <c r="B645" s="0" t="n">
        <v>466752</v>
      </c>
      <c r="C645" s="0" t="n">
        <v>1</v>
      </c>
      <c r="D645" s="0" t="n">
        <v>6</v>
      </c>
      <c r="E645" s="0" t="n">
        <v>2404</v>
      </c>
      <c r="F645" s="0" t="n">
        <v>87</v>
      </c>
      <c r="G645" s="0" t="n">
        <v>140</v>
      </c>
      <c r="H645" s="0" t="s">
        <v>1286</v>
      </c>
      <c r="I645" s="0" t="s">
        <v>1306</v>
      </c>
      <c r="J645" s="9" t="n">
        <v>45902</v>
      </c>
      <c r="K645" s="0" t="s">
        <v>1307</v>
      </c>
      <c r="L645" s="0" t="n">
        <v>2</v>
      </c>
      <c r="M645" s="10" t="n">
        <f aca="false">_xlfn.NUMBERVALUE("" &amp; K645 &amp; "",".",",")</f>
        <v>11.141600895</v>
      </c>
      <c r="N645" s="10"/>
      <c r="O645" s="0" t="str">
        <f aca="false">VLOOKUP(C645,statusdetails!$A:$D,4,0)</f>
        <v>READY</v>
      </c>
    </row>
    <row r="646" customFormat="false" ht="12.8" hidden="true" customHeight="false" outlineLevel="0" collapsed="false">
      <c r="A646" s="0" t="n">
        <v>466753</v>
      </c>
      <c r="B646" s="0" t="n">
        <v>466753</v>
      </c>
      <c r="C646" s="0" t="n">
        <v>1</v>
      </c>
      <c r="D646" s="0" t="n">
        <v>6</v>
      </c>
      <c r="E646" s="0" t="n">
        <v>2404</v>
      </c>
      <c r="F646" s="0" t="n">
        <v>84</v>
      </c>
      <c r="G646" s="0" t="n">
        <v>139</v>
      </c>
      <c r="H646" s="0" t="s">
        <v>1282</v>
      </c>
      <c r="I646" s="0" t="s">
        <v>1308</v>
      </c>
      <c r="J646" s="9" t="n">
        <v>45902</v>
      </c>
      <c r="K646" s="0" t="s">
        <v>1309</v>
      </c>
      <c r="L646" s="0" t="n">
        <v>2</v>
      </c>
      <c r="M646" s="10" t="n">
        <f aca="false">_xlfn.NUMBERVALUE("" &amp; K646 &amp; "",".",",")</f>
        <v>0.106582350833333</v>
      </c>
      <c r="N646" s="10"/>
      <c r="O646" s="0" t="str">
        <f aca="false">VLOOKUP(C646,statusdetails!$A:$D,4,0)</f>
        <v>READY</v>
      </c>
    </row>
    <row r="647" customFormat="false" ht="12.8" hidden="true" customHeight="false" outlineLevel="0" collapsed="false">
      <c r="A647" s="0" t="n">
        <v>466754</v>
      </c>
      <c r="B647" s="0" t="n">
        <v>466754</v>
      </c>
      <c r="C647" s="0" t="n">
        <v>1</v>
      </c>
      <c r="D647" s="0" t="n">
        <v>6</v>
      </c>
      <c r="E647" s="0" t="n">
        <v>2404</v>
      </c>
      <c r="F647" s="0" t="n">
        <v>88</v>
      </c>
      <c r="G647" s="0" t="n">
        <v>131</v>
      </c>
      <c r="H647" s="0" t="s">
        <v>1288</v>
      </c>
      <c r="I647" s="0" t="s">
        <v>1310</v>
      </c>
      <c r="J647" s="9" t="n">
        <v>45902</v>
      </c>
      <c r="K647" s="0" t="s">
        <v>1311</v>
      </c>
      <c r="L647" s="0" t="n">
        <v>2</v>
      </c>
      <c r="M647" s="10" t="n">
        <f aca="false">_xlfn.NUMBERVALUE("" &amp; K647 &amp; "",".",",")</f>
        <v>1.23781466583333</v>
      </c>
      <c r="N647" s="10"/>
      <c r="O647" s="0" t="str">
        <f aca="false">VLOOKUP(C647,statusdetails!$A:$D,4,0)</f>
        <v>READY</v>
      </c>
    </row>
    <row r="648" customFormat="false" ht="12.8" hidden="true" customHeight="false" outlineLevel="0" collapsed="false">
      <c r="A648" s="0" t="n">
        <v>466755</v>
      </c>
      <c r="B648" s="0" t="n">
        <v>466755</v>
      </c>
      <c r="C648" s="0" t="n">
        <v>2</v>
      </c>
      <c r="D648" s="0" t="n">
        <v>9</v>
      </c>
      <c r="E648" s="0" t="n">
        <v>2568</v>
      </c>
      <c r="F648" s="0" t="n">
        <v>66</v>
      </c>
      <c r="G648" s="0" t="n">
        <v>85</v>
      </c>
      <c r="H648" s="0" t="s">
        <v>1276</v>
      </c>
      <c r="I648" s="0" t="s">
        <v>1312</v>
      </c>
      <c r="J648" s="9" t="n">
        <v>45902</v>
      </c>
      <c r="K648" s="0" t="s">
        <v>1313</v>
      </c>
      <c r="L648" s="0" t="n">
        <v>2</v>
      </c>
      <c r="M648" s="3" t="n">
        <f aca="false">_xlfn.NUMBERVALUE("" &amp; K648 &amp; "",".",",")</f>
        <v>0.164604361944444</v>
      </c>
      <c r="O648" s="0" t="str">
        <f aca="false">VLOOKUP(C648,statusdetails!$A:$D,4,0)</f>
        <v>DELAY</v>
      </c>
    </row>
    <row r="649" customFormat="false" ht="12.8" hidden="true" customHeight="false" outlineLevel="0" collapsed="false">
      <c r="A649" s="0" t="n">
        <v>466756</v>
      </c>
      <c r="B649" s="0" t="n">
        <v>466756</v>
      </c>
      <c r="C649" s="0" t="n">
        <v>3</v>
      </c>
      <c r="D649" s="0" t="n">
        <v>14</v>
      </c>
      <c r="E649" s="0" t="n">
        <v>1142</v>
      </c>
      <c r="F649" s="0" t="n">
        <v>33</v>
      </c>
      <c r="G649" s="0" t="n">
        <v>96</v>
      </c>
      <c r="H649" s="0" t="s">
        <v>1264</v>
      </c>
      <c r="I649" s="0" t="s">
        <v>1314</v>
      </c>
      <c r="J649" s="9" t="n">
        <v>45902</v>
      </c>
      <c r="K649" s="0" t="s">
        <v>1315</v>
      </c>
      <c r="L649" s="0" t="n">
        <v>2</v>
      </c>
      <c r="M649" s="10" t="n">
        <f aca="false">_xlfn.NUMBERVALUE("" &amp; K649 &amp; "",".",",")</f>
        <v>1.87411457972222</v>
      </c>
      <c r="N649" s="10"/>
      <c r="O649" s="0" t="str">
        <f aca="false">VLOOKUP(C649,statusdetails!$A:$D,4,0)</f>
        <v>STANDBY</v>
      </c>
      <c r="P649" s="0" t="str">
        <f aca="false">VLOOKUP(F649,equipment!$A:$E,4,0)</f>
        <v>CM406</v>
      </c>
      <c r="Q649" s="0" t="str">
        <f aca="false">VLOOKUP(F649,equipment!$A:$E,5,0)</f>
        <v>CM406 - 33</v>
      </c>
    </row>
    <row r="650" customFormat="false" ht="12.8" hidden="true" customHeight="false" outlineLevel="0" collapsed="false">
      <c r="A650" s="0" t="n">
        <v>466757</v>
      </c>
      <c r="B650" s="0" t="n">
        <v>466757</v>
      </c>
      <c r="C650" s="0" t="n">
        <v>2</v>
      </c>
      <c r="D650" s="0" t="n">
        <v>7</v>
      </c>
      <c r="E650" s="0" t="n">
        <v>2405</v>
      </c>
      <c r="F650" s="0" t="n">
        <v>84</v>
      </c>
      <c r="G650" s="0" t="n">
        <v>139</v>
      </c>
      <c r="H650" s="0" t="s">
        <v>1308</v>
      </c>
      <c r="I650" s="0" t="s">
        <v>1316</v>
      </c>
      <c r="J650" s="9" t="n">
        <v>45902</v>
      </c>
      <c r="K650" s="0" t="s">
        <v>1317</v>
      </c>
      <c r="L650" s="0" t="n">
        <v>2</v>
      </c>
      <c r="M650" s="3" t="n">
        <f aca="false">_xlfn.NUMBERVALUE("" &amp; K650 &amp; "",".",",")</f>
        <v>0.204826111111111</v>
      </c>
      <c r="O650" s="0" t="str">
        <f aca="false">VLOOKUP(C650,statusdetails!$A:$D,4,0)</f>
        <v>DELAY</v>
      </c>
    </row>
    <row r="651" customFormat="false" ht="12.8" hidden="true" customHeight="false" outlineLevel="0" collapsed="false">
      <c r="A651" s="0" t="n">
        <v>466758</v>
      </c>
      <c r="B651" s="0" t="n">
        <v>466758</v>
      </c>
      <c r="C651" s="0" t="n">
        <v>2</v>
      </c>
      <c r="D651" s="0" t="n">
        <v>9</v>
      </c>
      <c r="E651" s="0" t="n">
        <v>2305</v>
      </c>
      <c r="F651" s="0" t="n">
        <v>32</v>
      </c>
      <c r="G651" s="0" t="n">
        <v>40</v>
      </c>
      <c r="H651" s="0" t="s">
        <v>1278</v>
      </c>
      <c r="I651" s="0" t="s">
        <v>1318</v>
      </c>
      <c r="J651" s="9" t="n">
        <v>45902</v>
      </c>
      <c r="K651" s="0" t="s">
        <v>1319</v>
      </c>
      <c r="L651" s="0" t="n">
        <v>2</v>
      </c>
      <c r="M651" s="3" t="n">
        <f aca="false">_xlfn.NUMBERVALUE("" &amp; K651 &amp; "",".",",")</f>
        <v>0.127807538611111</v>
      </c>
      <c r="O651" s="0" t="str">
        <f aca="false">VLOOKUP(C651,statusdetails!$A:$D,4,0)</f>
        <v>DELAY</v>
      </c>
    </row>
    <row r="652" customFormat="false" ht="12.8" hidden="true" customHeight="false" outlineLevel="0" collapsed="false">
      <c r="A652" s="0" t="n">
        <v>466759</v>
      </c>
      <c r="B652" s="0" t="n">
        <v>466759</v>
      </c>
      <c r="C652" s="0" t="n">
        <v>1</v>
      </c>
      <c r="D652" s="0" t="n">
        <v>6</v>
      </c>
      <c r="E652" s="0" t="n">
        <v>2518</v>
      </c>
      <c r="F652" s="0" t="n">
        <v>96</v>
      </c>
      <c r="G652" s="0" t="n">
        <v>124</v>
      </c>
      <c r="H652" s="0" t="s">
        <v>1294</v>
      </c>
      <c r="I652" s="0" t="s">
        <v>1320</v>
      </c>
      <c r="J652" s="9" t="n">
        <v>45902</v>
      </c>
      <c r="K652" s="0" t="s">
        <v>1321</v>
      </c>
      <c r="L652" s="0" t="n">
        <v>2</v>
      </c>
      <c r="M652" s="10" t="n">
        <f aca="false">_xlfn.NUMBERVALUE("" &amp; K652 &amp; "",".",",")</f>
        <v>1.15964183138889</v>
      </c>
      <c r="N652" s="10"/>
      <c r="O652" s="0" t="str">
        <f aca="false">VLOOKUP(C652,statusdetails!$A:$D,4,0)</f>
        <v>READY</v>
      </c>
    </row>
    <row r="653" customFormat="false" ht="12.8" hidden="true" customHeight="false" outlineLevel="0" collapsed="false">
      <c r="A653" s="0" t="n">
        <v>466760</v>
      </c>
      <c r="B653" s="0" t="n">
        <v>466760</v>
      </c>
      <c r="C653" s="0" t="n">
        <v>2</v>
      </c>
      <c r="D653" s="0" t="n">
        <v>9</v>
      </c>
      <c r="E653" s="0" t="n">
        <v>2388</v>
      </c>
      <c r="F653" s="0" t="n">
        <v>82</v>
      </c>
      <c r="G653" s="0" t="n">
        <v>28</v>
      </c>
      <c r="H653" s="0" t="s">
        <v>1292</v>
      </c>
      <c r="I653" s="0" t="s">
        <v>1322</v>
      </c>
      <c r="J653" s="9" t="n">
        <v>45902</v>
      </c>
      <c r="K653" s="0" t="s">
        <v>1323</v>
      </c>
      <c r="L653" s="0" t="n">
        <v>2</v>
      </c>
      <c r="M653" s="3" t="n">
        <f aca="false">_xlfn.NUMBERVALUE("" &amp; K653 &amp; "",".",",")</f>
        <v>0.1062907575</v>
      </c>
      <c r="O653" s="0" t="str">
        <f aca="false">VLOOKUP(C653,statusdetails!$A:$D,4,0)</f>
        <v>DELAY</v>
      </c>
    </row>
    <row r="654" customFormat="false" ht="12.8" hidden="true" customHeight="false" outlineLevel="0" collapsed="false">
      <c r="A654" s="0" t="n">
        <v>466761</v>
      </c>
      <c r="B654" s="0" t="n">
        <v>466761</v>
      </c>
      <c r="C654" s="0" t="n">
        <v>1</v>
      </c>
      <c r="D654" s="0" t="n">
        <v>6</v>
      </c>
      <c r="E654" s="0" t="n">
        <v>260</v>
      </c>
      <c r="F654" s="0" t="n">
        <v>66</v>
      </c>
      <c r="G654" s="0" t="n">
        <v>85</v>
      </c>
      <c r="H654" s="0" t="s">
        <v>1312</v>
      </c>
      <c r="I654" s="0" t="s">
        <v>1324</v>
      </c>
      <c r="J654" s="9" t="n">
        <v>45902</v>
      </c>
      <c r="K654" s="0" t="s">
        <v>1325</v>
      </c>
      <c r="L654" s="0" t="n">
        <v>2</v>
      </c>
      <c r="M654" s="10" t="n">
        <f aca="false">_xlfn.NUMBERVALUE("" &amp; K654 &amp; "",".",",")</f>
        <v>1.3895058</v>
      </c>
      <c r="N654" s="10"/>
      <c r="O654" s="0" t="str">
        <f aca="false">VLOOKUP(C654,statusdetails!$A:$D,4,0)</f>
        <v>READY</v>
      </c>
    </row>
    <row r="655" customFormat="false" ht="12.8" hidden="true" customHeight="false" outlineLevel="0" collapsed="false">
      <c r="A655" s="0" t="n">
        <v>466762</v>
      </c>
      <c r="B655" s="0" t="n">
        <v>466762</v>
      </c>
      <c r="C655" s="0" t="n">
        <v>1</v>
      </c>
      <c r="D655" s="0" t="n">
        <v>6</v>
      </c>
      <c r="E655" s="0" t="n">
        <v>811</v>
      </c>
      <c r="F655" s="0" t="n">
        <v>43</v>
      </c>
      <c r="G655" s="0" t="n">
        <v>35</v>
      </c>
      <c r="H655" s="0" t="s">
        <v>1266</v>
      </c>
      <c r="I655" s="0" t="s">
        <v>1326</v>
      </c>
      <c r="J655" s="9" t="n">
        <v>45902</v>
      </c>
      <c r="K655" s="0" t="s">
        <v>1327</v>
      </c>
      <c r="L655" s="0" t="n">
        <v>2</v>
      </c>
      <c r="M655" s="10" t="n">
        <f aca="false">_xlfn.NUMBERVALUE("" &amp; K655 &amp; "",".",",")</f>
        <v>0.839613565</v>
      </c>
      <c r="N655" s="10"/>
      <c r="O655" s="0" t="str">
        <f aca="false">VLOOKUP(C655,statusdetails!$A:$D,4,0)</f>
        <v>READY</v>
      </c>
    </row>
    <row r="656" customFormat="false" ht="12.8" hidden="true" customHeight="false" outlineLevel="0" collapsed="false">
      <c r="A656" s="0" t="n">
        <v>466763</v>
      </c>
      <c r="B656" s="0" t="n">
        <v>466763</v>
      </c>
      <c r="C656" s="0" t="n">
        <v>1</v>
      </c>
      <c r="D656" s="0" t="n">
        <v>6</v>
      </c>
      <c r="E656" s="0" t="n">
        <v>260</v>
      </c>
      <c r="F656" s="0" t="n">
        <v>32</v>
      </c>
      <c r="G656" s="0" t="n">
        <v>40</v>
      </c>
      <c r="H656" s="0" t="s">
        <v>1318</v>
      </c>
      <c r="I656" s="0" t="s">
        <v>1328</v>
      </c>
      <c r="J656" s="9" t="n">
        <v>45902</v>
      </c>
      <c r="K656" s="0" t="s">
        <v>1329</v>
      </c>
      <c r="L656" s="0" t="n">
        <v>2</v>
      </c>
      <c r="M656" s="10" t="n">
        <f aca="false">_xlfn.NUMBERVALUE("" &amp; K656 &amp; "",".",",")</f>
        <v>4.34791083333333</v>
      </c>
      <c r="N656" s="10"/>
      <c r="O656" s="0" t="str">
        <f aca="false">VLOOKUP(C656,statusdetails!$A:$D,4,0)</f>
        <v>READY</v>
      </c>
    </row>
    <row r="657" customFormat="false" ht="12.8" hidden="true" customHeight="false" outlineLevel="0" collapsed="false">
      <c r="A657" s="0" t="n">
        <v>466764</v>
      </c>
      <c r="B657" s="0" t="n">
        <v>466764</v>
      </c>
      <c r="C657" s="0" t="n">
        <v>1</v>
      </c>
      <c r="D657" s="0" t="n">
        <v>6</v>
      </c>
      <c r="E657" s="0" t="n">
        <v>2518</v>
      </c>
      <c r="F657" s="0" t="n">
        <v>82</v>
      </c>
      <c r="G657" s="0" t="n">
        <v>28</v>
      </c>
      <c r="H657" s="0" t="s">
        <v>1322</v>
      </c>
      <c r="I657" s="0" t="s">
        <v>1330</v>
      </c>
      <c r="J657" s="9" t="n">
        <v>45902</v>
      </c>
      <c r="K657" s="0" t="s">
        <v>1331</v>
      </c>
      <c r="L657" s="0" t="n">
        <v>2</v>
      </c>
      <c r="M657" s="10" t="n">
        <f aca="false">_xlfn.NUMBERVALUE("" &amp; K657 &amp; "",".",",")</f>
        <v>1.71043546527778</v>
      </c>
      <c r="N657" s="10"/>
      <c r="O657" s="0" t="str">
        <f aca="false">VLOOKUP(C657,statusdetails!$A:$D,4,0)</f>
        <v>READY</v>
      </c>
    </row>
    <row r="658" customFormat="false" ht="12.8" hidden="true" customHeight="false" outlineLevel="0" collapsed="false">
      <c r="A658" s="0" t="n">
        <v>466765</v>
      </c>
      <c r="B658" s="0" t="n">
        <v>466765</v>
      </c>
      <c r="C658" s="0" t="n">
        <v>1</v>
      </c>
      <c r="D658" s="0" t="n">
        <v>6</v>
      </c>
      <c r="E658" s="0" t="n">
        <v>2404</v>
      </c>
      <c r="F658" s="0" t="n">
        <v>84</v>
      </c>
      <c r="G658" s="0" t="n">
        <v>139</v>
      </c>
      <c r="H658" s="0" t="s">
        <v>1316</v>
      </c>
      <c r="I658" s="0" t="s">
        <v>1332</v>
      </c>
      <c r="J658" s="9" t="n">
        <v>45902</v>
      </c>
      <c r="K658" s="0" t="s">
        <v>1333</v>
      </c>
      <c r="L658" s="0" t="n">
        <v>2</v>
      </c>
      <c r="M658" s="10" t="n">
        <f aca="false">_xlfn.NUMBERVALUE("" &amp; K658 &amp; "",".",",")</f>
        <v>0.999284641388889</v>
      </c>
      <c r="N658" s="10"/>
      <c r="O658" s="0" t="str">
        <f aca="false">VLOOKUP(C658,statusdetails!$A:$D,4,0)</f>
        <v>READY</v>
      </c>
    </row>
    <row r="659" customFormat="false" ht="12.8" hidden="true" customHeight="false" outlineLevel="0" collapsed="false">
      <c r="A659" s="0" t="n">
        <v>466766</v>
      </c>
      <c r="B659" s="0" t="n">
        <v>466766</v>
      </c>
      <c r="C659" s="0" t="n">
        <v>3</v>
      </c>
      <c r="D659" s="0" t="n">
        <v>12</v>
      </c>
      <c r="E659" s="0" t="n">
        <v>289</v>
      </c>
      <c r="F659" s="0" t="n">
        <v>35</v>
      </c>
      <c r="G659" s="0" t="n">
        <v>112</v>
      </c>
      <c r="H659" s="0" t="s">
        <v>1300</v>
      </c>
      <c r="I659" s="0" t="s">
        <v>1334</v>
      </c>
      <c r="J659" s="9" t="n">
        <v>45902</v>
      </c>
      <c r="K659" s="0" t="s">
        <v>1335</v>
      </c>
      <c r="L659" s="0" t="n">
        <v>2</v>
      </c>
      <c r="M659" s="10" t="n">
        <f aca="false">_xlfn.NUMBERVALUE("" &amp; K659 &amp; "",".",",")</f>
        <v>1.47119993388889</v>
      </c>
      <c r="N659" s="10"/>
      <c r="O659" s="0" t="str">
        <f aca="false">VLOOKUP(C659,statusdetails!$A:$D,4,0)</f>
        <v>STANDBY</v>
      </c>
      <c r="P659" s="0" t="str">
        <f aca="false">VLOOKUP(F659,equipment!$A:$E,4,0)</f>
        <v>CM405</v>
      </c>
      <c r="Q659" s="0" t="str">
        <f aca="false">VLOOKUP(F659,equipment!$A:$E,5,0)</f>
        <v>CM405 - 35</v>
      </c>
    </row>
    <row r="660" customFormat="false" ht="12.8" hidden="true" customHeight="false" outlineLevel="0" collapsed="false">
      <c r="A660" s="0" t="n">
        <v>466767</v>
      </c>
      <c r="B660" s="0" t="n">
        <v>466767</v>
      </c>
      <c r="C660" s="0" t="n">
        <v>1</v>
      </c>
      <c r="D660" s="0" t="n">
        <v>6</v>
      </c>
      <c r="E660" s="0" t="n">
        <v>372</v>
      </c>
      <c r="F660" s="0" t="n">
        <v>37</v>
      </c>
      <c r="G660" s="0" t="n">
        <v>40</v>
      </c>
      <c r="H660" s="0" t="s">
        <v>1218</v>
      </c>
      <c r="I660" s="0" t="s">
        <v>1336</v>
      </c>
      <c r="J660" s="9" t="n">
        <v>45902</v>
      </c>
      <c r="K660" s="0" t="s">
        <v>1337</v>
      </c>
      <c r="L660" s="0" t="n">
        <v>2</v>
      </c>
      <c r="M660" s="10" t="n">
        <f aca="false">_xlfn.NUMBERVALUE("" &amp; K660 &amp; "",".",",")</f>
        <v>3.63275555222222</v>
      </c>
      <c r="N660" s="10"/>
      <c r="O660" s="0" t="str">
        <f aca="false">VLOOKUP(C660,statusdetails!$A:$D,4,0)</f>
        <v>READY</v>
      </c>
    </row>
    <row r="661" customFormat="false" ht="12.8" hidden="true" customHeight="false" outlineLevel="0" collapsed="false">
      <c r="A661" s="0" t="n">
        <v>466768</v>
      </c>
      <c r="B661" s="0" t="n">
        <v>466768</v>
      </c>
      <c r="C661" s="0" t="n">
        <v>2</v>
      </c>
      <c r="D661" s="0" t="n">
        <v>7</v>
      </c>
      <c r="E661" s="0" t="n">
        <v>2064</v>
      </c>
      <c r="F661" s="0" t="n">
        <v>43</v>
      </c>
      <c r="G661" s="0" t="n">
        <v>35</v>
      </c>
      <c r="H661" s="0" t="s">
        <v>1326</v>
      </c>
      <c r="I661" s="0" t="s">
        <v>1338</v>
      </c>
      <c r="J661" s="9" t="n">
        <v>45902</v>
      </c>
      <c r="K661" s="0" t="s">
        <v>1339</v>
      </c>
      <c r="L661" s="0" t="n">
        <v>3</v>
      </c>
      <c r="M661" s="3" t="n">
        <f aca="false">_xlfn.NUMBERVALUE("" &amp; K661 &amp; "",".",",")</f>
        <v>0.0938974252777778</v>
      </c>
      <c r="O661" s="0" t="str">
        <f aca="false">VLOOKUP(C661,statusdetails!$A:$D,4,0)</f>
        <v>DELAY</v>
      </c>
    </row>
    <row r="662" customFormat="false" ht="12.8" hidden="true" customHeight="false" outlineLevel="0" collapsed="false">
      <c r="A662" s="0" t="n">
        <v>466769</v>
      </c>
      <c r="B662" s="0" t="n">
        <v>466769</v>
      </c>
      <c r="C662" s="0" t="n">
        <v>1</v>
      </c>
      <c r="D662" s="0" t="n">
        <v>6</v>
      </c>
      <c r="E662" s="0" t="n">
        <v>811</v>
      </c>
      <c r="F662" s="0" t="n">
        <v>43</v>
      </c>
      <c r="G662" s="0" t="n">
        <v>35</v>
      </c>
      <c r="H662" s="0" t="s">
        <v>1338</v>
      </c>
      <c r="I662" s="0" t="s">
        <v>1340</v>
      </c>
      <c r="J662" s="9" t="n">
        <v>45902</v>
      </c>
      <c r="K662" s="0" t="s">
        <v>1341</v>
      </c>
      <c r="L662" s="0" t="n">
        <v>3</v>
      </c>
      <c r="M662" s="10" t="n">
        <f aca="false">_xlfn.NUMBERVALUE("" &amp; K662 &amp; "",".",",")</f>
        <v>1.012031025</v>
      </c>
      <c r="N662" s="10"/>
      <c r="O662" s="0" t="str">
        <f aca="false">VLOOKUP(C662,statusdetails!$A:$D,4,0)</f>
        <v>READY</v>
      </c>
    </row>
    <row r="663" customFormat="false" ht="12.8" hidden="true" customHeight="false" outlineLevel="0" collapsed="false">
      <c r="A663" s="0" t="n">
        <v>466770</v>
      </c>
      <c r="B663" s="0" t="n">
        <v>466770</v>
      </c>
      <c r="C663" s="0" t="n">
        <v>2</v>
      </c>
      <c r="D663" s="0" t="n">
        <v>9</v>
      </c>
      <c r="E663" s="0" t="n">
        <v>2450</v>
      </c>
      <c r="F663" s="0" t="n">
        <v>88</v>
      </c>
      <c r="G663" s="0" t="n">
        <v>131</v>
      </c>
      <c r="H663" s="0" t="s">
        <v>1310</v>
      </c>
      <c r="I663" s="0" t="s">
        <v>1342</v>
      </c>
      <c r="J663" s="9" t="n">
        <v>45902</v>
      </c>
      <c r="K663" s="0" t="s">
        <v>1343</v>
      </c>
      <c r="L663" s="0" t="n">
        <v>3</v>
      </c>
      <c r="M663" s="3" t="n">
        <f aca="false">_xlfn.NUMBERVALUE("" &amp; K663 &amp; "",".",",")</f>
        <v>0.129634829722222</v>
      </c>
      <c r="O663" s="0" t="str">
        <f aca="false">VLOOKUP(C663,statusdetails!$A:$D,4,0)</f>
        <v>DELAY</v>
      </c>
    </row>
    <row r="664" customFormat="false" ht="12.8" hidden="true" customHeight="false" outlineLevel="0" collapsed="false">
      <c r="A664" s="0" t="n">
        <v>466771</v>
      </c>
      <c r="B664" s="0" t="n">
        <v>466771</v>
      </c>
      <c r="C664" s="0" t="n">
        <v>2</v>
      </c>
      <c r="D664" s="0" t="n">
        <v>9</v>
      </c>
      <c r="E664" s="0" t="n">
        <v>2450</v>
      </c>
      <c r="F664" s="0" t="n">
        <v>85</v>
      </c>
      <c r="G664" s="0" t="n">
        <v>4</v>
      </c>
      <c r="H664" s="0" t="s">
        <v>1304</v>
      </c>
      <c r="I664" s="0" t="s">
        <v>1344</v>
      </c>
      <c r="J664" s="9" t="n">
        <v>45902</v>
      </c>
      <c r="K664" s="0" t="s">
        <v>1345</v>
      </c>
      <c r="L664" s="0" t="n">
        <v>3</v>
      </c>
      <c r="M664" s="3" t="n">
        <f aca="false">_xlfn.NUMBERVALUE("" &amp; K664 &amp; "",".",",")</f>
        <v>0.061100335</v>
      </c>
      <c r="O664" s="0" t="str">
        <f aca="false">VLOOKUP(C664,statusdetails!$A:$D,4,0)</f>
        <v>DELAY</v>
      </c>
    </row>
    <row r="665" customFormat="false" ht="12.8" hidden="true" customHeight="false" outlineLevel="0" collapsed="false">
      <c r="A665" s="0" t="n">
        <v>466772</v>
      </c>
      <c r="B665" s="0" t="n">
        <v>466772</v>
      </c>
      <c r="C665" s="0" t="n">
        <v>2</v>
      </c>
      <c r="D665" s="0" t="n">
        <v>9</v>
      </c>
      <c r="E665" s="0" t="n">
        <v>2450</v>
      </c>
      <c r="F665" s="0" t="n">
        <v>84</v>
      </c>
      <c r="G665" s="0" t="n">
        <v>139</v>
      </c>
      <c r="H665" s="0" t="s">
        <v>1332</v>
      </c>
      <c r="I665" s="0" t="s">
        <v>1346</v>
      </c>
      <c r="J665" s="9" t="n">
        <v>45902</v>
      </c>
      <c r="K665" s="0" t="s">
        <v>1347</v>
      </c>
      <c r="L665" s="0" t="n">
        <v>3</v>
      </c>
      <c r="M665" s="3" t="n">
        <f aca="false">_xlfn.NUMBERVALUE("" &amp; K665 &amp; "",".",",")</f>
        <v>0.0537139697222222</v>
      </c>
      <c r="O665" s="0" t="str">
        <f aca="false">VLOOKUP(C665,statusdetails!$A:$D,4,0)</f>
        <v>DELAY</v>
      </c>
    </row>
    <row r="666" customFormat="false" ht="12.8" hidden="true" customHeight="false" outlineLevel="0" collapsed="false">
      <c r="A666" s="0" t="n">
        <v>466773</v>
      </c>
      <c r="B666" s="0" t="n">
        <v>466773</v>
      </c>
      <c r="C666" s="0" t="n">
        <v>2</v>
      </c>
      <c r="D666" s="0" t="n">
        <v>9</v>
      </c>
      <c r="E666" s="0" t="n">
        <v>2388</v>
      </c>
      <c r="F666" s="0" t="n">
        <v>96</v>
      </c>
      <c r="G666" s="0" t="n">
        <v>124</v>
      </c>
      <c r="H666" s="0" t="s">
        <v>1320</v>
      </c>
      <c r="I666" s="11" t="n">
        <v>45903.1493518519</v>
      </c>
      <c r="J666" s="9" t="n">
        <v>45902</v>
      </c>
      <c r="K666" s="0" t="s">
        <v>1348</v>
      </c>
      <c r="L666" s="0" t="n">
        <v>3</v>
      </c>
      <c r="M666" s="3" t="n">
        <f aca="false">_xlfn.NUMBERVALUE("" &amp; K666 &amp; "",".",",")</f>
        <v>0.0573132222222222</v>
      </c>
      <c r="O666" s="0" t="str">
        <f aca="false">VLOOKUP(C666,statusdetails!$A:$D,4,0)</f>
        <v>DELAY</v>
      </c>
    </row>
    <row r="667" customFormat="false" ht="12.8" hidden="true" customHeight="false" outlineLevel="0" collapsed="false">
      <c r="A667" s="0" t="n">
        <v>466774</v>
      </c>
      <c r="B667" s="0" t="n">
        <v>466774</v>
      </c>
      <c r="C667" s="0" t="n">
        <v>2</v>
      </c>
      <c r="D667" s="0" t="n">
        <v>9</v>
      </c>
      <c r="E667" s="0" t="n">
        <v>2450</v>
      </c>
      <c r="F667" s="0" t="n">
        <v>89</v>
      </c>
      <c r="G667" s="0" t="n">
        <v>2</v>
      </c>
      <c r="H667" s="0" t="s">
        <v>1296</v>
      </c>
      <c r="I667" s="0" t="s">
        <v>1349</v>
      </c>
      <c r="J667" s="9" t="n">
        <v>45902</v>
      </c>
      <c r="K667" s="0" t="s">
        <v>1350</v>
      </c>
      <c r="L667" s="0" t="n">
        <v>3</v>
      </c>
      <c r="M667" s="3" t="n">
        <f aca="false">_xlfn.NUMBERVALUE("" &amp; K667 &amp; "",".",",")</f>
        <v>0.0551542675</v>
      </c>
      <c r="O667" s="0" t="str">
        <f aca="false">VLOOKUP(C667,statusdetails!$A:$D,4,0)</f>
        <v>DELAY</v>
      </c>
    </row>
    <row r="668" customFormat="false" ht="12.8" hidden="true" customHeight="false" outlineLevel="0" collapsed="false">
      <c r="A668" s="0" t="n">
        <v>466775</v>
      </c>
      <c r="B668" s="0" t="n">
        <v>466775</v>
      </c>
      <c r="C668" s="0" t="n">
        <v>1</v>
      </c>
      <c r="D668" s="0" t="n">
        <v>6</v>
      </c>
      <c r="E668" s="0" t="n">
        <v>2404</v>
      </c>
      <c r="F668" s="0" t="n">
        <v>84</v>
      </c>
      <c r="G668" s="0" t="n">
        <v>139</v>
      </c>
      <c r="H668" s="0" t="s">
        <v>1346</v>
      </c>
      <c r="I668" s="0" t="s">
        <v>1351</v>
      </c>
      <c r="J668" s="9" t="n">
        <v>45902</v>
      </c>
      <c r="K668" s="0" t="s">
        <v>1352</v>
      </c>
      <c r="L668" s="0" t="n">
        <v>3</v>
      </c>
      <c r="M668" s="10" t="n">
        <f aca="false">_xlfn.NUMBERVALUE("" &amp; K668 &amp; "",".",",")</f>
        <v>1.35080315972222</v>
      </c>
      <c r="N668" s="10"/>
      <c r="O668" s="0" t="str">
        <f aca="false">VLOOKUP(C668,statusdetails!$A:$D,4,0)</f>
        <v>READY</v>
      </c>
    </row>
    <row r="669" customFormat="false" ht="12.8" hidden="true" customHeight="false" outlineLevel="0" collapsed="false">
      <c r="A669" s="0" t="n">
        <v>466776</v>
      </c>
      <c r="B669" s="0" t="n">
        <v>466776</v>
      </c>
      <c r="C669" s="0" t="n">
        <v>1</v>
      </c>
      <c r="D669" s="0" t="n">
        <v>6</v>
      </c>
      <c r="E669" s="0" t="n">
        <v>2404</v>
      </c>
      <c r="F669" s="0" t="n">
        <v>88</v>
      </c>
      <c r="G669" s="0" t="n">
        <v>131</v>
      </c>
      <c r="H669" s="0" t="s">
        <v>1342</v>
      </c>
      <c r="I669" s="0" t="s">
        <v>1353</v>
      </c>
      <c r="J669" s="9" t="n">
        <v>45902</v>
      </c>
      <c r="K669" s="0" t="s">
        <v>1354</v>
      </c>
      <c r="L669" s="0" t="n">
        <v>3</v>
      </c>
      <c r="M669" s="10" t="n">
        <f aca="false">_xlfn.NUMBERVALUE("" &amp; K669 &amp; "",".",",")</f>
        <v>0.194108723055556</v>
      </c>
      <c r="N669" s="10"/>
      <c r="O669" s="0" t="str">
        <f aca="false">VLOOKUP(C669,statusdetails!$A:$D,4,0)</f>
        <v>READY</v>
      </c>
    </row>
    <row r="670" customFormat="false" ht="12.8" hidden="true" customHeight="false" outlineLevel="0" collapsed="false">
      <c r="A670" s="0" t="n">
        <v>466777</v>
      </c>
      <c r="B670" s="0" t="n">
        <v>466777</v>
      </c>
      <c r="C670" s="0" t="n">
        <v>1</v>
      </c>
      <c r="D670" s="0" t="n">
        <v>6</v>
      </c>
      <c r="E670" s="0" t="n">
        <v>2404</v>
      </c>
      <c r="F670" s="0" t="n">
        <v>85</v>
      </c>
      <c r="G670" s="0" t="n">
        <v>4</v>
      </c>
      <c r="H670" s="0" t="s">
        <v>1344</v>
      </c>
      <c r="I670" s="0" t="s">
        <v>1355</v>
      </c>
      <c r="J670" s="9" t="n">
        <v>45902</v>
      </c>
      <c r="K670" s="0" t="s">
        <v>1356</v>
      </c>
      <c r="L670" s="0" t="n">
        <v>3</v>
      </c>
      <c r="M670" s="10" t="n">
        <f aca="false">_xlfn.NUMBERVALUE("" &amp; K670 &amp; "",".",",")</f>
        <v>3.18636243</v>
      </c>
      <c r="N670" s="10"/>
      <c r="O670" s="0" t="str">
        <f aca="false">VLOOKUP(C670,statusdetails!$A:$D,4,0)</f>
        <v>READY</v>
      </c>
    </row>
    <row r="671" customFormat="false" ht="12.8" hidden="true" customHeight="false" outlineLevel="0" collapsed="false">
      <c r="A671" s="0" t="n">
        <v>466778</v>
      </c>
      <c r="B671" s="0" t="n">
        <v>466778</v>
      </c>
      <c r="C671" s="0" t="n">
        <v>1</v>
      </c>
      <c r="D671" s="0" t="n">
        <v>6</v>
      </c>
      <c r="E671" s="0" t="n">
        <v>2404</v>
      </c>
      <c r="F671" s="0" t="n">
        <v>89</v>
      </c>
      <c r="G671" s="0" t="n">
        <v>2</v>
      </c>
      <c r="H671" s="0" t="s">
        <v>1349</v>
      </c>
      <c r="I671" s="0" t="s">
        <v>1357</v>
      </c>
      <c r="J671" s="9" t="n">
        <v>45902</v>
      </c>
      <c r="K671" s="0" t="s">
        <v>1358</v>
      </c>
      <c r="L671" s="0" t="n">
        <v>3</v>
      </c>
      <c r="M671" s="10" t="n">
        <f aca="false">_xlfn.NUMBERVALUE("" &amp; K671 &amp; "",".",",")</f>
        <v>3.24678758222222</v>
      </c>
      <c r="N671" s="10"/>
      <c r="O671" s="0" t="str">
        <f aca="false">VLOOKUP(C671,statusdetails!$A:$D,4,0)</f>
        <v>READY</v>
      </c>
    </row>
    <row r="672" customFormat="false" ht="12.8" hidden="true" customHeight="false" outlineLevel="0" collapsed="false">
      <c r="A672" s="0" t="n">
        <v>466780</v>
      </c>
      <c r="B672" s="0" t="n">
        <v>466780</v>
      </c>
      <c r="C672" s="0" t="n">
        <v>2</v>
      </c>
      <c r="D672" s="0" t="n">
        <v>9</v>
      </c>
      <c r="E672" s="0" t="n">
        <v>2515</v>
      </c>
      <c r="F672" s="0" t="n">
        <v>88</v>
      </c>
      <c r="G672" s="0" t="n">
        <v>131</v>
      </c>
      <c r="H672" s="0" t="s">
        <v>1353</v>
      </c>
      <c r="I672" s="0" t="s">
        <v>1359</v>
      </c>
      <c r="J672" s="9" t="n">
        <v>45902</v>
      </c>
      <c r="K672" s="0" t="s">
        <v>1360</v>
      </c>
      <c r="L672" s="0" t="n">
        <v>3</v>
      </c>
      <c r="M672" s="3" t="n">
        <f aca="false">_xlfn.NUMBERVALUE("" &amp; K672 &amp; "",".",",")</f>
        <v>0.0543876627777778</v>
      </c>
      <c r="O672" s="0" t="str">
        <f aca="false">VLOOKUP(C672,statusdetails!$A:$D,4,0)</f>
        <v>DELAY</v>
      </c>
    </row>
    <row r="673" customFormat="false" ht="12.8" hidden="true" customHeight="false" outlineLevel="0" collapsed="false">
      <c r="A673" s="0" t="n">
        <v>466781</v>
      </c>
      <c r="B673" s="0" t="n">
        <v>466781</v>
      </c>
      <c r="C673" s="0" t="n">
        <v>1</v>
      </c>
      <c r="D673" s="0" t="n">
        <v>6</v>
      </c>
      <c r="E673" s="0" t="n">
        <v>2404</v>
      </c>
      <c r="F673" s="0" t="n">
        <v>88</v>
      </c>
      <c r="G673" s="0" t="n">
        <v>131</v>
      </c>
      <c r="H673" s="0" t="s">
        <v>1359</v>
      </c>
      <c r="I673" s="0" t="s">
        <v>1361</v>
      </c>
      <c r="J673" s="9" t="n">
        <v>45902</v>
      </c>
      <c r="K673" s="0" t="s">
        <v>1362</v>
      </c>
      <c r="L673" s="0" t="n">
        <v>3</v>
      </c>
      <c r="M673" s="10" t="n">
        <f aca="false">_xlfn.NUMBERVALUE("" &amp; K673 &amp; "",".",",")</f>
        <v>1.09287795111111</v>
      </c>
      <c r="N673" s="10"/>
      <c r="O673" s="0" t="str">
        <f aca="false">VLOOKUP(C673,statusdetails!$A:$D,4,0)</f>
        <v>READY</v>
      </c>
    </row>
    <row r="674" customFormat="false" ht="12.8" hidden="true" customHeight="false" outlineLevel="0" collapsed="false">
      <c r="A674" s="0" t="n">
        <v>466782</v>
      </c>
      <c r="B674" s="0" t="n">
        <v>466782</v>
      </c>
      <c r="C674" s="0" t="n">
        <v>3</v>
      </c>
      <c r="D674" s="0" t="n">
        <v>14</v>
      </c>
      <c r="E674" s="0" t="n">
        <v>1162</v>
      </c>
      <c r="F674" s="0" t="n">
        <v>66</v>
      </c>
      <c r="G674" s="0" t="n">
        <v>116</v>
      </c>
      <c r="H674" s="0" t="s">
        <v>1324</v>
      </c>
      <c r="I674" s="0" t="s">
        <v>1363</v>
      </c>
      <c r="J674" s="9" t="n">
        <v>45902</v>
      </c>
      <c r="K674" s="0" t="s">
        <v>1364</v>
      </c>
      <c r="L674" s="0" t="n">
        <v>3</v>
      </c>
      <c r="M674" s="10" t="n">
        <f aca="false">_xlfn.NUMBERVALUE("" &amp; K674 &amp; "",".",",")</f>
        <v>0.13715089</v>
      </c>
      <c r="N674" s="10"/>
      <c r="O674" s="0" t="str">
        <f aca="false">VLOOKUP(C674,statusdetails!$A:$D,4,0)</f>
        <v>STANDBY</v>
      </c>
      <c r="P674" s="0" t="str">
        <f aca="false">VLOOKUP(F674,equipment!$A:$E,4,0)</f>
        <v>CM407</v>
      </c>
      <c r="Q674" s="0" t="str">
        <f aca="false">VLOOKUP(F674,equipment!$A:$E,5,0)</f>
        <v>CM407 - 66</v>
      </c>
    </row>
    <row r="675" customFormat="false" ht="12.8" hidden="true" customHeight="false" outlineLevel="0" collapsed="false">
      <c r="A675" s="0" t="n">
        <v>466783</v>
      </c>
      <c r="B675" s="0" t="n">
        <v>466783</v>
      </c>
      <c r="C675" s="0" t="n">
        <v>1</v>
      </c>
      <c r="D675" s="0" t="n">
        <v>6</v>
      </c>
      <c r="E675" s="0" t="n">
        <v>260</v>
      </c>
      <c r="F675" s="0" t="n">
        <v>66</v>
      </c>
      <c r="G675" s="0" t="n">
        <v>116</v>
      </c>
      <c r="H675" s="0" t="s">
        <v>1363</v>
      </c>
      <c r="I675" s="0" t="s">
        <v>1365</v>
      </c>
      <c r="J675" s="9" t="n">
        <v>45902</v>
      </c>
      <c r="K675" s="0" t="s">
        <v>1366</v>
      </c>
      <c r="L675" s="0" t="n">
        <v>3</v>
      </c>
      <c r="M675" s="10" t="n">
        <f aca="false">_xlfn.NUMBERVALUE("" &amp; K675 &amp; "",".",",")</f>
        <v>2.62429924666667</v>
      </c>
      <c r="N675" s="10"/>
      <c r="O675" s="0" t="str">
        <f aca="false">VLOOKUP(C675,statusdetails!$A:$D,4,0)</f>
        <v>READY</v>
      </c>
    </row>
    <row r="676" customFormat="false" ht="12.8" hidden="true" customHeight="false" outlineLevel="0" collapsed="false">
      <c r="A676" s="0" t="n">
        <v>466784</v>
      </c>
      <c r="B676" s="0" t="n">
        <v>466779</v>
      </c>
      <c r="C676" s="0" t="n">
        <v>1</v>
      </c>
      <c r="D676" s="0" t="n">
        <v>6</v>
      </c>
      <c r="E676" s="0" t="n">
        <v>2518</v>
      </c>
      <c r="F676" s="0" t="n">
        <v>96</v>
      </c>
      <c r="G676" s="0" t="n">
        <v>124</v>
      </c>
      <c r="H676" s="11" t="n">
        <v>45903.1493518519</v>
      </c>
      <c r="I676" s="0" t="s">
        <v>1367</v>
      </c>
      <c r="J676" s="9" t="n">
        <v>45902</v>
      </c>
      <c r="K676" s="0" t="s">
        <v>1368</v>
      </c>
      <c r="L676" s="0" t="n">
        <v>3</v>
      </c>
      <c r="M676" s="10" t="n">
        <f aca="false">_xlfn.NUMBERVALUE("" &amp; K676 &amp; "",".",",")</f>
        <v>1.34503828388889</v>
      </c>
      <c r="N676" s="10"/>
      <c r="O676" s="0" t="str">
        <f aca="false">VLOOKUP(C676,statusdetails!$A:$D,4,0)</f>
        <v>READY</v>
      </c>
    </row>
    <row r="677" customFormat="false" ht="12.8" hidden="true" customHeight="false" outlineLevel="0" collapsed="false">
      <c r="A677" s="0" t="n">
        <v>466785</v>
      </c>
      <c r="B677" s="0" t="n">
        <v>466785</v>
      </c>
      <c r="C677" s="0" t="n">
        <v>3</v>
      </c>
      <c r="D677" s="0" t="n">
        <v>12</v>
      </c>
      <c r="E677" s="0" t="n">
        <v>289</v>
      </c>
      <c r="F677" s="0" t="n">
        <v>33</v>
      </c>
      <c r="G677" s="0" t="n">
        <v>96</v>
      </c>
      <c r="H677" s="0" t="s">
        <v>1314</v>
      </c>
      <c r="I677" s="0" t="s">
        <v>1369</v>
      </c>
      <c r="J677" s="9" t="n">
        <v>45902</v>
      </c>
      <c r="K677" s="0" t="s">
        <v>1370</v>
      </c>
      <c r="L677" s="0" t="n">
        <v>4</v>
      </c>
      <c r="M677" s="10" t="n">
        <f aca="false">_xlfn.NUMBERVALUE("" &amp; K677 &amp; "",".",",")</f>
        <v>0.251589204444444</v>
      </c>
      <c r="N677" s="10"/>
      <c r="O677" s="0" t="str">
        <f aca="false">VLOOKUP(C677,statusdetails!$A:$D,4,0)</f>
        <v>STANDBY</v>
      </c>
      <c r="P677" s="0" t="str">
        <f aca="false">VLOOKUP(F677,equipment!$A:$E,4,0)</f>
        <v>CM406</v>
      </c>
      <c r="Q677" s="0" t="str">
        <f aca="false">VLOOKUP(F677,equipment!$A:$E,5,0)</f>
        <v>CM406 - 33</v>
      </c>
    </row>
    <row r="678" customFormat="false" ht="12.8" hidden="true" customHeight="false" outlineLevel="0" collapsed="false">
      <c r="A678" s="0" t="n">
        <v>466786</v>
      </c>
      <c r="B678" s="0" t="n">
        <v>466786</v>
      </c>
      <c r="C678" s="0" t="n">
        <v>3</v>
      </c>
      <c r="D678" s="0" t="n">
        <v>12</v>
      </c>
      <c r="E678" s="0" t="n">
        <v>289</v>
      </c>
      <c r="F678" s="0" t="n">
        <v>35</v>
      </c>
      <c r="G678" s="0" t="n">
        <v>0</v>
      </c>
      <c r="H678" s="0" t="s">
        <v>1334</v>
      </c>
      <c r="I678" s="0" t="s">
        <v>1371</v>
      </c>
      <c r="J678" s="9" t="n">
        <v>45902</v>
      </c>
      <c r="K678" s="0" t="s">
        <v>1372</v>
      </c>
      <c r="L678" s="0" t="n">
        <v>4</v>
      </c>
      <c r="M678" s="10" t="n">
        <f aca="false">_xlfn.NUMBERVALUE("" &amp; K678 &amp; "",".",",")</f>
        <v>0.250323843055556</v>
      </c>
      <c r="N678" s="10"/>
      <c r="O678" s="0" t="str">
        <f aca="false">VLOOKUP(C678,statusdetails!$A:$D,4,0)</f>
        <v>STANDBY</v>
      </c>
      <c r="P678" s="0" t="str">
        <f aca="false">VLOOKUP(F678,equipment!$A:$E,4,0)</f>
        <v>CM405</v>
      </c>
      <c r="Q678" s="0" t="str">
        <f aca="false">VLOOKUP(F678,equipment!$A:$E,5,0)</f>
        <v>CM405 - 35</v>
      </c>
    </row>
    <row r="679" customFormat="false" ht="12.8" hidden="true" customHeight="false" outlineLevel="0" collapsed="false">
      <c r="A679" s="0" t="n">
        <v>466787</v>
      </c>
      <c r="B679" s="0" t="n">
        <v>466787</v>
      </c>
      <c r="C679" s="0" t="n">
        <v>3</v>
      </c>
      <c r="D679" s="0" t="n">
        <v>12</v>
      </c>
      <c r="E679" s="0" t="n">
        <v>167</v>
      </c>
      <c r="F679" s="0" t="n">
        <v>45</v>
      </c>
      <c r="G679" s="0" t="n">
        <v>0</v>
      </c>
      <c r="H679" s="0" t="s">
        <v>1302</v>
      </c>
      <c r="I679" s="0" t="s">
        <v>1373</v>
      </c>
      <c r="J679" s="9" t="n">
        <v>45902</v>
      </c>
      <c r="K679" s="0" t="s">
        <v>1374</v>
      </c>
      <c r="L679" s="0" t="n">
        <v>4</v>
      </c>
      <c r="M679" s="10" t="n">
        <f aca="false">_xlfn.NUMBERVALUE("" &amp; K679 &amp; "",".",",")</f>
        <v>0.250245070277778</v>
      </c>
      <c r="N679" s="10"/>
      <c r="O679" s="0" t="str">
        <f aca="false">VLOOKUP(C679,statusdetails!$A:$D,4,0)</f>
        <v>STANDBY</v>
      </c>
      <c r="P679" s="0" t="str">
        <f aca="false">VLOOKUP(F679,equipment!$A:$E,4,0)</f>
        <v>EX501</v>
      </c>
      <c r="Q679" s="0" t="str">
        <f aca="false">VLOOKUP(F679,equipment!$A:$E,5,0)</f>
        <v>EX501 - 45</v>
      </c>
    </row>
    <row r="680" customFormat="false" ht="12.8" hidden="true" customHeight="false" outlineLevel="0" collapsed="false">
      <c r="A680" s="0" t="n">
        <v>466788</v>
      </c>
      <c r="B680" s="0" t="n">
        <v>466788</v>
      </c>
      <c r="C680" s="0" t="n">
        <v>2</v>
      </c>
      <c r="D680" s="0" t="n">
        <v>9</v>
      </c>
      <c r="E680" s="0" t="n">
        <v>2388</v>
      </c>
      <c r="F680" s="0" t="n">
        <v>82</v>
      </c>
      <c r="G680" s="0" t="n">
        <v>28</v>
      </c>
      <c r="H680" s="0" t="s">
        <v>1330</v>
      </c>
      <c r="I680" s="11" t="n">
        <v>45903.1790740741</v>
      </c>
      <c r="J680" s="9" t="n">
        <v>45902</v>
      </c>
      <c r="K680" s="0" t="s">
        <v>1375</v>
      </c>
      <c r="L680" s="0" t="n">
        <v>4</v>
      </c>
      <c r="M680" s="3" t="n">
        <f aca="false">_xlfn.NUMBERVALUE("" &amp; K680 &amp; "",".",",")</f>
        <v>0.0664585391666667</v>
      </c>
      <c r="O680" s="0" t="str">
        <f aca="false">VLOOKUP(C680,statusdetails!$A:$D,4,0)</f>
        <v>DELAY</v>
      </c>
    </row>
    <row r="681" customFormat="false" ht="12.8" hidden="true" customHeight="false" outlineLevel="0" collapsed="false">
      <c r="A681" s="0" t="n">
        <v>466790</v>
      </c>
      <c r="B681" s="0" t="n">
        <v>466790</v>
      </c>
      <c r="C681" s="0" t="n">
        <v>2</v>
      </c>
      <c r="D681" s="0" t="n">
        <v>7</v>
      </c>
      <c r="E681" s="0" t="n">
        <v>821</v>
      </c>
      <c r="F681" s="0" t="n">
        <v>43</v>
      </c>
      <c r="G681" s="0" t="n">
        <v>35</v>
      </c>
      <c r="H681" s="0" t="s">
        <v>1340</v>
      </c>
      <c r="I681" s="0" t="s">
        <v>1376</v>
      </c>
      <c r="J681" s="9" t="n">
        <v>45902</v>
      </c>
      <c r="K681" s="0" t="s">
        <v>1377</v>
      </c>
      <c r="L681" s="0" t="n">
        <v>4</v>
      </c>
      <c r="M681" s="3" t="n">
        <f aca="false">_xlfn.NUMBERVALUE("" &amp; K681 &amp; "",".",",")</f>
        <v>0.117466590833333</v>
      </c>
      <c r="O681" s="0" t="str">
        <f aca="false">VLOOKUP(C681,statusdetails!$A:$D,4,0)</f>
        <v>DELAY</v>
      </c>
    </row>
    <row r="682" customFormat="false" ht="12.8" hidden="true" customHeight="false" outlineLevel="0" collapsed="false">
      <c r="A682" s="0" t="n">
        <v>466791</v>
      </c>
      <c r="B682" s="0" t="n">
        <v>466791</v>
      </c>
      <c r="C682" s="0" t="n">
        <v>1</v>
      </c>
      <c r="D682" s="0" t="n">
        <v>6</v>
      </c>
      <c r="E682" s="0" t="n">
        <v>260</v>
      </c>
      <c r="F682" s="0" t="n">
        <v>33</v>
      </c>
      <c r="G682" s="0" t="n">
        <v>96</v>
      </c>
      <c r="H682" s="0" t="s">
        <v>1369</v>
      </c>
      <c r="I682" s="0" t="s">
        <v>1378</v>
      </c>
      <c r="J682" s="9" t="n">
        <v>45902</v>
      </c>
      <c r="K682" s="0" t="s">
        <v>1379</v>
      </c>
      <c r="L682" s="0" t="n">
        <v>4</v>
      </c>
      <c r="M682" s="10" t="n">
        <f aca="false">_xlfn.NUMBERVALUE("" &amp; K682 &amp; "",".",",")</f>
        <v>2.36547277611111</v>
      </c>
      <c r="N682" s="10"/>
      <c r="O682" s="0" t="str">
        <f aca="false">VLOOKUP(C682,statusdetails!$A:$D,4,0)</f>
        <v>READY</v>
      </c>
    </row>
    <row r="683" customFormat="false" ht="12.8" hidden="true" customHeight="false" outlineLevel="0" collapsed="false">
      <c r="A683" s="0" t="n">
        <v>466792</v>
      </c>
      <c r="B683" s="0" t="n">
        <v>466792</v>
      </c>
      <c r="C683" s="0" t="n">
        <v>1</v>
      </c>
      <c r="D683" s="0" t="n">
        <v>6</v>
      </c>
      <c r="E683" s="0" t="n">
        <v>260</v>
      </c>
      <c r="F683" s="0" t="n">
        <v>35</v>
      </c>
      <c r="G683" s="0" t="n">
        <v>0</v>
      </c>
      <c r="H683" s="0" t="s">
        <v>1371</v>
      </c>
      <c r="I683" s="0" t="s">
        <v>1380</v>
      </c>
      <c r="J683" s="9" t="n">
        <v>45902</v>
      </c>
      <c r="K683" s="0" t="s">
        <v>1381</v>
      </c>
      <c r="L683" s="0" t="n">
        <v>4</v>
      </c>
      <c r="M683" s="10" t="n">
        <f aca="false">_xlfn.NUMBERVALUE("" &amp; K683 &amp; "",".",",")</f>
        <v>0.30388206</v>
      </c>
      <c r="N683" s="10"/>
      <c r="O683" s="0" t="str">
        <f aca="false">VLOOKUP(C683,statusdetails!$A:$D,4,0)</f>
        <v>READY</v>
      </c>
    </row>
    <row r="684" customFormat="false" ht="12.8" hidden="true" customHeight="false" outlineLevel="0" collapsed="false">
      <c r="A684" s="0" t="n">
        <v>466793</v>
      </c>
      <c r="B684" s="0" t="n">
        <v>466793</v>
      </c>
      <c r="C684" s="0" t="n">
        <v>1</v>
      </c>
      <c r="D684" s="0" t="n">
        <v>6</v>
      </c>
      <c r="E684" s="0" t="n">
        <v>138</v>
      </c>
      <c r="F684" s="0" t="n">
        <v>45</v>
      </c>
      <c r="G684" s="0" t="n">
        <v>0</v>
      </c>
      <c r="H684" s="0" t="s">
        <v>1373</v>
      </c>
      <c r="I684" s="0" t="s">
        <v>1382</v>
      </c>
      <c r="J684" s="9" t="n">
        <v>45902</v>
      </c>
      <c r="K684" s="0" t="s">
        <v>1383</v>
      </c>
      <c r="L684" s="0" t="n">
        <v>4</v>
      </c>
      <c r="M684" s="10" t="n">
        <f aca="false">_xlfn.NUMBERVALUE("" &amp; K684 &amp; "",".",",")</f>
        <v>0.300531573055556</v>
      </c>
      <c r="N684" s="10"/>
      <c r="O684" s="0" t="str">
        <f aca="false">VLOOKUP(C684,statusdetails!$A:$D,4,0)</f>
        <v>READY</v>
      </c>
    </row>
    <row r="685" customFormat="false" ht="12.8" hidden="true" customHeight="false" outlineLevel="0" collapsed="false">
      <c r="A685" s="0" t="n">
        <v>466794</v>
      </c>
      <c r="B685" s="0" t="n">
        <v>466794</v>
      </c>
      <c r="C685" s="0" t="n">
        <v>1</v>
      </c>
      <c r="D685" s="0" t="n">
        <v>6</v>
      </c>
      <c r="E685" s="0" t="n">
        <v>811</v>
      </c>
      <c r="F685" s="0" t="n">
        <v>43</v>
      </c>
      <c r="G685" s="0" t="n">
        <v>35</v>
      </c>
      <c r="H685" s="0" t="s">
        <v>1376</v>
      </c>
      <c r="I685" s="0" t="s">
        <v>1384</v>
      </c>
      <c r="J685" s="9" t="n">
        <v>45902</v>
      </c>
      <c r="K685" s="0" t="s">
        <v>1385</v>
      </c>
      <c r="L685" s="0" t="n">
        <v>4</v>
      </c>
      <c r="M685" s="10" t="n">
        <f aca="false">_xlfn.NUMBERVALUE("" &amp; K685 &amp; "",".",",")</f>
        <v>1.99446988083333</v>
      </c>
      <c r="N685" s="10"/>
      <c r="O685" s="0" t="str">
        <f aca="false">VLOOKUP(C685,statusdetails!$A:$D,4,0)</f>
        <v>READY</v>
      </c>
    </row>
    <row r="686" customFormat="false" ht="12.8" hidden="true" customHeight="false" outlineLevel="0" collapsed="false">
      <c r="A686" s="0" t="n">
        <v>466795</v>
      </c>
      <c r="B686" s="0" t="n">
        <v>466795</v>
      </c>
      <c r="C686" s="0" t="n">
        <v>2</v>
      </c>
      <c r="D686" s="0" t="n">
        <v>9</v>
      </c>
      <c r="E686" s="0" t="n">
        <v>157</v>
      </c>
      <c r="F686" s="0" t="n">
        <v>45</v>
      </c>
      <c r="G686" s="0" t="n">
        <v>0</v>
      </c>
      <c r="H686" s="0" t="s">
        <v>1382</v>
      </c>
      <c r="I686" s="0" t="s">
        <v>1386</v>
      </c>
      <c r="J686" s="9" t="n">
        <v>45902</v>
      </c>
      <c r="K686" s="0" t="s">
        <v>1387</v>
      </c>
      <c r="L686" s="0" t="n">
        <v>4</v>
      </c>
      <c r="M686" s="3" t="n">
        <f aca="false">_xlfn.NUMBERVALUE("" &amp; K686 &amp; "",".",",")</f>
        <v>0.0150333097222222</v>
      </c>
      <c r="O686" s="0" t="str">
        <f aca="false">VLOOKUP(C686,statusdetails!$A:$D,4,0)</f>
        <v>DELAY</v>
      </c>
    </row>
    <row r="687" customFormat="false" ht="12.8" hidden="true" customHeight="false" outlineLevel="0" collapsed="false">
      <c r="A687" s="0" t="n">
        <v>466796</v>
      </c>
      <c r="B687" s="0" t="n">
        <v>466796</v>
      </c>
      <c r="C687" s="0" t="n">
        <v>2</v>
      </c>
      <c r="D687" s="0" t="n">
        <v>9</v>
      </c>
      <c r="E687" s="0" t="n">
        <v>2102</v>
      </c>
      <c r="F687" s="0" t="n">
        <v>35</v>
      </c>
      <c r="G687" s="0" t="n">
        <v>112</v>
      </c>
      <c r="H687" s="0" t="s">
        <v>1380</v>
      </c>
      <c r="I687" s="0" t="s">
        <v>1388</v>
      </c>
      <c r="J687" s="9" t="n">
        <v>45902</v>
      </c>
      <c r="K687" s="0" t="s">
        <v>1389</v>
      </c>
      <c r="L687" s="0" t="n">
        <v>4</v>
      </c>
      <c r="M687" s="3" t="n">
        <f aca="false">_xlfn.NUMBERVALUE("" &amp; K687 &amp; "",".",",")</f>
        <v>0.01200385</v>
      </c>
      <c r="O687" s="0" t="str">
        <f aca="false">VLOOKUP(C687,statusdetails!$A:$D,4,0)</f>
        <v>DELAY</v>
      </c>
    </row>
    <row r="688" customFormat="false" ht="12.8" hidden="true" customHeight="false" outlineLevel="0" collapsed="false">
      <c r="A688" s="0" t="n">
        <v>466797</v>
      </c>
      <c r="B688" s="0" t="n">
        <v>466797</v>
      </c>
      <c r="C688" s="0" t="n">
        <v>1</v>
      </c>
      <c r="D688" s="0" t="n">
        <v>6</v>
      </c>
      <c r="E688" s="0" t="n">
        <v>260</v>
      </c>
      <c r="F688" s="0" t="n">
        <v>35</v>
      </c>
      <c r="G688" s="0" t="n">
        <v>112</v>
      </c>
      <c r="H688" s="0" t="s">
        <v>1388</v>
      </c>
      <c r="I688" s="0" t="s">
        <v>1390</v>
      </c>
      <c r="J688" s="9" t="n">
        <v>45902</v>
      </c>
      <c r="K688" s="0" t="s">
        <v>1391</v>
      </c>
      <c r="L688" s="0" t="n">
        <v>4</v>
      </c>
      <c r="M688" s="10" t="n">
        <f aca="false">_xlfn.NUMBERVALUE("" &amp; K688 &amp; "",".",",")</f>
        <v>5.93422631833333</v>
      </c>
      <c r="N688" s="10"/>
      <c r="O688" s="0" t="str">
        <f aca="false">VLOOKUP(C688,statusdetails!$A:$D,4,0)</f>
        <v>READY</v>
      </c>
    </row>
    <row r="689" customFormat="false" ht="12.8" hidden="true" customHeight="false" outlineLevel="0" collapsed="false">
      <c r="A689" s="0" t="n">
        <v>466798</v>
      </c>
      <c r="B689" s="0" t="n">
        <v>466798</v>
      </c>
      <c r="C689" s="0" t="n">
        <v>1</v>
      </c>
      <c r="D689" s="0" t="n">
        <v>6</v>
      </c>
      <c r="E689" s="0" t="n">
        <v>138</v>
      </c>
      <c r="F689" s="0" t="n">
        <v>45</v>
      </c>
      <c r="G689" s="0" t="n">
        <v>0</v>
      </c>
      <c r="H689" s="0" t="s">
        <v>1386</v>
      </c>
      <c r="I689" s="0" t="s">
        <v>1392</v>
      </c>
      <c r="J689" s="9" t="n">
        <v>45902</v>
      </c>
      <c r="K689" s="0" t="s">
        <v>1393</v>
      </c>
      <c r="L689" s="0" t="n">
        <v>4</v>
      </c>
      <c r="M689" s="10" t="n">
        <f aca="false">_xlfn.NUMBERVALUE("" &amp; K689 &amp; "",".",",")</f>
        <v>4.59425811833333</v>
      </c>
      <c r="N689" s="10"/>
      <c r="O689" s="0" t="str">
        <f aca="false">VLOOKUP(C689,statusdetails!$A:$D,4,0)</f>
        <v>READY</v>
      </c>
    </row>
    <row r="690" customFormat="false" ht="12.8" hidden="true" customHeight="false" outlineLevel="0" collapsed="false">
      <c r="A690" s="0" t="n">
        <v>466799</v>
      </c>
      <c r="B690" s="0" t="n">
        <v>466799</v>
      </c>
      <c r="C690" s="0" t="n">
        <v>2</v>
      </c>
      <c r="D690" s="0" t="n">
        <v>9</v>
      </c>
      <c r="E690" s="0" t="n">
        <v>2450</v>
      </c>
      <c r="F690" s="0" t="n">
        <v>88</v>
      </c>
      <c r="G690" s="0" t="n">
        <v>131</v>
      </c>
      <c r="H690" s="0" t="s">
        <v>1361</v>
      </c>
      <c r="I690" s="0" t="s">
        <v>1394</v>
      </c>
      <c r="J690" s="9" t="n">
        <v>45902</v>
      </c>
      <c r="K690" s="0" t="s">
        <v>1395</v>
      </c>
      <c r="L690" s="0" t="n">
        <v>4</v>
      </c>
      <c r="M690" s="3" t="n">
        <f aca="false">_xlfn.NUMBERVALUE("" &amp; K690 &amp; "",".",",")</f>
        <v>0.0574311997222222</v>
      </c>
      <c r="O690" s="0" t="str">
        <f aca="false">VLOOKUP(C690,statusdetails!$A:$D,4,0)</f>
        <v>DELAY</v>
      </c>
    </row>
    <row r="691" customFormat="false" ht="12.8" hidden="true" customHeight="false" outlineLevel="0" collapsed="false">
      <c r="A691" s="0" t="n">
        <v>466800</v>
      </c>
      <c r="B691" s="0" t="n">
        <v>466800</v>
      </c>
      <c r="C691" s="0" t="n">
        <v>2</v>
      </c>
      <c r="D691" s="0" t="n">
        <v>9</v>
      </c>
      <c r="E691" s="0" t="n">
        <v>2450</v>
      </c>
      <c r="F691" s="0" t="n">
        <v>84</v>
      </c>
      <c r="G691" s="0" t="n">
        <v>139</v>
      </c>
      <c r="H691" s="0" t="s">
        <v>1351</v>
      </c>
      <c r="I691" s="0" t="s">
        <v>1396</v>
      </c>
      <c r="J691" s="9" t="n">
        <v>45902</v>
      </c>
      <c r="K691" s="0" t="s">
        <v>1397</v>
      </c>
      <c r="L691" s="0" t="n">
        <v>4</v>
      </c>
      <c r="M691" s="3" t="n">
        <f aca="false">_xlfn.NUMBERVALUE("" &amp; K691 &amp; "",".",",")</f>
        <v>0.0468868402777778</v>
      </c>
      <c r="O691" s="0" t="str">
        <f aca="false">VLOOKUP(C691,statusdetails!$A:$D,4,0)</f>
        <v>DELAY</v>
      </c>
    </row>
    <row r="692" customFormat="false" ht="12.8" hidden="true" customHeight="false" outlineLevel="0" collapsed="false">
      <c r="A692" s="0" t="n">
        <v>466801</v>
      </c>
      <c r="B692" s="0" t="n">
        <v>466801</v>
      </c>
      <c r="C692" s="0" t="n">
        <v>2</v>
      </c>
      <c r="D692" s="0" t="n">
        <v>9</v>
      </c>
      <c r="E692" s="0" t="n">
        <v>2388</v>
      </c>
      <c r="F692" s="0" t="n">
        <v>96</v>
      </c>
      <c r="G692" s="0" t="n">
        <v>124</v>
      </c>
      <c r="H692" s="0" t="s">
        <v>1367</v>
      </c>
      <c r="I692" s="0" t="s">
        <v>1398</v>
      </c>
      <c r="J692" s="9" t="n">
        <v>45902</v>
      </c>
      <c r="K692" s="0" t="s">
        <v>1399</v>
      </c>
      <c r="L692" s="0" t="n">
        <v>4</v>
      </c>
      <c r="M692" s="3" t="n">
        <f aca="false">_xlfn.NUMBERVALUE("" &amp; K692 &amp; "",".",",")</f>
        <v>0.0471995641666667</v>
      </c>
      <c r="O692" s="0" t="str">
        <f aca="false">VLOOKUP(C692,statusdetails!$A:$D,4,0)</f>
        <v>DELAY</v>
      </c>
    </row>
    <row r="693" customFormat="false" ht="12.8" hidden="true" customHeight="false" outlineLevel="0" collapsed="false">
      <c r="A693" s="0" t="n">
        <v>466803</v>
      </c>
      <c r="B693" s="0" t="n">
        <v>466803</v>
      </c>
      <c r="C693" s="0" t="n">
        <v>1</v>
      </c>
      <c r="D693" s="0" t="n">
        <v>6</v>
      </c>
      <c r="E693" s="0" t="n">
        <v>2518</v>
      </c>
      <c r="F693" s="0" t="n">
        <v>96</v>
      </c>
      <c r="G693" s="0" t="n">
        <v>124</v>
      </c>
      <c r="H693" s="0" t="s">
        <v>1398</v>
      </c>
      <c r="I693" s="0" t="s">
        <v>1400</v>
      </c>
      <c r="J693" s="9" t="n">
        <v>45902</v>
      </c>
      <c r="K693" s="0" t="s">
        <v>1401</v>
      </c>
      <c r="L693" s="0" t="n">
        <v>4</v>
      </c>
      <c r="M693" s="10" t="n">
        <f aca="false">_xlfn.NUMBERVALUE("" &amp; K693 &amp; "",".",",")</f>
        <v>7.88622510111111</v>
      </c>
      <c r="N693" s="10"/>
      <c r="O693" s="0" t="str">
        <f aca="false">VLOOKUP(C693,statusdetails!$A:$D,4,0)</f>
        <v>READY</v>
      </c>
    </row>
    <row r="694" customFormat="false" ht="12.8" hidden="true" customHeight="false" outlineLevel="0" collapsed="false">
      <c r="A694" s="0" t="n">
        <v>466804</v>
      </c>
      <c r="B694" s="0" t="n">
        <v>466804</v>
      </c>
      <c r="C694" s="0" t="n">
        <v>1</v>
      </c>
      <c r="D694" s="0" t="n">
        <v>6</v>
      </c>
      <c r="E694" s="0" t="n">
        <v>2404</v>
      </c>
      <c r="F694" s="0" t="n">
        <v>84</v>
      </c>
      <c r="G694" s="0" t="n">
        <v>139</v>
      </c>
      <c r="H694" s="0" t="s">
        <v>1396</v>
      </c>
      <c r="I694" s="0" t="s">
        <v>1402</v>
      </c>
      <c r="J694" s="9" t="n">
        <v>45902</v>
      </c>
      <c r="K694" s="0" t="s">
        <v>1403</v>
      </c>
      <c r="L694" s="0" t="n">
        <v>4</v>
      </c>
      <c r="M694" s="10" t="n">
        <f aca="false">_xlfn.NUMBERVALUE("" &amp; K694 &amp; "",".",",")</f>
        <v>1.87662083333333</v>
      </c>
      <c r="N694" s="10"/>
      <c r="O694" s="0" t="str">
        <f aca="false">VLOOKUP(C694,statusdetails!$A:$D,4,0)</f>
        <v>READY</v>
      </c>
    </row>
    <row r="695" customFormat="false" ht="12.8" hidden="true" customHeight="false" outlineLevel="0" collapsed="false">
      <c r="A695" s="0" t="n">
        <v>466805</v>
      </c>
      <c r="B695" s="0" t="n">
        <v>466805</v>
      </c>
      <c r="C695" s="0" t="n">
        <v>1</v>
      </c>
      <c r="D695" s="0" t="n">
        <v>6</v>
      </c>
      <c r="E695" s="0" t="n">
        <v>2404</v>
      </c>
      <c r="F695" s="0" t="n">
        <v>88</v>
      </c>
      <c r="G695" s="0" t="n">
        <v>131</v>
      </c>
      <c r="H695" s="0" t="s">
        <v>1394</v>
      </c>
      <c r="I695" s="0" t="s">
        <v>1404</v>
      </c>
      <c r="J695" s="9" t="n">
        <v>45902</v>
      </c>
      <c r="K695" s="0" t="s">
        <v>1405</v>
      </c>
      <c r="L695" s="0" t="n">
        <v>4</v>
      </c>
      <c r="M695" s="10" t="n">
        <f aca="false">_xlfn.NUMBERVALUE("" &amp; K695 &amp; "",".",",")</f>
        <v>7.7359248375</v>
      </c>
      <c r="N695" s="10"/>
      <c r="O695" s="0" t="str">
        <f aca="false">VLOOKUP(C695,statusdetails!$A:$D,4,0)</f>
        <v>READY</v>
      </c>
    </row>
    <row r="696" customFormat="false" ht="12.8" hidden="true" customHeight="false" outlineLevel="0" collapsed="false">
      <c r="A696" s="0" t="n">
        <v>466806</v>
      </c>
      <c r="B696" s="0" t="n">
        <v>466789</v>
      </c>
      <c r="C696" s="0" t="n">
        <v>1</v>
      </c>
      <c r="D696" s="0" t="n">
        <v>6</v>
      </c>
      <c r="E696" s="0" t="n">
        <v>2518</v>
      </c>
      <c r="F696" s="0" t="n">
        <v>82</v>
      </c>
      <c r="G696" s="0" t="n">
        <v>28</v>
      </c>
      <c r="H696" s="11" t="n">
        <v>45903.1790740741</v>
      </c>
      <c r="I696" s="0" t="s">
        <v>1406</v>
      </c>
      <c r="J696" s="9" t="n">
        <v>45902</v>
      </c>
      <c r="K696" s="0" t="s">
        <v>1407</v>
      </c>
      <c r="L696" s="0" t="n">
        <v>4</v>
      </c>
      <c r="M696" s="10" t="n">
        <f aca="false">_xlfn.NUMBERVALUE("" &amp; K696 &amp; "",".",",")</f>
        <v>4.26052610333333</v>
      </c>
      <c r="N696" s="10"/>
      <c r="O696" s="0" t="str">
        <f aca="false">VLOOKUP(C696,statusdetails!$A:$D,4,0)</f>
        <v>READY</v>
      </c>
    </row>
    <row r="697" customFormat="false" ht="12.8" hidden="true" customHeight="false" outlineLevel="0" collapsed="false">
      <c r="A697" s="0" t="n">
        <v>466807</v>
      </c>
      <c r="B697" s="0" t="n">
        <v>466807</v>
      </c>
      <c r="C697" s="0" t="n">
        <v>2</v>
      </c>
      <c r="D697" s="0" t="n">
        <v>9</v>
      </c>
      <c r="E697" s="0" t="n">
        <v>1064</v>
      </c>
      <c r="F697" s="0" t="n">
        <v>43</v>
      </c>
      <c r="G697" s="0" t="n">
        <v>35</v>
      </c>
      <c r="H697" s="0" t="s">
        <v>1384</v>
      </c>
      <c r="I697" s="0" t="s">
        <v>1408</v>
      </c>
      <c r="J697" s="9" t="n">
        <v>45902</v>
      </c>
      <c r="K697" s="0" t="s">
        <v>1409</v>
      </c>
      <c r="L697" s="0" t="n">
        <v>6</v>
      </c>
      <c r="M697" s="3" t="n">
        <f aca="false">_xlfn.NUMBERVALUE("" &amp; K697 &amp; "",".",",")</f>
        <v>0.574414244722222</v>
      </c>
      <c r="O697" s="0" t="str">
        <f aca="false">VLOOKUP(C697,statusdetails!$A:$D,4,0)</f>
        <v>DELAY</v>
      </c>
    </row>
    <row r="698" customFormat="false" ht="12.8" hidden="true" customHeight="false" outlineLevel="0" collapsed="false">
      <c r="A698" s="0" t="n">
        <v>466808</v>
      </c>
      <c r="B698" s="0" t="n">
        <v>466808</v>
      </c>
      <c r="C698" s="0" t="n">
        <v>1</v>
      </c>
      <c r="D698" s="0" t="n">
        <v>6</v>
      </c>
      <c r="E698" s="0" t="n">
        <v>260</v>
      </c>
      <c r="F698" s="0" t="n">
        <v>66</v>
      </c>
      <c r="G698" s="0" t="n">
        <v>116</v>
      </c>
      <c r="H698" s="0" t="s">
        <v>1365</v>
      </c>
      <c r="I698" s="0" t="s">
        <v>1410</v>
      </c>
      <c r="J698" s="9" t="n">
        <v>45902</v>
      </c>
      <c r="K698" s="0" t="s">
        <v>1411</v>
      </c>
      <c r="L698" s="0" t="n">
        <v>6</v>
      </c>
      <c r="M698" s="10" t="n">
        <f aca="false">_xlfn.NUMBERVALUE("" &amp; K698 &amp; "",".",",")</f>
        <v>1.94488485333333</v>
      </c>
      <c r="N698" s="10"/>
      <c r="O698" s="0" t="str">
        <f aca="false">VLOOKUP(C698,statusdetails!$A:$D,4,0)</f>
        <v>READY</v>
      </c>
    </row>
    <row r="699" customFormat="false" ht="12.8" hidden="true" customHeight="false" outlineLevel="0" collapsed="false">
      <c r="A699" s="0" t="n">
        <v>466809</v>
      </c>
      <c r="B699" s="0" t="n">
        <v>466809</v>
      </c>
      <c r="C699" s="0" t="n">
        <v>3</v>
      </c>
      <c r="D699" s="0" t="n">
        <v>12</v>
      </c>
      <c r="E699" s="0" t="n">
        <v>394</v>
      </c>
      <c r="F699" s="0" t="n">
        <v>37</v>
      </c>
      <c r="G699" s="0" t="n">
        <v>0</v>
      </c>
      <c r="H699" s="0" t="s">
        <v>1336</v>
      </c>
      <c r="I699" s="0" t="s">
        <v>1412</v>
      </c>
      <c r="J699" s="9" t="n">
        <v>45902</v>
      </c>
      <c r="K699" s="0" t="s">
        <v>1413</v>
      </c>
      <c r="L699" s="0" t="n">
        <v>6</v>
      </c>
      <c r="M699" s="10" t="n">
        <f aca="false">_xlfn.NUMBERVALUE("" &amp; K699 &amp; "",".",",")</f>
        <v>0.630547225555556</v>
      </c>
      <c r="N699" s="10"/>
      <c r="O699" s="0" t="str">
        <f aca="false">VLOOKUP(C699,statusdetails!$A:$D,4,0)</f>
        <v>STANDBY</v>
      </c>
      <c r="P699" s="0" t="str">
        <f aca="false">VLOOKUP(F699,equipment!$A:$E,4,0)</f>
        <v>DZ201</v>
      </c>
      <c r="Q699" s="0" t="str">
        <f aca="false">VLOOKUP(F699,equipment!$A:$E,5,0)</f>
        <v>DZ201 - 37</v>
      </c>
    </row>
    <row r="700" customFormat="false" ht="12.8" hidden="true" customHeight="false" outlineLevel="0" collapsed="false">
      <c r="A700" s="0" t="n">
        <v>466810</v>
      </c>
      <c r="B700" s="0" t="n">
        <v>466810</v>
      </c>
      <c r="C700" s="0" t="n">
        <v>3</v>
      </c>
      <c r="D700" s="0" t="n">
        <v>12</v>
      </c>
      <c r="E700" s="0" t="n">
        <v>608</v>
      </c>
      <c r="F700" s="0" t="n">
        <v>41</v>
      </c>
      <c r="G700" s="0" t="n">
        <v>58</v>
      </c>
      <c r="H700" s="0" t="s">
        <v>1155</v>
      </c>
      <c r="I700" s="0" t="s">
        <v>1414</v>
      </c>
      <c r="J700" s="9" t="n">
        <v>45902</v>
      </c>
      <c r="K700" s="0" t="s">
        <v>1415</v>
      </c>
      <c r="L700" s="0" t="n">
        <v>6</v>
      </c>
      <c r="M700" s="10" t="n">
        <f aca="false">_xlfn.NUMBERVALUE("" &amp; K700 &amp; "",".",",")</f>
        <v>0.614519035555556</v>
      </c>
      <c r="N700" s="10"/>
      <c r="O700" s="0" t="str">
        <f aca="false">VLOOKUP(C700,statusdetails!$A:$D,4,0)</f>
        <v>STANDBY</v>
      </c>
      <c r="P700" s="0" t="str">
        <f aca="false">VLOOKUP(F700,equipment!$A:$E,4,0)</f>
        <v>MO102</v>
      </c>
      <c r="Q700" s="0" t="str">
        <f aca="false">VLOOKUP(F700,equipment!$A:$E,5,0)</f>
        <v>MO102 - 41</v>
      </c>
    </row>
    <row r="701" customFormat="false" ht="12.8" hidden="true" customHeight="false" outlineLevel="0" collapsed="false">
      <c r="A701" s="0" t="n">
        <v>466811</v>
      </c>
      <c r="B701" s="0" t="n">
        <v>466811</v>
      </c>
      <c r="C701" s="0" t="n">
        <v>2</v>
      </c>
      <c r="D701" s="0" t="n">
        <v>9</v>
      </c>
      <c r="E701" s="0" t="n">
        <v>2515</v>
      </c>
      <c r="F701" s="0" t="n">
        <v>85</v>
      </c>
      <c r="G701" s="0" t="n">
        <v>4</v>
      </c>
      <c r="H701" s="0" t="s">
        <v>1355</v>
      </c>
      <c r="I701" s="0" t="s">
        <v>1416</v>
      </c>
      <c r="J701" s="9" t="n">
        <v>45902</v>
      </c>
      <c r="K701" s="0" t="s">
        <v>1417</v>
      </c>
      <c r="L701" s="0" t="n">
        <v>6</v>
      </c>
      <c r="M701" s="3" t="n">
        <f aca="false">_xlfn.NUMBERVALUE("" &amp; K701 &amp; "",".",",")</f>
        <v>0.365228746944444</v>
      </c>
      <c r="O701" s="0" t="str">
        <f aca="false">VLOOKUP(C701,statusdetails!$A:$D,4,0)</f>
        <v>DELAY</v>
      </c>
    </row>
    <row r="702" customFormat="false" ht="12.8" hidden="true" customHeight="false" outlineLevel="0" collapsed="false">
      <c r="A702" s="0" t="n">
        <v>466812</v>
      </c>
      <c r="B702" s="0" t="n">
        <v>466812</v>
      </c>
      <c r="C702" s="0" t="n">
        <v>3</v>
      </c>
      <c r="D702" s="0" t="n">
        <v>14</v>
      </c>
      <c r="E702" s="0" t="n">
        <v>1789</v>
      </c>
      <c r="F702" s="0" t="n">
        <v>33</v>
      </c>
      <c r="G702" s="0" t="n">
        <v>96</v>
      </c>
      <c r="H702" s="0" t="s">
        <v>1378</v>
      </c>
      <c r="I702" s="0" t="s">
        <v>1418</v>
      </c>
      <c r="J702" s="9" t="n">
        <v>45902</v>
      </c>
      <c r="K702" s="0" t="s">
        <v>1419</v>
      </c>
      <c r="L702" s="0" t="n">
        <v>6</v>
      </c>
      <c r="M702" s="10" t="n">
        <f aca="false">_xlfn.NUMBERVALUE("" &amp; K702 &amp; "",".",",")</f>
        <v>0.213842878888889</v>
      </c>
      <c r="N702" s="10"/>
      <c r="O702" s="0" t="str">
        <f aca="false">VLOOKUP(C702,statusdetails!$A:$D,4,0)</f>
        <v>STANDBY</v>
      </c>
      <c r="P702" s="0" t="str">
        <f aca="false">VLOOKUP(F702,equipment!$A:$E,4,0)</f>
        <v>CM406</v>
      </c>
      <c r="Q702" s="0" t="str">
        <f aca="false">VLOOKUP(F702,equipment!$A:$E,5,0)</f>
        <v>CM406 - 33</v>
      </c>
    </row>
    <row r="703" customFormat="false" ht="12.8" hidden="true" customHeight="false" outlineLevel="0" collapsed="false">
      <c r="A703" s="0" t="n">
        <v>466813</v>
      </c>
      <c r="B703" s="0" t="n">
        <v>466813</v>
      </c>
      <c r="C703" s="0" t="n">
        <v>3</v>
      </c>
      <c r="D703" s="0" t="n">
        <v>14</v>
      </c>
      <c r="E703" s="0" t="n">
        <v>2406</v>
      </c>
      <c r="F703" s="0" t="n">
        <v>89</v>
      </c>
      <c r="G703" s="0" t="n">
        <v>2</v>
      </c>
      <c r="H703" s="0" t="s">
        <v>1357</v>
      </c>
      <c r="I703" s="11" t="n">
        <v>45903.2954398148</v>
      </c>
      <c r="J703" s="9" t="n">
        <v>45902</v>
      </c>
      <c r="K703" s="0" t="s">
        <v>1420</v>
      </c>
      <c r="L703" s="0" t="n">
        <v>6</v>
      </c>
      <c r="M703" s="10" t="n">
        <f aca="false">_xlfn.NUMBERVALUE("" &amp; K703 &amp; "",".",",")</f>
        <v>0.259649105555556</v>
      </c>
      <c r="N703" s="10"/>
      <c r="O703" s="0" t="str">
        <f aca="false">VLOOKUP(C703,statusdetails!$A:$D,4,0)</f>
        <v>STANDBY</v>
      </c>
      <c r="P703" s="0" t="str">
        <f aca="false">VLOOKUP(F703,equipment!$A:$E,4,0)</f>
        <v>CM06</v>
      </c>
      <c r="Q703" s="0" t="str">
        <f aca="false">VLOOKUP(F703,equipment!$A:$E,5,0)</f>
        <v>CM06 - 89</v>
      </c>
    </row>
    <row r="704" customFormat="false" ht="12.8" hidden="true" customHeight="false" outlineLevel="0" collapsed="false">
      <c r="A704" s="0" t="n">
        <v>466814</v>
      </c>
      <c r="B704" s="0" t="n">
        <v>466814</v>
      </c>
      <c r="C704" s="0" t="n">
        <v>3</v>
      </c>
      <c r="D704" s="0" t="n">
        <v>14</v>
      </c>
      <c r="E704" s="0" t="n">
        <v>1789</v>
      </c>
      <c r="F704" s="0" t="n">
        <v>32</v>
      </c>
      <c r="G704" s="0" t="n">
        <v>0</v>
      </c>
      <c r="H704" s="0" t="s">
        <v>1328</v>
      </c>
      <c r="I704" s="0" t="s">
        <v>1421</v>
      </c>
      <c r="J704" s="9" t="n">
        <v>45902</v>
      </c>
      <c r="K704" s="0" t="s">
        <v>1422</v>
      </c>
      <c r="L704" s="0" t="n">
        <v>6</v>
      </c>
      <c r="M704" s="10" t="n">
        <f aca="false">_xlfn.NUMBERVALUE("" &amp; K704 &amp; "",".",",")</f>
        <v>0.167282222222222</v>
      </c>
      <c r="N704" s="10"/>
      <c r="O704" s="0" t="str">
        <f aca="false">VLOOKUP(C704,statusdetails!$A:$D,4,0)</f>
        <v>STANDBY</v>
      </c>
      <c r="P704" s="0" t="str">
        <f aca="false">VLOOKUP(F704,equipment!$A:$E,4,0)</f>
        <v>CM403</v>
      </c>
      <c r="Q704" s="0" t="str">
        <f aca="false">VLOOKUP(F704,equipment!$A:$E,5,0)</f>
        <v>CM403 - 32</v>
      </c>
    </row>
    <row r="705" customFormat="false" ht="12.8" hidden="true" customHeight="false" outlineLevel="0" collapsed="false">
      <c r="A705" s="0" t="n">
        <v>466815</v>
      </c>
      <c r="B705" s="0" t="n">
        <v>466815</v>
      </c>
      <c r="C705" s="0" t="n">
        <v>3</v>
      </c>
      <c r="D705" s="0" t="n">
        <v>14</v>
      </c>
      <c r="E705" s="0" t="n">
        <v>2406</v>
      </c>
      <c r="F705" s="0" t="n">
        <v>84</v>
      </c>
      <c r="G705" s="0" t="n">
        <v>139</v>
      </c>
      <c r="H705" s="0" t="s">
        <v>1402</v>
      </c>
      <c r="I705" s="11" t="n">
        <v>45903.2957291667</v>
      </c>
      <c r="J705" s="9" t="n">
        <v>45902</v>
      </c>
      <c r="K705" s="0" t="s">
        <v>1423</v>
      </c>
      <c r="L705" s="0" t="n">
        <v>6</v>
      </c>
      <c r="M705" s="10" t="n">
        <f aca="false">_xlfn.NUMBERVALUE("" &amp; K705 &amp; "",".",",")</f>
        <v>0.246106944444444</v>
      </c>
      <c r="N705" s="10"/>
      <c r="O705" s="0" t="str">
        <f aca="false">VLOOKUP(C705,statusdetails!$A:$D,4,0)</f>
        <v>STANDBY</v>
      </c>
      <c r="P705" s="0" t="str">
        <f aca="false">VLOOKUP(F705,equipment!$A:$E,4,0)</f>
        <v>CM01</v>
      </c>
      <c r="Q705" s="0" t="str">
        <f aca="false">VLOOKUP(F705,equipment!$A:$E,5,0)</f>
        <v>CM01 - 84</v>
      </c>
    </row>
    <row r="706" customFormat="false" ht="12.8" hidden="true" customHeight="false" outlineLevel="0" collapsed="false">
      <c r="A706" s="0" t="n">
        <v>466816</v>
      </c>
      <c r="B706" s="0" t="n">
        <v>466816</v>
      </c>
      <c r="C706" s="0" t="n">
        <v>1</v>
      </c>
      <c r="D706" s="0" t="n">
        <v>6</v>
      </c>
      <c r="E706" s="0" t="n">
        <v>260</v>
      </c>
      <c r="F706" s="0" t="n">
        <v>32</v>
      </c>
      <c r="G706" s="0" t="n">
        <v>23</v>
      </c>
      <c r="H706" s="0" t="s">
        <v>1421</v>
      </c>
      <c r="I706" s="0" t="s">
        <v>1424</v>
      </c>
      <c r="J706" s="9" t="n">
        <v>45903</v>
      </c>
      <c r="K706" s="0" t="s">
        <v>1425</v>
      </c>
      <c r="L706" s="0" t="n">
        <v>7</v>
      </c>
      <c r="M706" s="10" t="n">
        <f aca="false">_xlfn.NUMBERVALUE("" &amp; K706 &amp; "",".",",")</f>
        <v>1.59899722444444</v>
      </c>
      <c r="N706" s="10"/>
      <c r="O706" s="0" t="str">
        <f aca="false">VLOOKUP(C706,statusdetails!$A:$D,4,0)</f>
        <v>READY</v>
      </c>
    </row>
    <row r="707" customFormat="false" ht="12.8" hidden="true" customHeight="false" outlineLevel="0" collapsed="false">
      <c r="A707" s="0" t="n">
        <v>466817</v>
      </c>
      <c r="B707" s="0" t="n">
        <v>466817</v>
      </c>
      <c r="C707" s="0" t="n">
        <v>1</v>
      </c>
      <c r="D707" s="0" t="n">
        <v>6</v>
      </c>
      <c r="E707" s="0" t="n">
        <v>260</v>
      </c>
      <c r="F707" s="0" t="n">
        <v>33</v>
      </c>
      <c r="G707" s="0" t="n">
        <v>98</v>
      </c>
      <c r="H707" s="0" t="s">
        <v>1418</v>
      </c>
      <c r="I707" s="0" t="s">
        <v>1426</v>
      </c>
      <c r="J707" s="9" t="n">
        <v>45903</v>
      </c>
      <c r="K707" s="0" t="s">
        <v>1427</v>
      </c>
      <c r="L707" s="0" t="n">
        <v>7</v>
      </c>
      <c r="M707" s="10" t="n">
        <f aca="false">_xlfn.NUMBERVALUE("" &amp; K707 &amp; "",".",",")</f>
        <v>8.87188632472222</v>
      </c>
      <c r="N707" s="10"/>
      <c r="O707" s="0" t="str">
        <f aca="false">VLOOKUP(C707,statusdetails!$A:$D,4,0)</f>
        <v>READY</v>
      </c>
    </row>
    <row r="708" customFormat="false" ht="12.8" hidden="true" customHeight="false" outlineLevel="0" collapsed="false">
      <c r="A708" s="0" t="n">
        <v>466818</v>
      </c>
      <c r="B708" s="0" t="n">
        <v>466818</v>
      </c>
      <c r="C708" s="0" t="n">
        <v>1</v>
      </c>
      <c r="D708" s="0" t="n">
        <v>6</v>
      </c>
      <c r="E708" s="0" t="n">
        <v>811</v>
      </c>
      <c r="F708" s="0" t="n">
        <v>43</v>
      </c>
      <c r="G708" s="0" t="n">
        <v>36</v>
      </c>
      <c r="H708" s="0" t="s">
        <v>1408</v>
      </c>
      <c r="I708" s="0" t="s">
        <v>1428</v>
      </c>
      <c r="J708" s="9" t="n">
        <v>45903</v>
      </c>
      <c r="K708" s="0" t="s">
        <v>1429</v>
      </c>
      <c r="L708" s="0" t="n">
        <v>7</v>
      </c>
      <c r="M708" s="10" t="n">
        <f aca="false">_xlfn.NUMBERVALUE("" &amp; K708 &amp; "",".",",")</f>
        <v>0.337713398333333</v>
      </c>
      <c r="N708" s="10"/>
      <c r="O708" s="0" t="str">
        <f aca="false">VLOOKUP(C708,statusdetails!$A:$D,4,0)</f>
        <v>READY</v>
      </c>
    </row>
    <row r="709" customFormat="false" ht="12.8" hidden="true" customHeight="false" outlineLevel="0" collapsed="false">
      <c r="A709" s="0" t="n">
        <v>466819</v>
      </c>
      <c r="B709" s="0" t="n">
        <v>466819</v>
      </c>
      <c r="C709" s="0" t="n">
        <v>1</v>
      </c>
      <c r="D709" s="0" t="n">
        <v>6</v>
      </c>
      <c r="E709" s="0" t="n">
        <v>2404</v>
      </c>
      <c r="F709" s="0" t="n">
        <v>85</v>
      </c>
      <c r="G709" s="0" t="n">
        <v>155</v>
      </c>
      <c r="H709" s="0" t="s">
        <v>1416</v>
      </c>
      <c r="I709" s="0" t="s">
        <v>1430</v>
      </c>
      <c r="J709" s="9" t="n">
        <v>45903</v>
      </c>
      <c r="K709" s="0" t="s">
        <v>1431</v>
      </c>
      <c r="L709" s="0" t="n">
        <v>7</v>
      </c>
      <c r="M709" s="10" t="n">
        <f aca="false">_xlfn.NUMBERVALUE("" &amp; K709 &amp; "",".",",")</f>
        <v>0.144266508055556</v>
      </c>
      <c r="N709" s="10"/>
      <c r="O709" s="0" t="str">
        <f aca="false">VLOOKUP(C709,statusdetails!$A:$D,4,0)</f>
        <v>READY</v>
      </c>
    </row>
    <row r="710" customFormat="false" ht="12.8" hidden="true" customHeight="false" outlineLevel="0" collapsed="false">
      <c r="A710" s="0" t="n">
        <v>466821</v>
      </c>
      <c r="B710" s="0" t="n">
        <v>466821</v>
      </c>
      <c r="C710" s="0" t="n">
        <v>1</v>
      </c>
      <c r="D710" s="0" t="n">
        <v>6</v>
      </c>
      <c r="E710" s="0" t="n">
        <v>2404</v>
      </c>
      <c r="F710" s="0" t="n">
        <v>84</v>
      </c>
      <c r="G710" s="0" t="n">
        <v>152</v>
      </c>
      <c r="H710" s="0" t="s">
        <v>1432</v>
      </c>
      <c r="I710" s="0" t="s">
        <v>1433</v>
      </c>
      <c r="J710" s="9" t="n">
        <v>45903</v>
      </c>
      <c r="K710" s="0" t="s">
        <v>1434</v>
      </c>
      <c r="L710" s="0" t="n">
        <v>7</v>
      </c>
      <c r="M710" s="10" t="n">
        <f aca="false">_xlfn.NUMBERVALUE("" &amp; K710 &amp; "",".",",")</f>
        <v>1.25643361111111</v>
      </c>
      <c r="N710" s="10"/>
      <c r="O710" s="0" t="str">
        <f aca="false">VLOOKUP(C710,statusdetails!$A:$D,4,0)</f>
        <v>READY</v>
      </c>
    </row>
    <row r="711" customFormat="false" ht="12.8" hidden="true" customHeight="false" outlineLevel="0" collapsed="false">
      <c r="A711" s="0" t="n">
        <v>466824</v>
      </c>
      <c r="B711" s="0" t="n">
        <v>466824</v>
      </c>
      <c r="C711" s="0" t="n">
        <v>1</v>
      </c>
      <c r="D711" s="0" t="n">
        <v>6</v>
      </c>
      <c r="E711" s="0" t="n">
        <v>586</v>
      </c>
      <c r="F711" s="0" t="n">
        <v>41</v>
      </c>
      <c r="G711" s="0" t="n">
        <v>58</v>
      </c>
      <c r="H711" s="0" t="s">
        <v>1414</v>
      </c>
      <c r="I711" s="0" t="s">
        <v>1435</v>
      </c>
      <c r="J711" s="9" t="n">
        <v>45903</v>
      </c>
      <c r="K711" s="0" t="s">
        <v>1436</v>
      </c>
      <c r="L711" s="0" t="n">
        <v>7</v>
      </c>
      <c r="M711" s="10" t="n">
        <f aca="false">_xlfn.NUMBERVALUE("" &amp; K711 &amp; "",".",",")</f>
        <v>5.27963514888889</v>
      </c>
      <c r="N711" s="10"/>
      <c r="O711" s="0" t="str">
        <f aca="false">VLOOKUP(C711,statusdetails!$A:$D,4,0)</f>
        <v>READY</v>
      </c>
    </row>
    <row r="712" customFormat="false" ht="12.8" hidden="true" customHeight="false" outlineLevel="0" collapsed="false">
      <c r="A712" s="0" t="n">
        <v>466825</v>
      </c>
      <c r="B712" s="0" t="n">
        <v>466825</v>
      </c>
      <c r="C712" s="0" t="n">
        <v>1</v>
      </c>
      <c r="D712" s="0" t="n">
        <v>2303</v>
      </c>
      <c r="E712" s="0" t="n">
        <v>1541</v>
      </c>
      <c r="F712" s="0" t="n">
        <v>37</v>
      </c>
      <c r="G712" s="0" t="n">
        <v>44</v>
      </c>
      <c r="H712" s="0" t="s">
        <v>1412</v>
      </c>
      <c r="I712" s="0" t="s">
        <v>1437</v>
      </c>
      <c r="J712" s="9" t="n">
        <v>45903</v>
      </c>
      <c r="K712" s="0" t="s">
        <v>1438</v>
      </c>
      <c r="L712" s="0" t="n">
        <v>7</v>
      </c>
      <c r="M712" s="10" t="n">
        <f aca="false">_xlfn.NUMBERVALUE("" &amp; K712 &amp; "",".",",")</f>
        <v>3.03056888277778</v>
      </c>
      <c r="N712" s="10"/>
      <c r="O712" s="0" t="str">
        <f aca="false">VLOOKUP(C712,statusdetails!$A:$D,4,0)</f>
        <v>READY</v>
      </c>
    </row>
    <row r="713" customFormat="false" ht="12.8" hidden="true" customHeight="false" outlineLevel="0" collapsed="false">
      <c r="A713" s="0" t="n">
        <v>466826</v>
      </c>
      <c r="B713" s="0" t="n">
        <v>466826</v>
      </c>
      <c r="C713" s="0" t="n">
        <v>4</v>
      </c>
      <c r="D713" s="0" t="n">
        <v>15</v>
      </c>
      <c r="E713" s="0" t="n">
        <v>2442</v>
      </c>
      <c r="F713" s="0" t="n">
        <v>85</v>
      </c>
      <c r="G713" s="0" t="n">
        <v>155</v>
      </c>
      <c r="H713" s="0" t="s">
        <v>1430</v>
      </c>
      <c r="I713" s="11" t="n">
        <v>45903.3255787037</v>
      </c>
      <c r="J713" s="9" t="n">
        <v>45903</v>
      </c>
      <c r="K713" s="0" t="s">
        <v>1439</v>
      </c>
      <c r="L713" s="0" t="n">
        <v>7</v>
      </c>
      <c r="M713" s="10" t="n">
        <f aca="false">_xlfn.NUMBERVALUE("" &amp; K713 &amp; "",".",",")</f>
        <v>0.535089166666667</v>
      </c>
      <c r="N713" s="10"/>
      <c r="O713" s="0" t="str">
        <f aca="false">VLOOKUP(C713,statusdetails!$A:$D,4,0)</f>
        <v>MAINT</v>
      </c>
    </row>
    <row r="714" customFormat="false" ht="12.8" hidden="true" customHeight="false" outlineLevel="0" collapsed="false">
      <c r="A714" s="0" t="n">
        <v>466827</v>
      </c>
      <c r="B714" s="0" t="n">
        <v>466827</v>
      </c>
      <c r="C714" s="0" t="n">
        <v>3</v>
      </c>
      <c r="D714" s="0" t="n">
        <v>12</v>
      </c>
      <c r="E714" s="0" t="n">
        <v>840</v>
      </c>
      <c r="F714" s="0" t="n">
        <v>43</v>
      </c>
      <c r="G714" s="0" t="n">
        <v>36</v>
      </c>
      <c r="H714" s="0" t="s">
        <v>1428</v>
      </c>
      <c r="I714" s="0" t="s">
        <v>1440</v>
      </c>
      <c r="J714" s="9" t="n">
        <v>45903</v>
      </c>
      <c r="K714" s="0" t="s">
        <v>1441</v>
      </c>
      <c r="L714" s="0" t="n">
        <v>7</v>
      </c>
      <c r="M714" s="10" t="n">
        <f aca="false">_xlfn.NUMBERVALUE("" &amp; K714 &amp; "",".",",")</f>
        <v>0.274015886111111</v>
      </c>
      <c r="N714" s="10"/>
      <c r="O714" s="0" t="str">
        <f aca="false">VLOOKUP(C714,statusdetails!$A:$D,4,0)</f>
        <v>STANDBY</v>
      </c>
      <c r="P714" s="0" t="str">
        <f aca="false">VLOOKUP(F714,equipment!$A:$E,4,0)</f>
        <v>PE302</v>
      </c>
      <c r="Q714" s="0" t="str">
        <f aca="false">VLOOKUP(F714,equipment!$A:$E,5,0)</f>
        <v>PE302 - 43</v>
      </c>
    </row>
    <row r="715" customFormat="false" ht="12.8" hidden="true" customHeight="false" outlineLevel="0" collapsed="false">
      <c r="A715" s="0" t="n">
        <v>466828</v>
      </c>
      <c r="B715" s="0" t="n">
        <v>466828</v>
      </c>
      <c r="C715" s="0" t="n">
        <v>1</v>
      </c>
      <c r="D715" s="0" t="n">
        <v>2303</v>
      </c>
      <c r="E715" s="0" t="n">
        <v>2549</v>
      </c>
      <c r="F715" s="0" t="n">
        <v>60</v>
      </c>
      <c r="G715" s="0" t="n">
        <v>163</v>
      </c>
      <c r="H715" s="0" t="s">
        <v>1106</v>
      </c>
      <c r="I715" s="11" t="n">
        <v>45903.5756597222</v>
      </c>
      <c r="J715" s="9" t="n">
        <v>45903</v>
      </c>
      <c r="K715" s="0" t="s">
        <v>1442</v>
      </c>
      <c r="L715" s="0" t="n">
        <v>7</v>
      </c>
      <c r="M715" s="10" t="n">
        <f aca="false">_xlfn.NUMBERVALUE("" &amp; K715 &amp; "",".",",")</f>
        <v>6.27972896833333</v>
      </c>
      <c r="N715" s="10"/>
      <c r="O715" s="0" t="str">
        <f aca="false">VLOOKUP(C715,statusdetails!$A:$D,4,0)</f>
        <v>READY</v>
      </c>
    </row>
    <row r="716" customFormat="false" ht="12.8" hidden="true" customHeight="false" outlineLevel="0" collapsed="false">
      <c r="A716" s="0" t="n">
        <v>466829</v>
      </c>
      <c r="B716" s="0" t="n">
        <v>466829</v>
      </c>
      <c r="C716" s="0" t="n">
        <v>1</v>
      </c>
      <c r="D716" s="0" t="n">
        <v>6</v>
      </c>
      <c r="E716" s="0" t="n">
        <v>811</v>
      </c>
      <c r="F716" s="0" t="n">
        <v>43</v>
      </c>
      <c r="G716" s="0" t="n">
        <v>36</v>
      </c>
      <c r="H716" s="0" t="s">
        <v>1440</v>
      </c>
      <c r="I716" s="0" t="s">
        <v>1443</v>
      </c>
      <c r="J716" s="9" t="n">
        <v>45903</v>
      </c>
      <c r="K716" s="0" t="s">
        <v>1444</v>
      </c>
      <c r="L716" s="0" t="n">
        <v>7</v>
      </c>
      <c r="M716" s="10" t="n">
        <f aca="false">_xlfn.NUMBERVALUE("" &amp; K716 &amp; "",".",",")</f>
        <v>0.805214975277778</v>
      </c>
      <c r="N716" s="10"/>
      <c r="O716" s="0" t="str">
        <f aca="false">VLOOKUP(C716,statusdetails!$A:$D,4,0)</f>
        <v>READY</v>
      </c>
    </row>
    <row r="717" customFormat="false" ht="12.8" hidden="true" customHeight="false" outlineLevel="0" collapsed="false">
      <c r="A717" s="0" t="n">
        <v>466831</v>
      </c>
      <c r="B717" s="0" t="n">
        <v>466820</v>
      </c>
      <c r="C717" s="0" t="n">
        <v>2</v>
      </c>
      <c r="D717" s="0" t="n">
        <v>9</v>
      </c>
      <c r="E717" s="0" t="n">
        <v>2515</v>
      </c>
      <c r="F717" s="0" t="n">
        <v>84</v>
      </c>
      <c r="G717" s="0" t="n">
        <v>139</v>
      </c>
      <c r="H717" s="11" t="n">
        <v>45903.2957291667</v>
      </c>
      <c r="I717" s="0" t="s">
        <v>1432</v>
      </c>
      <c r="J717" s="9" t="n">
        <v>45903</v>
      </c>
      <c r="K717" s="0" t="s">
        <v>1445</v>
      </c>
      <c r="L717" s="0" t="n">
        <v>7</v>
      </c>
      <c r="M717" s="3" t="n">
        <f aca="false">_xlfn.NUMBERVALUE("" &amp; K717 &amp; "",".",",")</f>
        <v>0.0863936111111111</v>
      </c>
      <c r="O717" s="0" t="str">
        <f aca="false">VLOOKUP(C717,statusdetails!$A:$D,4,0)</f>
        <v>DELAY</v>
      </c>
    </row>
    <row r="718" customFormat="false" ht="12.8" hidden="true" customHeight="false" outlineLevel="0" collapsed="false">
      <c r="A718" s="0" t="n">
        <v>466832</v>
      </c>
      <c r="B718" s="0" t="n">
        <v>466823</v>
      </c>
      <c r="C718" s="0" t="n">
        <v>1</v>
      </c>
      <c r="D718" s="0" t="n">
        <v>6</v>
      </c>
      <c r="E718" s="0" t="n">
        <v>2404</v>
      </c>
      <c r="F718" s="0" t="n">
        <v>89</v>
      </c>
      <c r="G718" s="0" t="n">
        <v>153</v>
      </c>
      <c r="H718" s="11" t="n">
        <v>45903.2954398148</v>
      </c>
      <c r="I718" s="0" t="s">
        <v>1446</v>
      </c>
      <c r="J718" s="9" t="n">
        <v>45903</v>
      </c>
      <c r="K718" s="0" t="s">
        <v>1447</v>
      </c>
      <c r="L718" s="0" t="n">
        <v>7</v>
      </c>
      <c r="M718" s="10" t="n">
        <f aca="false">_xlfn.NUMBERVALUE("" &amp; K718 &amp; "",".",",")</f>
        <v>5.80136638888889</v>
      </c>
      <c r="N718" s="10"/>
      <c r="O718" s="0" t="str">
        <f aca="false">VLOOKUP(C718,statusdetails!$A:$D,4,0)</f>
        <v>READY</v>
      </c>
    </row>
    <row r="719" customFormat="false" ht="12.8" hidden="true" customHeight="false" outlineLevel="0" collapsed="false">
      <c r="A719" s="0" t="n">
        <v>466833</v>
      </c>
      <c r="B719" s="0" t="n">
        <v>466833</v>
      </c>
      <c r="C719" s="0" t="n">
        <v>1</v>
      </c>
      <c r="D719" s="0" t="n">
        <v>6</v>
      </c>
      <c r="E719" s="0" t="n">
        <v>2404</v>
      </c>
      <c r="F719" s="0" t="n">
        <v>86</v>
      </c>
      <c r="G719" s="0" t="n">
        <v>155</v>
      </c>
      <c r="H719" s="0" t="s">
        <v>1163</v>
      </c>
      <c r="I719" s="0" t="s">
        <v>1448</v>
      </c>
      <c r="J719" s="9" t="n">
        <v>45903</v>
      </c>
      <c r="K719" s="0" t="s">
        <v>1449</v>
      </c>
      <c r="L719" s="0" t="n">
        <v>7</v>
      </c>
      <c r="M719" s="10" t="n">
        <f aca="false">_xlfn.NUMBERVALUE("" &amp; K719 &amp; "",".",",")</f>
        <v>4.96793624055556</v>
      </c>
      <c r="N719" s="10"/>
      <c r="O719" s="0" t="str">
        <f aca="false">VLOOKUP(C719,statusdetails!$A:$D,4,0)</f>
        <v>READY</v>
      </c>
    </row>
    <row r="720" customFormat="false" ht="12.8" hidden="true" customHeight="false" outlineLevel="0" collapsed="false">
      <c r="A720" s="0" t="n">
        <v>466834</v>
      </c>
      <c r="B720" s="0" t="n">
        <v>466822</v>
      </c>
      <c r="C720" s="0" t="n">
        <v>4</v>
      </c>
      <c r="D720" s="0" t="n">
        <v>16</v>
      </c>
      <c r="E720" s="0" t="n">
        <v>901</v>
      </c>
      <c r="F720" s="0" t="n">
        <v>42</v>
      </c>
      <c r="G720" s="0" t="n">
        <v>83</v>
      </c>
      <c r="H720" s="11" t="n">
        <v>45903.2922800926</v>
      </c>
      <c r="I720" s="0" t="s">
        <v>1450</v>
      </c>
      <c r="J720" s="9" t="n">
        <v>45903</v>
      </c>
      <c r="K720" s="0" t="s">
        <v>1451</v>
      </c>
      <c r="L720" s="0" t="n">
        <v>7</v>
      </c>
      <c r="M720" s="10" t="n">
        <f aca="false">_xlfn.NUMBERVALUE("" &amp; K720 &amp; "",".",",")</f>
        <v>2.35827722222222</v>
      </c>
      <c r="N720" s="10"/>
      <c r="O720" s="0" t="str">
        <f aca="false">VLOOKUP(C720,statusdetails!$A:$D,4,0)</f>
        <v>MAINT</v>
      </c>
    </row>
    <row r="721" customFormat="false" ht="12.8" hidden="true" customHeight="false" outlineLevel="0" collapsed="false">
      <c r="A721" s="0" t="n">
        <v>466835</v>
      </c>
      <c r="B721" s="0" t="n">
        <v>466835</v>
      </c>
      <c r="C721" s="0" t="n">
        <v>2</v>
      </c>
      <c r="D721" s="0" t="n">
        <v>9</v>
      </c>
      <c r="E721" s="0" t="n">
        <v>2450</v>
      </c>
      <c r="F721" s="0" t="n">
        <v>84</v>
      </c>
      <c r="G721" s="0" t="n">
        <v>152</v>
      </c>
      <c r="H721" s="0" t="s">
        <v>1433</v>
      </c>
      <c r="I721" s="0" t="s">
        <v>1452</v>
      </c>
      <c r="J721" s="9" t="n">
        <v>45903</v>
      </c>
      <c r="K721" s="0" t="s">
        <v>1453</v>
      </c>
      <c r="L721" s="0" t="n">
        <v>8</v>
      </c>
      <c r="M721" s="3" t="n">
        <f aca="false">_xlfn.NUMBERVALUE("" &amp; K721 &amp; "",".",",")</f>
        <v>0.0580925</v>
      </c>
      <c r="O721" s="0" t="str">
        <f aca="false">VLOOKUP(C721,statusdetails!$A:$D,4,0)</f>
        <v>DELAY</v>
      </c>
    </row>
    <row r="722" customFormat="false" ht="12.8" hidden="true" customHeight="false" outlineLevel="0" collapsed="false">
      <c r="A722" s="0" t="n">
        <v>466836</v>
      </c>
      <c r="B722" s="0" t="n">
        <v>466836</v>
      </c>
      <c r="C722" s="0" t="n">
        <v>1</v>
      </c>
      <c r="D722" s="0" t="n">
        <v>6</v>
      </c>
      <c r="E722" s="0" t="n">
        <v>2404</v>
      </c>
      <c r="F722" s="0" t="n">
        <v>84</v>
      </c>
      <c r="G722" s="0" t="n">
        <v>152</v>
      </c>
      <c r="H722" s="0" t="s">
        <v>1452</v>
      </c>
      <c r="I722" s="0" t="s">
        <v>1454</v>
      </c>
      <c r="J722" s="9" t="n">
        <v>45903</v>
      </c>
      <c r="K722" s="0" t="s">
        <v>1455</v>
      </c>
      <c r="L722" s="0" t="n">
        <v>8</v>
      </c>
      <c r="M722" s="10" t="n">
        <f aca="false">_xlfn.NUMBERVALUE("" &amp; K722 &amp; "",".",",")</f>
        <v>1.51799557111111</v>
      </c>
      <c r="N722" s="10"/>
      <c r="O722" s="0" t="str">
        <f aca="false">VLOOKUP(C722,statusdetails!$A:$D,4,0)</f>
        <v>READY</v>
      </c>
    </row>
    <row r="723" customFormat="false" ht="12.8" hidden="true" customHeight="false" outlineLevel="0" collapsed="false">
      <c r="A723" s="0" t="n">
        <v>466837</v>
      </c>
      <c r="B723" s="0" t="n">
        <v>466837</v>
      </c>
      <c r="C723" s="0" t="n">
        <v>2</v>
      </c>
      <c r="D723" s="0" t="n">
        <v>7</v>
      </c>
      <c r="E723" s="0" t="n">
        <v>815</v>
      </c>
      <c r="F723" s="0" t="n">
        <v>43</v>
      </c>
      <c r="G723" s="0" t="n">
        <v>36</v>
      </c>
      <c r="H723" s="0" t="s">
        <v>1443</v>
      </c>
      <c r="I723" s="0" t="s">
        <v>1456</v>
      </c>
      <c r="J723" s="9" t="n">
        <v>45903</v>
      </c>
      <c r="K723" s="0" t="s">
        <v>1457</v>
      </c>
      <c r="L723" s="0" t="n">
        <v>8</v>
      </c>
      <c r="M723" s="3" t="n">
        <f aca="false">_xlfn.NUMBERVALUE("" &amp; K723 &amp; "",".",",")</f>
        <v>0.124606851388889</v>
      </c>
      <c r="O723" s="0" t="str">
        <f aca="false">VLOOKUP(C723,statusdetails!$A:$D,4,0)</f>
        <v>DELAY</v>
      </c>
    </row>
    <row r="724" customFormat="false" ht="12.8" hidden="true" customHeight="false" outlineLevel="0" collapsed="false">
      <c r="A724" s="0" t="n">
        <v>466838</v>
      </c>
      <c r="B724" s="0" t="n">
        <v>466838</v>
      </c>
      <c r="C724" s="0" t="n">
        <v>2</v>
      </c>
      <c r="D724" s="0" t="n">
        <v>7</v>
      </c>
      <c r="E724" s="0" t="n">
        <v>2385</v>
      </c>
      <c r="F724" s="0" t="n">
        <v>82</v>
      </c>
      <c r="G724" s="0" t="n">
        <v>88</v>
      </c>
      <c r="H724" s="0" t="s">
        <v>1406</v>
      </c>
      <c r="I724" s="0" t="s">
        <v>1458</v>
      </c>
      <c r="J724" s="9" t="n">
        <v>45903</v>
      </c>
      <c r="K724" s="0" t="s">
        <v>1459</v>
      </c>
      <c r="L724" s="0" t="n">
        <v>8</v>
      </c>
      <c r="M724" s="3" t="n">
        <f aca="false">_xlfn.NUMBERVALUE("" &amp; K724 &amp; "",".",",")</f>
        <v>0.194973684166667</v>
      </c>
      <c r="O724" s="0" t="str">
        <f aca="false">VLOOKUP(C724,statusdetails!$A:$D,4,0)</f>
        <v>DELAY</v>
      </c>
    </row>
    <row r="725" customFormat="false" ht="12.8" hidden="true" customHeight="false" outlineLevel="0" collapsed="false">
      <c r="A725" s="0" t="n">
        <v>466839</v>
      </c>
      <c r="B725" s="0" t="n">
        <v>466839</v>
      </c>
      <c r="C725" s="0" t="n">
        <v>2</v>
      </c>
      <c r="D725" s="0" t="n">
        <v>7</v>
      </c>
      <c r="E725" s="0" t="n">
        <v>1026</v>
      </c>
      <c r="F725" s="0" t="n">
        <v>66</v>
      </c>
      <c r="G725" s="0" t="n">
        <v>45</v>
      </c>
      <c r="H725" s="0" t="s">
        <v>1410</v>
      </c>
      <c r="I725" s="0" t="s">
        <v>1460</v>
      </c>
      <c r="J725" s="9" t="n">
        <v>45903</v>
      </c>
      <c r="K725" s="0" t="s">
        <v>1461</v>
      </c>
      <c r="L725" s="0" t="n">
        <v>8</v>
      </c>
      <c r="M725" s="3" t="n">
        <f aca="false">_xlfn.NUMBERVALUE("" &amp; K725 &amp; "",".",",")</f>
        <v>0.1944296425</v>
      </c>
      <c r="O725" s="0" t="str">
        <f aca="false">VLOOKUP(C725,statusdetails!$A:$D,4,0)</f>
        <v>DELAY</v>
      </c>
    </row>
    <row r="726" customFormat="false" ht="12.8" hidden="true" customHeight="false" outlineLevel="0" collapsed="false">
      <c r="A726" s="0" t="n">
        <v>466840</v>
      </c>
      <c r="B726" s="0" t="n">
        <v>466840</v>
      </c>
      <c r="C726" s="0" t="n">
        <v>4</v>
      </c>
      <c r="D726" s="0" t="n">
        <v>15</v>
      </c>
      <c r="E726" s="0" t="n">
        <v>319</v>
      </c>
      <c r="F726" s="0" t="n">
        <v>32</v>
      </c>
      <c r="G726" s="0" t="n">
        <v>23</v>
      </c>
      <c r="H726" s="0" t="s">
        <v>1424</v>
      </c>
      <c r="I726" s="0" t="s">
        <v>1462</v>
      </c>
      <c r="J726" s="9" t="n">
        <v>45903</v>
      </c>
      <c r="K726" s="0" t="s">
        <v>1463</v>
      </c>
      <c r="L726" s="0" t="n">
        <v>8</v>
      </c>
      <c r="M726" s="10" t="n">
        <f aca="false">_xlfn.NUMBERVALUE("" &amp; K726 &amp; "",".",",")</f>
        <v>27.5164729330556</v>
      </c>
      <c r="N726" s="10"/>
      <c r="O726" s="0" t="str">
        <f aca="false">VLOOKUP(C726,statusdetails!$A:$D,4,0)</f>
        <v>MAINT</v>
      </c>
    </row>
    <row r="727" customFormat="false" ht="12.8" hidden="true" customHeight="false" outlineLevel="0" collapsed="false">
      <c r="A727" s="0" t="n">
        <v>466841</v>
      </c>
      <c r="B727" s="0" t="n">
        <v>466841</v>
      </c>
      <c r="C727" s="0" t="n">
        <v>1</v>
      </c>
      <c r="D727" s="0" t="n">
        <v>6</v>
      </c>
      <c r="E727" s="0" t="n">
        <v>811</v>
      </c>
      <c r="F727" s="0" t="n">
        <v>43</v>
      </c>
      <c r="G727" s="0" t="n">
        <v>36</v>
      </c>
      <c r="H727" s="0" t="s">
        <v>1456</v>
      </c>
      <c r="I727" s="0" t="s">
        <v>1464</v>
      </c>
      <c r="J727" s="9" t="n">
        <v>45903</v>
      </c>
      <c r="K727" s="0" t="s">
        <v>1465</v>
      </c>
      <c r="L727" s="0" t="n">
        <v>8</v>
      </c>
      <c r="M727" s="10" t="n">
        <f aca="false">_xlfn.NUMBERVALUE("" &amp; K727 &amp; "",".",",")</f>
        <v>4.89695546638889</v>
      </c>
      <c r="N727" s="10"/>
      <c r="O727" s="0" t="str">
        <f aca="false">VLOOKUP(C727,statusdetails!$A:$D,4,0)</f>
        <v>READY</v>
      </c>
    </row>
    <row r="728" customFormat="false" ht="12.8" hidden="true" customHeight="false" outlineLevel="0" collapsed="false">
      <c r="A728" s="0" t="n">
        <v>466842</v>
      </c>
      <c r="B728" s="0" t="n">
        <v>466842</v>
      </c>
      <c r="C728" s="0" t="n">
        <v>1</v>
      </c>
      <c r="D728" s="0" t="n">
        <v>6</v>
      </c>
      <c r="E728" s="0" t="n">
        <v>2518</v>
      </c>
      <c r="F728" s="0" t="n">
        <v>82</v>
      </c>
      <c r="G728" s="0" t="n">
        <v>88</v>
      </c>
      <c r="H728" s="0" t="s">
        <v>1458</v>
      </c>
      <c r="I728" s="0" t="s">
        <v>1466</v>
      </c>
      <c r="J728" s="9" t="n">
        <v>45903</v>
      </c>
      <c r="K728" s="0" t="s">
        <v>1467</v>
      </c>
      <c r="L728" s="0" t="n">
        <v>8</v>
      </c>
      <c r="M728" s="10" t="n">
        <f aca="false">_xlfn.NUMBERVALUE("" &amp; K728 &amp; "",".",",")</f>
        <v>1.42571498888889</v>
      </c>
      <c r="N728" s="10"/>
      <c r="O728" s="0" t="str">
        <f aca="false">VLOOKUP(C728,statusdetails!$A:$D,4,0)</f>
        <v>READY</v>
      </c>
    </row>
    <row r="729" customFormat="false" ht="12.8" hidden="true" customHeight="false" outlineLevel="0" collapsed="false">
      <c r="A729" s="0" t="n">
        <v>466843</v>
      </c>
      <c r="B729" s="0" t="n">
        <v>466843</v>
      </c>
      <c r="C729" s="0" t="n">
        <v>1</v>
      </c>
      <c r="D729" s="0" t="n">
        <v>6</v>
      </c>
      <c r="E729" s="0" t="n">
        <v>260</v>
      </c>
      <c r="F729" s="0" t="n">
        <v>66</v>
      </c>
      <c r="G729" s="0" t="n">
        <v>45</v>
      </c>
      <c r="H729" s="0" t="s">
        <v>1460</v>
      </c>
      <c r="I729" s="0" t="s">
        <v>1468</v>
      </c>
      <c r="J729" s="9" t="n">
        <v>45903</v>
      </c>
      <c r="K729" s="0" t="s">
        <v>1469</v>
      </c>
      <c r="L729" s="0" t="n">
        <v>8</v>
      </c>
      <c r="M729" s="10" t="n">
        <f aca="false">_xlfn.NUMBERVALUE("" &amp; K729 &amp; "",".",",")</f>
        <v>7.27010470611111</v>
      </c>
      <c r="N729" s="10"/>
      <c r="O729" s="0" t="str">
        <f aca="false">VLOOKUP(C729,statusdetails!$A:$D,4,0)</f>
        <v>READY</v>
      </c>
    </row>
    <row r="730" customFormat="false" ht="12.8" hidden="true" customHeight="false" outlineLevel="0" collapsed="false">
      <c r="A730" s="0" t="n">
        <v>466844</v>
      </c>
      <c r="B730" s="0" t="n">
        <v>466844</v>
      </c>
      <c r="C730" s="0" t="n">
        <v>4</v>
      </c>
      <c r="D730" s="0" t="n">
        <v>16</v>
      </c>
      <c r="E730" s="0" t="n">
        <v>1042</v>
      </c>
      <c r="F730" s="0" t="n">
        <v>47</v>
      </c>
      <c r="G730" s="0" t="n">
        <v>103</v>
      </c>
      <c r="H730" s="0" t="s">
        <v>889</v>
      </c>
      <c r="I730" s="0" t="s">
        <v>1470</v>
      </c>
      <c r="J730" s="9" t="n">
        <v>45903</v>
      </c>
      <c r="K730" s="0" t="s">
        <v>1471</v>
      </c>
      <c r="L730" s="0" t="n">
        <v>9</v>
      </c>
      <c r="M730" s="10" t="n">
        <f aca="false">_xlfn.NUMBERVALUE("" &amp; K730 &amp; "",".",",")</f>
        <v>1.33757796305556</v>
      </c>
      <c r="N730" s="10"/>
      <c r="O730" s="0" t="str">
        <f aca="false">VLOOKUP(C730,statusdetails!$A:$D,4,0)</f>
        <v>MAINT</v>
      </c>
    </row>
    <row r="731" customFormat="false" ht="12.8" hidden="true" customHeight="false" outlineLevel="0" collapsed="false">
      <c r="A731" s="0" t="n">
        <v>466846</v>
      </c>
      <c r="B731" s="0" t="n">
        <v>466845</v>
      </c>
      <c r="C731" s="0" t="n">
        <v>4</v>
      </c>
      <c r="D731" s="0" t="n">
        <v>16</v>
      </c>
      <c r="E731" s="0" t="n">
        <v>363</v>
      </c>
      <c r="F731" s="0" t="n">
        <v>34</v>
      </c>
      <c r="G731" s="0" t="n">
        <v>23</v>
      </c>
      <c r="H731" s="11" t="n">
        <v>45903.3615740741</v>
      </c>
      <c r="I731" s="0" t="s">
        <v>1472</v>
      </c>
      <c r="J731" s="9" t="n">
        <v>45903</v>
      </c>
      <c r="K731" s="0" t="s">
        <v>1473</v>
      </c>
      <c r="L731" s="0" t="n">
        <v>8</v>
      </c>
      <c r="M731" s="10" t="n">
        <f aca="false">_xlfn.NUMBERVALUE("" &amp; K731 &amp; "",".",",")</f>
        <v>6.45050798277778</v>
      </c>
      <c r="N731" s="10"/>
      <c r="O731" s="0" t="str">
        <f aca="false">VLOOKUP(C731,statusdetails!$A:$D,4,0)</f>
        <v>MAINT</v>
      </c>
    </row>
    <row r="732" customFormat="false" ht="12.8" hidden="true" customHeight="false" outlineLevel="0" collapsed="false">
      <c r="A732" s="0" t="n">
        <v>466847</v>
      </c>
      <c r="B732" s="0" t="n">
        <v>466847</v>
      </c>
      <c r="C732" s="0" t="n">
        <v>4</v>
      </c>
      <c r="D732" s="0" t="n">
        <v>16</v>
      </c>
      <c r="E732" s="0" t="n">
        <v>1032</v>
      </c>
      <c r="F732" s="0" t="n">
        <v>45</v>
      </c>
      <c r="G732" s="0" t="n">
        <v>0</v>
      </c>
      <c r="H732" s="0" t="s">
        <v>1392</v>
      </c>
      <c r="I732" s="0" t="s">
        <v>1474</v>
      </c>
      <c r="J732" s="9" t="n">
        <v>45903</v>
      </c>
      <c r="K732" s="0" t="s">
        <v>1475</v>
      </c>
      <c r="L732" s="0" t="n">
        <v>9</v>
      </c>
      <c r="M732" s="10" t="n">
        <f aca="false">_xlfn.NUMBERVALUE("" &amp; K732 &amp; "",".",",")</f>
        <v>0.845531383888889</v>
      </c>
      <c r="N732" s="10"/>
      <c r="O732" s="0" t="str">
        <f aca="false">VLOOKUP(C732,statusdetails!$A:$D,4,0)</f>
        <v>MAINT</v>
      </c>
    </row>
    <row r="733" customFormat="false" ht="12.8" hidden="true" customHeight="false" outlineLevel="0" collapsed="false">
      <c r="A733" s="0" t="n">
        <v>466848</v>
      </c>
      <c r="B733" s="0" t="n">
        <v>466848</v>
      </c>
      <c r="C733" s="0" t="n">
        <v>1</v>
      </c>
      <c r="D733" s="0" t="n">
        <v>6</v>
      </c>
      <c r="E733" s="0" t="n">
        <v>811</v>
      </c>
      <c r="F733" s="0" t="n">
        <v>42</v>
      </c>
      <c r="G733" s="0" t="n">
        <v>0</v>
      </c>
      <c r="H733" s="0" t="s">
        <v>1450</v>
      </c>
      <c r="I733" s="0" t="s">
        <v>1476</v>
      </c>
      <c r="J733" s="9" t="n">
        <v>45903</v>
      </c>
      <c r="K733" s="0" t="s">
        <v>1477</v>
      </c>
      <c r="L733" s="0" t="n">
        <v>9</v>
      </c>
      <c r="M733" s="10" t="n">
        <f aca="false">_xlfn.NUMBERVALUE("" &amp; K733 &amp; "",".",",")</f>
        <v>1.1682275</v>
      </c>
      <c r="N733" s="10"/>
      <c r="O733" s="0" t="str">
        <f aca="false">VLOOKUP(C733,statusdetails!$A:$D,4,0)</f>
        <v>READY</v>
      </c>
    </row>
    <row r="734" customFormat="false" ht="12.8" hidden="true" customHeight="false" outlineLevel="0" collapsed="false">
      <c r="A734" s="0" t="n">
        <v>466849</v>
      </c>
      <c r="B734" s="0" t="n">
        <v>466849</v>
      </c>
      <c r="C734" s="0" t="n">
        <v>4</v>
      </c>
      <c r="D734" s="0" t="n">
        <v>16</v>
      </c>
      <c r="E734" s="0" t="n">
        <v>2514</v>
      </c>
      <c r="F734" s="0" t="n">
        <v>84</v>
      </c>
      <c r="G734" s="0" t="n">
        <v>152</v>
      </c>
      <c r="H734" s="0" t="s">
        <v>1454</v>
      </c>
      <c r="I734" s="0" t="s">
        <v>1478</v>
      </c>
      <c r="J734" s="9" t="n">
        <v>45903</v>
      </c>
      <c r="K734" s="0" t="s">
        <v>1479</v>
      </c>
      <c r="L734" s="0" t="n">
        <v>10</v>
      </c>
      <c r="M734" s="10" t="n">
        <f aca="false">_xlfn.NUMBERVALUE("" &amp; K734 &amp; "",".",",")</f>
        <v>0.291389984444444</v>
      </c>
      <c r="N734" s="10"/>
      <c r="O734" s="0" t="str">
        <f aca="false">VLOOKUP(C734,statusdetails!$A:$D,4,0)</f>
        <v>MAINT</v>
      </c>
    </row>
    <row r="735" customFormat="false" ht="12.8" hidden="true" customHeight="false" outlineLevel="0" collapsed="false">
      <c r="A735" s="0" t="n">
        <v>466850</v>
      </c>
      <c r="B735" s="0" t="n">
        <v>466850</v>
      </c>
      <c r="C735" s="0" t="n">
        <v>2</v>
      </c>
      <c r="D735" s="0" t="n">
        <v>7</v>
      </c>
      <c r="E735" s="0" t="n">
        <v>2385</v>
      </c>
      <c r="F735" s="0" t="n">
        <v>82</v>
      </c>
      <c r="G735" s="0" t="n">
        <v>88</v>
      </c>
      <c r="H735" s="0" t="s">
        <v>1466</v>
      </c>
      <c r="I735" s="0" t="s">
        <v>1480</v>
      </c>
      <c r="J735" s="9" t="n">
        <v>45903</v>
      </c>
      <c r="K735" s="0" t="s">
        <v>1481</v>
      </c>
      <c r="L735" s="0" t="n">
        <v>10</v>
      </c>
      <c r="M735" s="3" t="n">
        <f aca="false">_xlfn.NUMBERVALUE("" &amp; K735 &amp; "",".",",")</f>
        <v>0.112765223611111</v>
      </c>
      <c r="O735" s="0" t="str">
        <f aca="false">VLOOKUP(C735,statusdetails!$A:$D,4,0)</f>
        <v>DELAY</v>
      </c>
    </row>
    <row r="736" customFormat="false" ht="12.8" hidden="true" customHeight="false" outlineLevel="0" collapsed="false">
      <c r="A736" s="0" t="n">
        <v>466851</v>
      </c>
      <c r="B736" s="0" t="n">
        <v>466851</v>
      </c>
      <c r="C736" s="0" t="n">
        <v>1</v>
      </c>
      <c r="D736" s="0" t="n">
        <v>6</v>
      </c>
      <c r="E736" s="0" t="n">
        <v>138</v>
      </c>
      <c r="F736" s="0" t="n">
        <v>45</v>
      </c>
      <c r="G736" s="0" t="n">
        <v>0</v>
      </c>
      <c r="H736" s="0" t="s">
        <v>1474</v>
      </c>
      <c r="I736" s="0" t="s">
        <v>1482</v>
      </c>
      <c r="J736" s="9" t="n">
        <v>45903</v>
      </c>
      <c r="K736" s="0" t="s">
        <v>1483</v>
      </c>
      <c r="L736" s="0" t="n">
        <v>10</v>
      </c>
      <c r="M736" s="10" t="n">
        <f aca="false">_xlfn.NUMBERVALUE("" &amp; K736 &amp; "",".",",")</f>
        <v>0.393991028333333</v>
      </c>
      <c r="N736" s="10"/>
      <c r="O736" s="0" t="str">
        <f aca="false">VLOOKUP(C736,statusdetails!$A:$D,4,0)</f>
        <v>READY</v>
      </c>
    </row>
    <row r="737" customFormat="false" ht="12.8" hidden="true" customHeight="false" outlineLevel="0" collapsed="false">
      <c r="A737" s="0" t="n">
        <v>466852</v>
      </c>
      <c r="B737" s="0" t="n">
        <v>466852</v>
      </c>
      <c r="C737" s="0" t="n">
        <v>1</v>
      </c>
      <c r="D737" s="0" t="n">
        <v>6</v>
      </c>
      <c r="E737" s="0" t="n">
        <v>2518</v>
      </c>
      <c r="F737" s="0" t="n">
        <v>82</v>
      </c>
      <c r="G737" s="0" t="n">
        <v>88</v>
      </c>
      <c r="H737" s="0" t="s">
        <v>1480</v>
      </c>
      <c r="I737" s="0" t="s">
        <v>1484</v>
      </c>
      <c r="J737" s="9" t="n">
        <v>45903</v>
      </c>
      <c r="K737" s="0" t="s">
        <v>1485</v>
      </c>
      <c r="L737" s="0" t="n">
        <v>10</v>
      </c>
      <c r="M737" s="10" t="n">
        <f aca="false">_xlfn.NUMBERVALUE("" &amp; K737 &amp; "",".",",")</f>
        <v>2.13994735666667</v>
      </c>
      <c r="N737" s="10"/>
      <c r="O737" s="0" t="str">
        <f aca="false">VLOOKUP(C737,statusdetails!$A:$D,4,0)</f>
        <v>READY</v>
      </c>
    </row>
    <row r="738" customFormat="false" ht="12.8" hidden="true" customHeight="false" outlineLevel="0" collapsed="false">
      <c r="A738" s="0" t="n">
        <v>466853</v>
      </c>
      <c r="B738" s="0" t="n">
        <v>466853</v>
      </c>
      <c r="C738" s="0" t="n">
        <v>4</v>
      </c>
      <c r="D738" s="0" t="n">
        <v>16</v>
      </c>
      <c r="E738" s="0" t="n">
        <v>1081</v>
      </c>
      <c r="F738" s="0" t="n">
        <v>37</v>
      </c>
      <c r="G738" s="0" t="n">
        <v>13</v>
      </c>
      <c r="H738" s="0" t="s">
        <v>1437</v>
      </c>
      <c r="I738" s="0" t="s">
        <v>1486</v>
      </c>
      <c r="J738" s="9" t="n">
        <v>45903</v>
      </c>
      <c r="K738" s="0" t="s">
        <v>1487</v>
      </c>
      <c r="L738" s="0" t="n">
        <v>10</v>
      </c>
      <c r="M738" s="10" t="n">
        <f aca="false">_xlfn.NUMBERVALUE("" &amp; K738 &amp; "",".",",")</f>
        <v>2.37444271055556</v>
      </c>
      <c r="N738" s="10"/>
      <c r="O738" s="0" t="str">
        <f aca="false">VLOOKUP(C738,statusdetails!$A:$D,4,0)</f>
        <v>MAINT</v>
      </c>
    </row>
    <row r="739" customFormat="false" ht="12.8" hidden="true" customHeight="false" outlineLevel="0" collapsed="false">
      <c r="A739" s="0" t="n">
        <v>466854</v>
      </c>
      <c r="B739" s="0" t="n">
        <v>466854</v>
      </c>
      <c r="C739" s="0" t="n">
        <v>1</v>
      </c>
      <c r="D739" s="0" t="n">
        <v>6</v>
      </c>
      <c r="E739" s="0" t="n">
        <v>2404</v>
      </c>
      <c r="F739" s="0" t="n">
        <v>84</v>
      </c>
      <c r="G739" s="0" t="n">
        <v>152</v>
      </c>
      <c r="H739" s="0" t="s">
        <v>1478</v>
      </c>
      <c r="I739" s="0" t="s">
        <v>1488</v>
      </c>
      <c r="J739" s="9" t="n">
        <v>45903</v>
      </c>
      <c r="K739" s="0" t="s">
        <v>1489</v>
      </c>
      <c r="L739" s="0" t="n">
        <v>10</v>
      </c>
      <c r="M739" s="10" t="n">
        <f aca="false">_xlfn.NUMBERVALUE("" &amp; K739 &amp; "",".",",")</f>
        <v>2.47351138888889</v>
      </c>
      <c r="N739" s="10"/>
      <c r="O739" s="0" t="str">
        <f aca="false">VLOOKUP(C739,statusdetails!$A:$D,4,0)</f>
        <v>READY</v>
      </c>
    </row>
    <row r="740" customFormat="false" ht="12.8" hidden="true" customHeight="false" outlineLevel="0" collapsed="false">
      <c r="A740" s="0" t="n">
        <v>466855</v>
      </c>
      <c r="B740" s="0" t="n">
        <v>466855</v>
      </c>
      <c r="C740" s="0" t="n">
        <v>1</v>
      </c>
      <c r="D740" s="0" t="n">
        <v>6</v>
      </c>
      <c r="E740" s="0" t="n">
        <v>1040</v>
      </c>
      <c r="F740" s="0" t="n">
        <v>47</v>
      </c>
      <c r="G740" s="0" t="n">
        <v>103</v>
      </c>
      <c r="H740" s="0" t="s">
        <v>1470</v>
      </c>
      <c r="I740" s="0" t="s">
        <v>1490</v>
      </c>
      <c r="J740" s="9" t="n">
        <v>45903</v>
      </c>
      <c r="K740" s="0" t="s">
        <v>1491</v>
      </c>
      <c r="L740" s="0" t="n">
        <v>10</v>
      </c>
      <c r="M740" s="10" t="n">
        <f aca="false">_xlfn.NUMBERVALUE("" &amp; K740 &amp; "",".",",")</f>
        <v>9.74516096416667</v>
      </c>
      <c r="N740" s="10"/>
      <c r="O740" s="0" t="str">
        <f aca="false">VLOOKUP(C740,statusdetails!$A:$D,4,0)</f>
        <v>READY</v>
      </c>
    </row>
    <row r="741" customFormat="false" ht="12.8" hidden="true" customHeight="false" outlineLevel="0" collapsed="false">
      <c r="A741" s="0" t="n">
        <v>466856</v>
      </c>
      <c r="B741" s="0" t="n">
        <v>466856</v>
      </c>
      <c r="C741" s="0" t="n">
        <v>2</v>
      </c>
      <c r="D741" s="0" t="n">
        <v>7</v>
      </c>
      <c r="E741" s="0" t="n">
        <v>821</v>
      </c>
      <c r="F741" s="0" t="n">
        <v>42</v>
      </c>
      <c r="G741" s="0" t="n">
        <v>83</v>
      </c>
      <c r="H741" s="0" t="s">
        <v>1476</v>
      </c>
      <c r="I741" s="0" t="s">
        <v>1492</v>
      </c>
      <c r="J741" s="9" t="n">
        <v>45903</v>
      </c>
      <c r="K741" s="0" t="s">
        <v>1493</v>
      </c>
      <c r="L741" s="0" t="n">
        <v>10</v>
      </c>
      <c r="M741" s="3" t="n">
        <f aca="false">_xlfn.NUMBERVALUE("" &amp; K741 &amp; "",".",",")</f>
        <v>0.0902536111111111</v>
      </c>
      <c r="O741" s="0" t="str">
        <f aca="false">VLOOKUP(C741,statusdetails!$A:$D,4,0)</f>
        <v>DELAY</v>
      </c>
    </row>
    <row r="742" customFormat="false" ht="12.8" hidden="true" customHeight="false" outlineLevel="0" collapsed="false">
      <c r="A742" s="0" t="n">
        <v>466857</v>
      </c>
      <c r="B742" s="0" t="n">
        <v>466857</v>
      </c>
      <c r="C742" s="0" t="n">
        <v>3</v>
      </c>
      <c r="D742" s="0" t="n">
        <v>14</v>
      </c>
      <c r="E742" s="0" t="n">
        <v>1163</v>
      </c>
      <c r="F742" s="0" t="n">
        <v>45</v>
      </c>
      <c r="G742" s="0" t="n">
        <v>0</v>
      </c>
      <c r="H742" s="0" t="s">
        <v>1482</v>
      </c>
      <c r="I742" s="0" t="s">
        <v>1494</v>
      </c>
      <c r="J742" s="9" t="n">
        <v>45903</v>
      </c>
      <c r="K742" s="0" t="s">
        <v>1495</v>
      </c>
      <c r="L742" s="0" t="n">
        <v>10</v>
      </c>
      <c r="M742" s="10" t="n">
        <f aca="false">_xlfn.NUMBERVALUE("" &amp; K742 &amp; "",".",",")</f>
        <v>0.1460667425</v>
      </c>
      <c r="N742" s="10"/>
      <c r="O742" s="0" t="str">
        <f aca="false">VLOOKUP(C742,statusdetails!$A:$D,4,0)</f>
        <v>STANDBY</v>
      </c>
      <c r="P742" s="0" t="str">
        <f aca="false">VLOOKUP(F742,equipment!$A:$E,4,0)</f>
        <v>EX501</v>
      </c>
      <c r="Q742" s="0" t="str">
        <f aca="false">VLOOKUP(F742,equipment!$A:$E,5,0)</f>
        <v>EX501 - 45</v>
      </c>
    </row>
    <row r="743" customFormat="false" ht="12.8" hidden="true" customHeight="false" outlineLevel="0" collapsed="false">
      <c r="A743" s="0" t="n">
        <v>466858</v>
      </c>
      <c r="B743" s="0" t="n">
        <v>466858</v>
      </c>
      <c r="C743" s="0" t="n">
        <v>1</v>
      </c>
      <c r="D743" s="0" t="n">
        <v>6</v>
      </c>
      <c r="E743" s="0" t="n">
        <v>811</v>
      </c>
      <c r="F743" s="0" t="n">
        <v>42</v>
      </c>
      <c r="G743" s="0" t="n">
        <v>83</v>
      </c>
      <c r="H743" s="0" t="s">
        <v>1492</v>
      </c>
      <c r="I743" s="0" t="s">
        <v>1496</v>
      </c>
      <c r="J743" s="9" t="n">
        <v>45903</v>
      </c>
      <c r="K743" s="0" t="s">
        <v>1497</v>
      </c>
      <c r="L743" s="0" t="n">
        <v>10</v>
      </c>
      <c r="M743" s="10" t="n">
        <f aca="false">_xlfn.NUMBERVALUE("" &amp; K743 &amp; "",".",",")</f>
        <v>0.170318333333333</v>
      </c>
      <c r="N743" s="10"/>
      <c r="O743" s="0" t="str">
        <f aca="false">VLOOKUP(C743,statusdetails!$A:$D,4,0)</f>
        <v>READY</v>
      </c>
    </row>
    <row r="744" customFormat="false" ht="12.8" hidden="true" customHeight="false" outlineLevel="0" collapsed="false">
      <c r="A744" s="0" t="n">
        <v>466859</v>
      </c>
      <c r="B744" s="0" t="n">
        <v>466859</v>
      </c>
      <c r="C744" s="0" t="n">
        <v>2</v>
      </c>
      <c r="D744" s="0" t="n">
        <v>9</v>
      </c>
      <c r="E744" s="0" t="n">
        <v>1004</v>
      </c>
      <c r="F744" s="0" t="n">
        <v>35</v>
      </c>
      <c r="G744" s="0" t="n">
        <v>15</v>
      </c>
      <c r="H744" s="0" t="s">
        <v>1390</v>
      </c>
      <c r="I744" s="0" t="s">
        <v>1498</v>
      </c>
      <c r="J744" s="9" t="n">
        <v>45903</v>
      </c>
      <c r="K744" s="0" t="s">
        <v>1499</v>
      </c>
      <c r="L744" s="0" t="n">
        <v>10</v>
      </c>
      <c r="M744" s="3" t="n">
        <f aca="false">_xlfn.NUMBERVALUE("" &amp; K744 &amp; "",".",",")</f>
        <v>0.0833449286111111</v>
      </c>
      <c r="O744" s="0" t="str">
        <f aca="false">VLOOKUP(C744,statusdetails!$A:$D,4,0)</f>
        <v>DELAY</v>
      </c>
    </row>
    <row r="745" customFormat="false" ht="12.8" hidden="true" customHeight="false" outlineLevel="0" collapsed="false">
      <c r="A745" s="0" t="n">
        <v>466860</v>
      </c>
      <c r="B745" s="0" t="n">
        <v>466860</v>
      </c>
      <c r="C745" s="0" t="n">
        <v>1</v>
      </c>
      <c r="D745" s="0" t="n">
        <v>6</v>
      </c>
      <c r="E745" s="0" t="n">
        <v>138</v>
      </c>
      <c r="F745" s="0" t="n">
        <v>45</v>
      </c>
      <c r="G745" s="0" t="n">
        <v>0</v>
      </c>
      <c r="H745" s="0" t="s">
        <v>1494</v>
      </c>
      <c r="I745" s="0" t="s">
        <v>1500</v>
      </c>
      <c r="J745" s="9" t="n">
        <v>45903</v>
      </c>
      <c r="K745" s="0" t="s">
        <v>1501</v>
      </c>
      <c r="L745" s="0" t="n">
        <v>10</v>
      </c>
      <c r="M745" s="10" t="n">
        <f aca="false">_xlfn.NUMBERVALUE("" &amp; K745 &amp; "",".",",")</f>
        <v>1.15985471194444</v>
      </c>
      <c r="N745" s="10"/>
      <c r="O745" s="0" t="str">
        <f aca="false">VLOOKUP(C745,statusdetails!$A:$D,4,0)</f>
        <v>READY</v>
      </c>
    </row>
    <row r="746" customFormat="false" ht="12.8" hidden="true" customHeight="false" outlineLevel="0" collapsed="false">
      <c r="A746" s="0" t="n">
        <v>466861</v>
      </c>
      <c r="B746" s="0" t="n">
        <v>466861</v>
      </c>
      <c r="C746" s="0" t="n">
        <v>1</v>
      </c>
      <c r="D746" s="0" t="n">
        <v>6</v>
      </c>
      <c r="E746" s="0" t="n">
        <v>260</v>
      </c>
      <c r="F746" s="0" t="n">
        <v>35</v>
      </c>
      <c r="G746" s="0" t="n">
        <v>15</v>
      </c>
      <c r="H746" s="0" t="s">
        <v>1498</v>
      </c>
      <c r="I746" s="0" t="s">
        <v>1502</v>
      </c>
      <c r="J746" s="9" t="n">
        <v>45903</v>
      </c>
      <c r="K746" s="0" t="s">
        <v>1503</v>
      </c>
      <c r="L746" s="0" t="n">
        <v>10</v>
      </c>
      <c r="M746" s="10" t="n">
        <f aca="false">_xlfn.NUMBERVALUE("" &amp; K746 &amp; "",".",",")</f>
        <v>5.39113429388889</v>
      </c>
      <c r="N746" s="10"/>
      <c r="O746" s="0" t="str">
        <f aca="false">VLOOKUP(C746,statusdetails!$A:$D,4,0)</f>
        <v>READY</v>
      </c>
    </row>
    <row r="747" customFormat="false" ht="12.8" hidden="true" customHeight="false" outlineLevel="0" collapsed="false">
      <c r="A747" s="0" t="n">
        <v>466862</v>
      </c>
      <c r="B747" s="0" t="n">
        <v>466862</v>
      </c>
      <c r="C747" s="0" t="n">
        <v>3</v>
      </c>
      <c r="D747" s="0" t="n">
        <v>14</v>
      </c>
      <c r="E747" s="0" t="n">
        <v>1159</v>
      </c>
      <c r="F747" s="0" t="n">
        <v>42</v>
      </c>
      <c r="G747" s="0" t="n">
        <v>83</v>
      </c>
      <c r="H747" s="0" t="s">
        <v>1496</v>
      </c>
      <c r="I747" s="0" t="s">
        <v>1504</v>
      </c>
      <c r="J747" s="9" t="n">
        <v>45903</v>
      </c>
      <c r="K747" s="0" t="s">
        <v>1505</v>
      </c>
      <c r="L747" s="0" t="n">
        <v>10</v>
      </c>
      <c r="M747" s="10" t="n">
        <f aca="false">_xlfn.NUMBERVALUE("" &amp; K747 &amp; "",".",",")</f>
        <v>0.154225277777778</v>
      </c>
      <c r="N747" s="10"/>
      <c r="O747" s="0" t="str">
        <f aca="false">VLOOKUP(C747,statusdetails!$A:$D,4,0)</f>
        <v>STANDBY</v>
      </c>
      <c r="P747" s="0" t="str">
        <f aca="false">VLOOKUP(F747,equipment!$A:$E,4,0)</f>
        <v>PE301</v>
      </c>
      <c r="Q747" s="0" t="str">
        <f aca="false">VLOOKUP(F747,equipment!$A:$E,5,0)</f>
        <v>PE301 - 42</v>
      </c>
    </row>
    <row r="748" customFormat="false" ht="12.8" hidden="true" customHeight="false" outlineLevel="0" collapsed="false">
      <c r="A748" s="0" t="n">
        <v>466863</v>
      </c>
      <c r="B748" s="0" t="n">
        <v>466863</v>
      </c>
      <c r="C748" s="0" t="n">
        <v>1</v>
      </c>
      <c r="D748" s="0" t="n">
        <v>6</v>
      </c>
      <c r="E748" s="0" t="n">
        <v>811</v>
      </c>
      <c r="F748" s="0" t="n">
        <v>42</v>
      </c>
      <c r="G748" s="0" t="n">
        <v>83</v>
      </c>
      <c r="H748" s="0" t="s">
        <v>1504</v>
      </c>
      <c r="I748" s="0" t="s">
        <v>1506</v>
      </c>
      <c r="J748" s="9" t="n">
        <v>45903</v>
      </c>
      <c r="K748" s="0" t="s">
        <v>1507</v>
      </c>
      <c r="L748" s="0" t="n">
        <v>10</v>
      </c>
      <c r="M748" s="10" t="n">
        <f aca="false">_xlfn.NUMBERVALUE("" &amp; K748 &amp; "",".",",")</f>
        <v>0.404938055555556</v>
      </c>
      <c r="N748" s="10"/>
      <c r="O748" s="0" t="str">
        <f aca="false">VLOOKUP(C748,statusdetails!$A:$D,4,0)</f>
        <v>READY</v>
      </c>
    </row>
    <row r="749" customFormat="false" ht="12.8" hidden="true" customHeight="false" outlineLevel="0" collapsed="false">
      <c r="A749" s="0" t="n">
        <v>466864</v>
      </c>
      <c r="B749" s="0" t="n">
        <v>466864</v>
      </c>
      <c r="C749" s="0" t="n">
        <v>4</v>
      </c>
      <c r="D749" s="0" t="n">
        <v>15</v>
      </c>
      <c r="E749" s="0" t="n">
        <v>1169</v>
      </c>
      <c r="F749" s="0" t="n">
        <v>74</v>
      </c>
      <c r="G749" s="0" t="n">
        <v>0</v>
      </c>
      <c r="H749" s="0" t="s">
        <v>1116</v>
      </c>
      <c r="I749" s="0" t="s">
        <v>1508</v>
      </c>
      <c r="J749" s="9" t="n">
        <v>45903</v>
      </c>
      <c r="K749" s="0" t="s">
        <v>1509</v>
      </c>
      <c r="L749" s="0" t="n">
        <v>11</v>
      </c>
      <c r="M749" s="10" t="n">
        <f aca="false">_xlfn.NUMBERVALUE("" &amp; K749 &amp; "",".",",")</f>
        <v>10.3496834330556</v>
      </c>
      <c r="N749" s="10"/>
      <c r="O749" s="0" t="str">
        <f aca="false">VLOOKUP(C749,statusdetails!$A:$D,4,0)</f>
        <v>MAINT</v>
      </c>
    </row>
    <row r="750" customFormat="false" ht="12.8" hidden="true" customHeight="false" outlineLevel="0" collapsed="false">
      <c r="A750" s="0" t="n">
        <v>466865</v>
      </c>
      <c r="B750" s="0" t="n">
        <v>466865</v>
      </c>
      <c r="C750" s="0" t="n">
        <v>4</v>
      </c>
      <c r="D750" s="0" t="n">
        <v>16</v>
      </c>
      <c r="E750" s="0" t="n">
        <v>925</v>
      </c>
      <c r="F750" s="0" t="n">
        <v>42</v>
      </c>
      <c r="G750" s="0" t="n">
        <v>83</v>
      </c>
      <c r="H750" s="0" t="s">
        <v>1506</v>
      </c>
      <c r="I750" s="0" t="s">
        <v>1510</v>
      </c>
      <c r="J750" s="9" t="n">
        <v>45903</v>
      </c>
      <c r="K750" s="0" t="s">
        <v>1511</v>
      </c>
      <c r="L750" s="0" t="n">
        <v>11</v>
      </c>
      <c r="M750" s="10" t="n">
        <f aca="false">_xlfn.NUMBERVALUE("" &amp; K750 &amp; "",".",",")</f>
        <v>0.476607777777778</v>
      </c>
      <c r="N750" s="10"/>
      <c r="O750" s="0" t="str">
        <f aca="false">VLOOKUP(C750,statusdetails!$A:$D,4,0)</f>
        <v>MAINT</v>
      </c>
    </row>
    <row r="751" customFormat="false" ht="12.8" hidden="true" customHeight="false" outlineLevel="0" collapsed="false">
      <c r="A751" s="0" t="n">
        <v>466866</v>
      </c>
      <c r="B751" s="0" t="n">
        <v>466866</v>
      </c>
      <c r="C751" s="0" t="n">
        <v>1</v>
      </c>
      <c r="D751" s="0" t="n">
        <v>6</v>
      </c>
      <c r="E751" s="0" t="n">
        <v>811</v>
      </c>
      <c r="F751" s="0" t="n">
        <v>42</v>
      </c>
      <c r="G751" s="0" t="n">
        <v>83</v>
      </c>
      <c r="H751" s="0" t="s">
        <v>1510</v>
      </c>
      <c r="I751" s="0" t="s">
        <v>1512</v>
      </c>
      <c r="J751" s="9" t="n">
        <v>45903</v>
      </c>
      <c r="K751" s="0" t="s">
        <v>1513</v>
      </c>
      <c r="L751" s="0" t="n">
        <v>11</v>
      </c>
      <c r="M751" s="10" t="n">
        <f aca="false">_xlfn.NUMBERVALUE("" &amp; K751 &amp; "",".",",")</f>
        <v>0.235850555555556</v>
      </c>
      <c r="N751" s="10"/>
      <c r="O751" s="0" t="str">
        <f aca="false">VLOOKUP(C751,statusdetails!$A:$D,4,0)</f>
        <v>READY</v>
      </c>
    </row>
    <row r="752" customFormat="false" ht="12.8" hidden="true" customHeight="false" outlineLevel="0" collapsed="false">
      <c r="A752" s="0" t="n">
        <v>466867</v>
      </c>
      <c r="B752" s="0" t="n">
        <v>466867</v>
      </c>
      <c r="C752" s="0" t="n">
        <v>2</v>
      </c>
      <c r="D752" s="0" t="n">
        <v>7</v>
      </c>
      <c r="E752" s="0" t="n">
        <v>1024</v>
      </c>
      <c r="F752" s="0" t="n">
        <v>45</v>
      </c>
      <c r="G752" s="0" t="n">
        <v>0</v>
      </c>
      <c r="H752" s="0" t="s">
        <v>1500</v>
      </c>
      <c r="I752" s="11" t="n">
        <v>45903.5134953704</v>
      </c>
      <c r="J752" s="9" t="n">
        <v>45903</v>
      </c>
      <c r="K752" s="0" t="s">
        <v>1514</v>
      </c>
      <c r="L752" s="0" t="n">
        <v>11</v>
      </c>
      <c r="M752" s="3" t="n">
        <f aca="false">_xlfn.NUMBERVALUE("" &amp; K752 &amp; "",".",",")</f>
        <v>0.427767979166667</v>
      </c>
      <c r="O752" s="0" t="str">
        <f aca="false">VLOOKUP(C752,statusdetails!$A:$D,4,0)</f>
        <v>DELAY</v>
      </c>
    </row>
    <row r="753" customFormat="false" ht="12.8" hidden="true" customHeight="false" outlineLevel="0" collapsed="false">
      <c r="A753" s="0" t="n">
        <v>466868</v>
      </c>
      <c r="B753" s="0" t="n">
        <v>466830</v>
      </c>
      <c r="C753" s="0" t="n">
        <v>4</v>
      </c>
      <c r="D753" s="0" t="n">
        <v>16</v>
      </c>
      <c r="E753" s="0" t="n">
        <v>2481</v>
      </c>
      <c r="F753" s="0" t="n">
        <v>85</v>
      </c>
      <c r="G753" s="0" t="n">
        <v>0</v>
      </c>
      <c r="H753" s="11" t="n">
        <v>45903.3255787037</v>
      </c>
      <c r="I753" s="0" t="s">
        <v>1515</v>
      </c>
      <c r="J753" s="9" t="n">
        <v>45903</v>
      </c>
      <c r="K753" s="0" t="s">
        <v>1516</v>
      </c>
      <c r="L753" s="0" t="n">
        <v>7</v>
      </c>
      <c r="M753" s="10" t="n">
        <f aca="false">_xlfn.NUMBERVALUE("" &amp; K753 &amp; "",".",",")</f>
        <v>13.7044129247222</v>
      </c>
      <c r="N753" s="10"/>
      <c r="O753" s="0" t="str">
        <f aca="false">VLOOKUP(C753,statusdetails!$A:$D,4,0)</f>
        <v>MAINT</v>
      </c>
    </row>
    <row r="754" customFormat="false" ht="12.8" hidden="true" customHeight="false" outlineLevel="0" collapsed="false">
      <c r="A754" s="0" t="n">
        <v>466869</v>
      </c>
      <c r="B754" s="0" t="n">
        <v>466869</v>
      </c>
      <c r="C754" s="0" t="n">
        <v>3</v>
      </c>
      <c r="D754" s="0" t="n">
        <v>14</v>
      </c>
      <c r="E754" s="0" t="n">
        <v>1139</v>
      </c>
      <c r="F754" s="0" t="n">
        <v>42</v>
      </c>
      <c r="G754" s="0" t="n">
        <v>83</v>
      </c>
      <c r="H754" s="0" t="s">
        <v>1512</v>
      </c>
      <c r="I754" s="0" t="s">
        <v>1517</v>
      </c>
      <c r="J754" s="9" t="n">
        <v>45903</v>
      </c>
      <c r="K754" s="0" t="s">
        <v>1518</v>
      </c>
      <c r="L754" s="0" t="n">
        <v>12</v>
      </c>
      <c r="M754" s="10" t="n">
        <f aca="false">_xlfn.NUMBERVALUE("" &amp; K754 &amp; "",".",",")</f>
        <v>3.32368388888889</v>
      </c>
      <c r="N754" s="10"/>
      <c r="O754" s="0" t="str">
        <f aca="false">VLOOKUP(C754,statusdetails!$A:$D,4,0)</f>
        <v>STANDBY</v>
      </c>
      <c r="P754" s="0" t="str">
        <f aca="false">VLOOKUP(F754,equipment!$A:$E,4,0)</f>
        <v>PE301</v>
      </c>
      <c r="Q754" s="0" t="str">
        <f aca="false">VLOOKUP(F754,equipment!$A:$E,5,0)</f>
        <v>PE301 - 42</v>
      </c>
    </row>
    <row r="755" customFormat="false" ht="12.8" hidden="true" customHeight="false" outlineLevel="0" collapsed="false">
      <c r="A755" s="0" t="n">
        <v>466870</v>
      </c>
      <c r="B755" s="0" t="n">
        <v>466870</v>
      </c>
      <c r="C755" s="0" t="n">
        <v>4</v>
      </c>
      <c r="D755" s="0" t="n">
        <v>15</v>
      </c>
      <c r="E755" s="0" t="n">
        <v>2396</v>
      </c>
      <c r="F755" s="0" t="n">
        <v>82</v>
      </c>
      <c r="G755" s="0" t="n">
        <v>88</v>
      </c>
      <c r="H755" s="0" t="s">
        <v>1484</v>
      </c>
      <c r="I755" s="0" t="s">
        <v>1519</v>
      </c>
      <c r="J755" s="9" t="n">
        <v>45903</v>
      </c>
      <c r="K755" s="0" t="s">
        <v>1520</v>
      </c>
      <c r="L755" s="0" t="n">
        <v>12</v>
      </c>
      <c r="M755" s="10" t="n">
        <f aca="false">_xlfn.NUMBERVALUE("" &amp; K755 &amp; "",".",",")</f>
        <v>0.656302635833333</v>
      </c>
      <c r="N755" s="10"/>
      <c r="O755" s="0" t="str">
        <f aca="false">VLOOKUP(C755,statusdetails!$A:$D,4,0)</f>
        <v>MAINT</v>
      </c>
    </row>
    <row r="756" customFormat="false" ht="12.8" hidden="true" customHeight="false" outlineLevel="0" collapsed="false">
      <c r="A756" s="0" t="n">
        <v>466874</v>
      </c>
      <c r="B756" s="0" t="n">
        <v>466871</v>
      </c>
      <c r="C756" s="0" t="n">
        <v>1</v>
      </c>
      <c r="D756" s="0" t="n">
        <v>2303</v>
      </c>
      <c r="E756" s="0" t="n">
        <v>969</v>
      </c>
      <c r="F756" s="0" t="n">
        <v>45</v>
      </c>
      <c r="G756" s="0" t="n">
        <v>156</v>
      </c>
      <c r="H756" s="11" t="n">
        <v>45903.5134953704</v>
      </c>
      <c r="I756" s="0" t="s">
        <v>1521</v>
      </c>
      <c r="J756" s="9" t="n">
        <v>45903</v>
      </c>
      <c r="K756" s="0" t="s">
        <v>1522</v>
      </c>
      <c r="L756" s="0" t="n">
        <v>12</v>
      </c>
      <c r="M756" s="10" t="n">
        <f aca="false">_xlfn.NUMBERVALUE("" &amp; K756 &amp; "",".",",")</f>
        <v>0.1307165375</v>
      </c>
      <c r="N756" s="10"/>
      <c r="O756" s="0" t="str">
        <f aca="false">VLOOKUP(C756,statusdetails!$A:$D,4,0)</f>
        <v>READY</v>
      </c>
    </row>
    <row r="757" customFormat="false" ht="12.8" hidden="true" customHeight="false" outlineLevel="0" collapsed="false">
      <c r="A757" s="0" t="n">
        <v>466875</v>
      </c>
      <c r="B757" s="0" t="n">
        <v>466875</v>
      </c>
      <c r="C757" s="0" t="n">
        <v>1</v>
      </c>
      <c r="D757" s="0" t="n">
        <v>6</v>
      </c>
      <c r="E757" s="0" t="n">
        <v>138</v>
      </c>
      <c r="F757" s="0" t="n">
        <v>45</v>
      </c>
      <c r="G757" s="0" t="n">
        <v>0</v>
      </c>
      <c r="H757" s="0" t="s">
        <v>1521</v>
      </c>
      <c r="I757" s="0" t="s">
        <v>1523</v>
      </c>
      <c r="J757" s="9" t="n">
        <v>45903</v>
      </c>
      <c r="K757" s="0" t="s">
        <v>1524</v>
      </c>
      <c r="L757" s="0" t="n">
        <v>12</v>
      </c>
      <c r="M757" s="10" t="n">
        <f aca="false">_xlfn.NUMBERVALUE("" &amp; K757 &amp; "",".",",")</f>
        <v>0.817718374444445</v>
      </c>
      <c r="N757" s="10"/>
      <c r="O757" s="0" t="str">
        <f aca="false">VLOOKUP(C757,statusdetails!$A:$D,4,0)</f>
        <v>READY</v>
      </c>
    </row>
    <row r="758" customFormat="false" ht="12.8" hidden="true" customHeight="false" outlineLevel="0" collapsed="false">
      <c r="A758" s="0" t="n">
        <v>466877</v>
      </c>
      <c r="B758" s="0" t="n">
        <v>466877</v>
      </c>
      <c r="C758" s="0" t="n">
        <v>4</v>
      </c>
      <c r="D758" s="0" t="n">
        <v>16</v>
      </c>
      <c r="E758" s="0" t="n">
        <v>697</v>
      </c>
      <c r="F758" s="0" t="n">
        <v>41</v>
      </c>
      <c r="G758" s="0" t="n">
        <v>58</v>
      </c>
      <c r="H758" s="0" t="s">
        <v>1435</v>
      </c>
      <c r="I758" s="0" t="s">
        <v>1525</v>
      </c>
      <c r="J758" s="9" t="n">
        <v>45903</v>
      </c>
      <c r="K758" s="0" t="s">
        <v>1526</v>
      </c>
      <c r="L758" s="0" t="n">
        <v>12</v>
      </c>
      <c r="M758" s="10" t="n">
        <f aca="false">_xlfn.NUMBERVALUE("" &amp; K758 &amp; "",".",",")</f>
        <v>2.09809459972222</v>
      </c>
      <c r="N758" s="10"/>
      <c r="O758" s="0" t="str">
        <f aca="false">VLOOKUP(C758,statusdetails!$A:$D,4,0)</f>
        <v>MAINT</v>
      </c>
    </row>
    <row r="759" customFormat="false" ht="12.8" hidden="true" customHeight="false" outlineLevel="0" collapsed="false">
      <c r="A759" s="0" t="n">
        <v>466878</v>
      </c>
      <c r="B759" s="0" t="n">
        <v>466878</v>
      </c>
      <c r="C759" s="0" t="n">
        <v>3</v>
      </c>
      <c r="D759" s="0" t="n">
        <v>12</v>
      </c>
      <c r="E759" s="0" t="n">
        <v>394</v>
      </c>
      <c r="F759" s="0" t="n">
        <v>37</v>
      </c>
      <c r="G759" s="0" t="n">
        <v>13</v>
      </c>
      <c r="H759" s="0" t="s">
        <v>1486</v>
      </c>
      <c r="I759" s="0" t="s">
        <v>1527</v>
      </c>
      <c r="J759" s="9" t="n">
        <v>45903</v>
      </c>
      <c r="K759" s="0" t="s">
        <v>1528</v>
      </c>
      <c r="L759" s="0" t="n">
        <v>12</v>
      </c>
      <c r="M759" s="10" t="n">
        <f aca="false">_xlfn.NUMBERVALUE("" &amp; K759 &amp; "",".",",")</f>
        <v>2.00402257333333</v>
      </c>
      <c r="N759" s="10"/>
      <c r="O759" s="0" t="str">
        <f aca="false">VLOOKUP(C759,statusdetails!$A:$D,4,0)</f>
        <v>STANDBY</v>
      </c>
      <c r="P759" s="0" t="str">
        <f aca="false">VLOOKUP(F759,equipment!$A:$E,4,0)</f>
        <v>DZ201</v>
      </c>
      <c r="Q759" s="0" t="str">
        <f aca="false">VLOOKUP(F759,equipment!$A:$E,5,0)</f>
        <v>DZ201 - 37</v>
      </c>
    </row>
    <row r="760" customFormat="false" ht="12.8" hidden="true" customHeight="false" outlineLevel="0" collapsed="false">
      <c r="A760" s="0" t="n">
        <v>466879</v>
      </c>
      <c r="B760" s="0" t="n">
        <v>466879</v>
      </c>
      <c r="C760" s="0" t="n">
        <v>2</v>
      </c>
      <c r="D760" s="0" t="n">
        <v>9</v>
      </c>
      <c r="E760" s="0" t="n">
        <v>2448</v>
      </c>
      <c r="F760" s="0" t="n">
        <v>88</v>
      </c>
      <c r="G760" s="0" t="n">
        <v>151</v>
      </c>
      <c r="H760" s="0" t="s">
        <v>1404</v>
      </c>
      <c r="I760" s="0" t="s">
        <v>1529</v>
      </c>
      <c r="J760" s="9" t="n">
        <v>45903</v>
      </c>
      <c r="K760" s="0" t="s">
        <v>1530</v>
      </c>
      <c r="L760" s="0" t="n">
        <v>12</v>
      </c>
      <c r="M760" s="3" t="n">
        <f aca="false">_xlfn.NUMBERVALUE("" &amp; K760 &amp; "",".",",")</f>
        <v>0.180879213611111</v>
      </c>
      <c r="O760" s="0" t="str">
        <f aca="false">VLOOKUP(C760,statusdetails!$A:$D,4,0)</f>
        <v>DELAY</v>
      </c>
    </row>
    <row r="761" customFormat="false" ht="12.8" hidden="true" customHeight="false" outlineLevel="0" collapsed="false">
      <c r="A761" s="0" t="n">
        <v>466880</v>
      </c>
      <c r="B761" s="0" t="n">
        <v>466880</v>
      </c>
      <c r="C761" s="0" t="n">
        <v>2</v>
      </c>
      <c r="D761" s="0" t="n">
        <v>9</v>
      </c>
      <c r="E761" s="0" t="n">
        <v>2448</v>
      </c>
      <c r="F761" s="0" t="n">
        <v>84</v>
      </c>
      <c r="G761" s="0" t="n">
        <v>152</v>
      </c>
      <c r="H761" s="0" t="s">
        <v>1488</v>
      </c>
      <c r="I761" s="0" t="s">
        <v>1531</v>
      </c>
      <c r="J761" s="9" t="n">
        <v>45903</v>
      </c>
      <c r="K761" s="0" t="s">
        <v>1532</v>
      </c>
      <c r="L761" s="0" t="n">
        <v>12</v>
      </c>
      <c r="M761" s="3" t="n">
        <f aca="false">_xlfn.NUMBERVALUE("" &amp; K761 &amp; "",".",",")</f>
        <v>0.100666111111111</v>
      </c>
      <c r="O761" s="0" t="str">
        <f aca="false">VLOOKUP(C761,statusdetails!$A:$D,4,0)</f>
        <v>DELAY</v>
      </c>
    </row>
    <row r="762" customFormat="false" ht="12.8" hidden="true" customHeight="false" outlineLevel="0" collapsed="false">
      <c r="A762" s="0" t="n">
        <v>466881</v>
      </c>
      <c r="B762" s="0" t="n">
        <v>466881</v>
      </c>
      <c r="C762" s="0" t="n">
        <v>2</v>
      </c>
      <c r="D762" s="0" t="n">
        <v>9</v>
      </c>
      <c r="E762" s="0" t="n">
        <v>2448</v>
      </c>
      <c r="F762" s="0" t="n">
        <v>86</v>
      </c>
      <c r="G762" s="0" t="n">
        <v>155</v>
      </c>
      <c r="H762" s="0" t="s">
        <v>1448</v>
      </c>
      <c r="I762" s="0" t="s">
        <v>1533</v>
      </c>
      <c r="J762" s="9" t="n">
        <v>45903</v>
      </c>
      <c r="K762" s="0" t="s">
        <v>1534</v>
      </c>
      <c r="L762" s="0" t="n">
        <v>12</v>
      </c>
      <c r="M762" s="3" t="n">
        <f aca="false">_xlfn.NUMBERVALUE("" &amp; K762 &amp; "",".",",")</f>
        <v>0.080886815</v>
      </c>
      <c r="O762" s="0" t="str">
        <f aca="false">VLOOKUP(C762,statusdetails!$A:$D,4,0)</f>
        <v>DELAY</v>
      </c>
    </row>
    <row r="763" customFormat="false" ht="12.8" hidden="true" customHeight="false" outlineLevel="0" collapsed="false">
      <c r="A763" s="0" t="n">
        <v>466882</v>
      </c>
      <c r="B763" s="0" t="n">
        <v>466882</v>
      </c>
      <c r="C763" s="0" t="n">
        <v>3</v>
      </c>
      <c r="D763" s="0" t="n">
        <v>14</v>
      </c>
      <c r="E763" s="0" t="n">
        <v>2387</v>
      </c>
      <c r="F763" s="0" t="n">
        <v>96</v>
      </c>
      <c r="G763" s="0" t="n">
        <v>124</v>
      </c>
      <c r="H763" s="0" t="s">
        <v>1400</v>
      </c>
      <c r="I763" s="11" t="n">
        <v>45903.5387268519</v>
      </c>
      <c r="J763" s="9" t="n">
        <v>45903</v>
      </c>
      <c r="K763" s="0" t="s">
        <v>1535</v>
      </c>
      <c r="L763" s="0" t="n">
        <v>12</v>
      </c>
      <c r="M763" s="10" t="n">
        <f aca="false">_xlfn.NUMBERVALUE("" &amp; K763 &amp; "",".",",")</f>
        <v>0.0665370508333333</v>
      </c>
      <c r="N763" s="10"/>
      <c r="O763" s="0" t="str">
        <f aca="false">VLOOKUP(C763,statusdetails!$A:$D,4,0)</f>
        <v>STANDBY</v>
      </c>
      <c r="P763" s="0" t="str">
        <f aca="false">VLOOKUP(F763,equipment!$A:$E,4,0)</f>
        <v>EX503</v>
      </c>
      <c r="Q763" s="0" t="str">
        <f aca="false">VLOOKUP(F763,equipment!$A:$E,5,0)</f>
        <v>EX503 - 96</v>
      </c>
    </row>
    <row r="764" customFormat="false" ht="12.8" hidden="true" customHeight="false" outlineLevel="0" collapsed="false">
      <c r="A764" s="0" t="n">
        <v>466883</v>
      </c>
      <c r="B764" s="0" t="n">
        <v>466883</v>
      </c>
      <c r="C764" s="0" t="n">
        <v>1</v>
      </c>
      <c r="D764" s="0" t="n">
        <v>6</v>
      </c>
      <c r="E764" s="0" t="n">
        <v>2404</v>
      </c>
      <c r="F764" s="0" t="n">
        <v>88</v>
      </c>
      <c r="G764" s="0" t="n">
        <v>151</v>
      </c>
      <c r="H764" s="0" t="s">
        <v>1529</v>
      </c>
      <c r="I764" s="0" t="s">
        <v>1536</v>
      </c>
      <c r="J764" s="9" t="n">
        <v>45903</v>
      </c>
      <c r="K764" s="0" t="s">
        <v>1537</v>
      </c>
      <c r="L764" s="0" t="n">
        <v>12</v>
      </c>
      <c r="M764" s="10" t="n">
        <f aca="false">_xlfn.NUMBERVALUE("" &amp; K764 &amp; "",".",",")</f>
        <v>4.01086280472222</v>
      </c>
      <c r="N764" s="10"/>
      <c r="O764" s="0" t="str">
        <f aca="false">VLOOKUP(C764,statusdetails!$A:$D,4,0)</f>
        <v>READY</v>
      </c>
    </row>
    <row r="765" customFormat="false" ht="12.8" hidden="true" customHeight="false" outlineLevel="0" collapsed="false">
      <c r="A765" s="0" t="n">
        <v>466884</v>
      </c>
      <c r="B765" s="0" t="n">
        <v>466884</v>
      </c>
      <c r="C765" s="0" t="n">
        <v>1</v>
      </c>
      <c r="D765" s="0" t="n">
        <v>6</v>
      </c>
      <c r="E765" s="0" t="n">
        <v>2404</v>
      </c>
      <c r="F765" s="0" t="n">
        <v>84</v>
      </c>
      <c r="G765" s="0" t="n">
        <v>152</v>
      </c>
      <c r="H765" s="0" t="s">
        <v>1538</v>
      </c>
      <c r="I765" s="0" t="s">
        <v>1539</v>
      </c>
      <c r="J765" s="9" t="n">
        <v>45903</v>
      </c>
      <c r="K765" s="0" t="s">
        <v>1540</v>
      </c>
      <c r="L765" s="0" t="n">
        <v>12</v>
      </c>
      <c r="M765" s="10" t="n">
        <f aca="false">_xlfn.NUMBERVALUE("" &amp; K765 &amp; "",".",",")</f>
        <v>3.84235944444444</v>
      </c>
      <c r="N765" s="10"/>
      <c r="O765" s="0" t="str">
        <f aca="false">VLOOKUP(C765,statusdetails!$A:$D,4,0)</f>
        <v>READY</v>
      </c>
    </row>
    <row r="766" customFormat="false" ht="12.8" hidden="true" customHeight="false" outlineLevel="0" collapsed="false">
      <c r="A766" s="0" t="n">
        <v>466886</v>
      </c>
      <c r="B766" s="0" t="n">
        <v>466886</v>
      </c>
      <c r="C766" s="0" t="n">
        <v>1</v>
      </c>
      <c r="D766" s="0" t="n">
        <v>6</v>
      </c>
      <c r="E766" s="0" t="n">
        <v>2404</v>
      </c>
      <c r="F766" s="0" t="n">
        <v>86</v>
      </c>
      <c r="G766" s="0" t="n">
        <v>155</v>
      </c>
      <c r="H766" s="0" t="s">
        <v>1533</v>
      </c>
      <c r="I766" s="0" t="s">
        <v>1541</v>
      </c>
      <c r="J766" s="9" t="n">
        <v>45903</v>
      </c>
      <c r="K766" s="0" t="s">
        <v>1542</v>
      </c>
      <c r="L766" s="0" t="n">
        <v>12</v>
      </c>
      <c r="M766" s="10" t="n">
        <f aca="false">_xlfn.NUMBERVALUE("" &amp; K766 &amp; "",".",",")</f>
        <v>3.64053333333333</v>
      </c>
      <c r="N766" s="10"/>
      <c r="O766" s="0" t="str">
        <f aca="false">VLOOKUP(C766,statusdetails!$A:$D,4,0)</f>
        <v>READY</v>
      </c>
    </row>
    <row r="767" customFormat="false" ht="12.8" hidden="true" customHeight="false" outlineLevel="0" collapsed="false">
      <c r="A767" s="0" t="n">
        <v>466887</v>
      </c>
      <c r="B767" s="0" t="n">
        <v>466887</v>
      </c>
      <c r="C767" s="0" t="n">
        <v>2</v>
      </c>
      <c r="D767" s="0" t="n">
        <v>9</v>
      </c>
      <c r="E767" s="0" t="n">
        <v>2450</v>
      </c>
      <c r="F767" s="0" t="n">
        <v>84</v>
      </c>
      <c r="G767" s="0" t="n">
        <v>152</v>
      </c>
      <c r="H767" s="0" t="s">
        <v>1531</v>
      </c>
      <c r="I767" s="0" t="s">
        <v>1538</v>
      </c>
      <c r="J767" s="9" t="n">
        <v>45903</v>
      </c>
      <c r="K767" s="0" t="s">
        <v>1543</v>
      </c>
      <c r="L767" s="0" t="n">
        <v>12</v>
      </c>
      <c r="M767" s="3" t="n">
        <f aca="false">_xlfn.NUMBERVALUE("" &amp; K767 &amp; "",".",",")</f>
        <v>0.0176275</v>
      </c>
      <c r="O767" s="0" t="str">
        <f aca="false">VLOOKUP(C767,statusdetails!$A:$D,4,0)</f>
        <v>DELAY</v>
      </c>
    </row>
    <row r="768" customFormat="false" ht="12.8" hidden="true" customHeight="false" outlineLevel="0" collapsed="false">
      <c r="A768" s="0" t="n">
        <v>466888</v>
      </c>
      <c r="B768" s="0" t="n">
        <v>466888</v>
      </c>
      <c r="C768" s="0" t="n">
        <v>1</v>
      </c>
      <c r="D768" s="0" t="n">
        <v>6</v>
      </c>
      <c r="E768" s="0" t="n">
        <v>2518</v>
      </c>
      <c r="F768" s="0" t="n">
        <v>82</v>
      </c>
      <c r="G768" s="0" t="n">
        <v>13</v>
      </c>
      <c r="H768" s="0" t="s">
        <v>1519</v>
      </c>
      <c r="I768" s="0" t="s">
        <v>1544</v>
      </c>
      <c r="J768" s="9" t="n">
        <v>45903</v>
      </c>
      <c r="K768" s="0" t="s">
        <v>1545</v>
      </c>
      <c r="L768" s="0" t="n">
        <v>13</v>
      </c>
      <c r="M768" s="10" t="n">
        <f aca="false">_xlfn.NUMBERVALUE("" &amp; K768 &amp; "",".",",")</f>
        <v>0.1633154625</v>
      </c>
      <c r="N768" s="10"/>
      <c r="O768" s="0" t="str">
        <f aca="false">VLOOKUP(C768,statusdetails!$A:$D,4,0)</f>
        <v>READY</v>
      </c>
    </row>
    <row r="769" customFormat="false" ht="12.8" hidden="true" customHeight="false" outlineLevel="0" collapsed="false">
      <c r="A769" s="0" t="n">
        <v>466889</v>
      </c>
      <c r="B769" s="0" t="n">
        <v>466889</v>
      </c>
      <c r="C769" s="0" t="n">
        <v>2</v>
      </c>
      <c r="D769" s="0" t="n">
        <v>9</v>
      </c>
      <c r="E769" s="0" t="n">
        <v>2448</v>
      </c>
      <c r="F769" s="0" t="n">
        <v>89</v>
      </c>
      <c r="G769" s="0" t="n">
        <v>153</v>
      </c>
      <c r="H769" s="0" t="s">
        <v>1446</v>
      </c>
      <c r="I769" s="0" t="s">
        <v>1546</v>
      </c>
      <c r="J769" s="9" t="n">
        <v>45903</v>
      </c>
      <c r="K769" s="0" t="s">
        <v>1547</v>
      </c>
      <c r="L769" s="0" t="n">
        <v>12</v>
      </c>
      <c r="M769" s="3" t="n">
        <f aca="false">_xlfn.NUMBERVALUE("" &amp; K769 &amp; "",".",",")</f>
        <v>0.201213055555556</v>
      </c>
      <c r="O769" s="0" t="str">
        <f aca="false">VLOOKUP(C769,statusdetails!$A:$D,4,0)</f>
        <v>DELAY</v>
      </c>
    </row>
    <row r="770" customFormat="false" ht="12.8" hidden="true" customHeight="false" outlineLevel="0" collapsed="false">
      <c r="A770" s="0" t="n">
        <v>466890</v>
      </c>
      <c r="B770" s="0" t="n">
        <v>466890</v>
      </c>
      <c r="C770" s="0" t="n">
        <v>1</v>
      </c>
      <c r="D770" s="0" t="n">
        <v>6</v>
      </c>
      <c r="E770" s="0" t="n">
        <v>2404</v>
      </c>
      <c r="F770" s="0" t="n">
        <v>89</v>
      </c>
      <c r="G770" s="0" t="n">
        <v>153</v>
      </c>
      <c r="H770" s="0" t="s">
        <v>1546</v>
      </c>
      <c r="I770" s="0" t="s">
        <v>1548</v>
      </c>
      <c r="J770" s="9" t="n">
        <v>45903</v>
      </c>
      <c r="K770" s="0" t="s">
        <v>1549</v>
      </c>
      <c r="L770" s="0" t="n">
        <v>13</v>
      </c>
      <c r="M770" s="10" t="n">
        <f aca="false">_xlfn.NUMBERVALUE("" &amp; K770 &amp; "",".",",")</f>
        <v>3.95994861111111</v>
      </c>
      <c r="N770" s="10"/>
      <c r="O770" s="0" t="str">
        <f aca="false">VLOOKUP(C770,statusdetails!$A:$D,4,0)</f>
        <v>READY</v>
      </c>
    </row>
    <row r="771" customFormat="false" ht="12.8" hidden="true" customHeight="false" outlineLevel="0" collapsed="false">
      <c r="A771" s="0" t="n">
        <v>466891</v>
      </c>
      <c r="B771" s="0" t="n">
        <v>466891</v>
      </c>
      <c r="C771" s="0" t="n">
        <v>1</v>
      </c>
      <c r="D771" s="0" t="n">
        <v>6</v>
      </c>
      <c r="E771" s="0" t="n">
        <v>2518</v>
      </c>
      <c r="F771" s="0" t="n">
        <v>82</v>
      </c>
      <c r="G771" s="0" t="n">
        <v>13</v>
      </c>
      <c r="H771" s="0" t="s">
        <v>1544</v>
      </c>
      <c r="I771" s="0" t="s">
        <v>1550</v>
      </c>
      <c r="J771" s="9" t="n">
        <v>45903</v>
      </c>
      <c r="K771" s="0" t="s">
        <v>1551</v>
      </c>
      <c r="L771" s="0" t="n">
        <v>13</v>
      </c>
      <c r="M771" s="10" t="n">
        <f aca="false">_xlfn.NUMBERVALUE("" &amp; K771 &amp; "",".",",")</f>
        <v>4.05264355361111</v>
      </c>
      <c r="N771" s="10"/>
      <c r="O771" s="0" t="str">
        <f aca="false">VLOOKUP(C771,statusdetails!$A:$D,4,0)</f>
        <v>READY</v>
      </c>
    </row>
    <row r="772" customFormat="false" ht="12.8" hidden="true" customHeight="false" outlineLevel="0" collapsed="false">
      <c r="A772" s="0" t="n">
        <v>466892</v>
      </c>
      <c r="B772" s="0" t="n">
        <v>466892</v>
      </c>
      <c r="C772" s="0" t="n">
        <v>1</v>
      </c>
      <c r="D772" s="0" t="n">
        <v>2303</v>
      </c>
      <c r="E772" s="0" t="n">
        <v>969</v>
      </c>
      <c r="F772" s="0" t="n">
        <v>45</v>
      </c>
      <c r="G772" s="0" t="n">
        <v>0</v>
      </c>
      <c r="H772" s="0" t="s">
        <v>1523</v>
      </c>
      <c r="I772" s="0" t="s">
        <v>1552</v>
      </c>
      <c r="J772" s="9" t="n">
        <v>45903</v>
      </c>
      <c r="K772" s="0" t="s">
        <v>1553</v>
      </c>
      <c r="L772" s="0" t="n">
        <v>13</v>
      </c>
      <c r="M772" s="10" t="n">
        <f aca="false">_xlfn.NUMBERVALUE("" &amp; K772 &amp; "",".",",")</f>
        <v>0.0146715986111111</v>
      </c>
      <c r="N772" s="10"/>
      <c r="O772" s="0" t="str">
        <f aca="false">VLOOKUP(C772,statusdetails!$A:$D,4,0)</f>
        <v>READY</v>
      </c>
    </row>
    <row r="773" customFormat="false" ht="12.8" hidden="true" customHeight="false" outlineLevel="0" collapsed="false">
      <c r="A773" s="0" t="n">
        <v>466893</v>
      </c>
      <c r="B773" s="0" t="n">
        <v>466893</v>
      </c>
      <c r="C773" s="0" t="n">
        <v>2</v>
      </c>
      <c r="D773" s="0" t="n">
        <v>7</v>
      </c>
      <c r="E773" s="0" t="n">
        <v>1024</v>
      </c>
      <c r="F773" s="0" t="n">
        <v>45</v>
      </c>
      <c r="G773" s="0" t="n">
        <v>0</v>
      </c>
      <c r="H773" s="0" t="s">
        <v>1552</v>
      </c>
      <c r="I773" s="0" t="s">
        <v>1554</v>
      </c>
      <c r="J773" s="9" t="n">
        <v>45903</v>
      </c>
      <c r="K773" s="0" t="s">
        <v>1555</v>
      </c>
      <c r="L773" s="0" t="n">
        <v>13</v>
      </c>
      <c r="M773" s="3" t="n">
        <f aca="false">_xlfn.NUMBERVALUE("" &amp; K773 &amp; "",".",",")</f>
        <v>0.120222188888889</v>
      </c>
      <c r="O773" s="0" t="str">
        <f aca="false">VLOOKUP(C773,statusdetails!$A:$D,4,0)</f>
        <v>DELAY</v>
      </c>
    </row>
    <row r="774" customFormat="false" ht="12.8" hidden="true" customHeight="false" outlineLevel="0" collapsed="false">
      <c r="A774" s="0" t="n">
        <v>466894</v>
      </c>
      <c r="B774" s="0" t="n">
        <v>466894</v>
      </c>
      <c r="C774" s="0" t="n">
        <v>3</v>
      </c>
      <c r="D774" s="0" t="n">
        <v>14</v>
      </c>
      <c r="E774" s="0" t="n">
        <v>2417</v>
      </c>
      <c r="F774" s="0" t="n">
        <v>87</v>
      </c>
      <c r="G774" s="0" t="n">
        <v>154</v>
      </c>
      <c r="H774" s="0" t="s">
        <v>1306</v>
      </c>
      <c r="I774" s="0" t="s">
        <v>1556</v>
      </c>
      <c r="J774" s="9" t="n">
        <v>45903</v>
      </c>
      <c r="K774" s="0" t="s">
        <v>1557</v>
      </c>
      <c r="L774" s="0" t="n">
        <v>13</v>
      </c>
      <c r="M774" s="10" t="n">
        <f aca="false">_xlfn.NUMBERVALUE("" &amp; K774 &amp; "",".",",")</f>
        <v>1.25478160722222</v>
      </c>
      <c r="N774" s="10"/>
      <c r="O774" s="0" t="str">
        <f aca="false">VLOOKUP(C774,statusdetails!$A:$D,4,0)</f>
        <v>STANDBY</v>
      </c>
      <c r="P774" s="0" t="str">
        <f aca="false">VLOOKUP(F774,equipment!$A:$E,4,0)</f>
        <v>CM04</v>
      </c>
      <c r="Q774" s="0" t="str">
        <f aca="false">VLOOKUP(F774,equipment!$A:$E,5,0)</f>
        <v>CM04 - 87</v>
      </c>
    </row>
    <row r="775" customFormat="false" ht="12.8" hidden="true" customHeight="false" outlineLevel="0" collapsed="false">
      <c r="A775" s="0" t="n">
        <v>466895</v>
      </c>
      <c r="B775" s="0" t="n">
        <v>466895</v>
      </c>
      <c r="C775" s="0" t="n">
        <v>1</v>
      </c>
      <c r="D775" s="0" t="n">
        <v>2303</v>
      </c>
      <c r="E775" s="0" t="n">
        <v>969</v>
      </c>
      <c r="F775" s="0" t="n">
        <v>45</v>
      </c>
      <c r="G775" s="0" t="n">
        <v>0</v>
      </c>
      <c r="H775" s="0" t="s">
        <v>1554</v>
      </c>
      <c r="I775" s="0" t="s">
        <v>1558</v>
      </c>
      <c r="J775" s="9" t="n">
        <v>45903</v>
      </c>
      <c r="K775" s="0" t="s">
        <v>1559</v>
      </c>
      <c r="L775" s="0" t="n">
        <v>13</v>
      </c>
      <c r="M775" s="10" t="n">
        <f aca="false">_xlfn.NUMBERVALUE("" &amp; K775 &amp; "",".",",")</f>
        <v>2.98309257722222</v>
      </c>
      <c r="N775" s="10"/>
      <c r="O775" s="0" t="str">
        <f aca="false">VLOOKUP(C775,statusdetails!$A:$D,4,0)</f>
        <v>READY</v>
      </c>
    </row>
    <row r="776" customFormat="false" ht="12.8" hidden="true" customHeight="false" outlineLevel="0" collapsed="false">
      <c r="A776" s="0" t="n">
        <v>466896</v>
      </c>
      <c r="B776" s="0" t="n">
        <v>466896</v>
      </c>
      <c r="C776" s="0" t="n">
        <v>4</v>
      </c>
      <c r="D776" s="0" t="n">
        <v>16</v>
      </c>
      <c r="E776" s="0" t="n">
        <v>922</v>
      </c>
      <c r="F776" s="0" t="n">
        <v>43</v>
      </c>
      <c r="G776" s="0" t="n">
        <v>36</v>
      </c>
      <c r="H776" s="0" t="s">
        <v>1464</v>
      </c>
      <c r="I776" s="0" t="s">
        <v>1560</v>
      </c>
      <c r="J776" s="9" t="n">
        <v>45903</v>
      </c>
      <c r="K776" s="0" t="s">
        <v>1561</v>
      </c>
      <c r="L776" s="0" t="n">
        <v>13</v>
      </c>
      <c r="M776" s="10" t="n">
        <f aca="false">_xlfn.NUMBERVALUE("" &amp; K776 &amp; "",".",",")</f>
        <v>0.331019863333333</v>
      </c>
      <c r="N776" s="10"/>
      <c r="O776" s="0" t="str">
        <f aca="false">VLOOKUP(C776,statusdetails!$A:$D,4,0)</f>
        <v>MAINT</v>
      </c>
    </row>
    <row r="777" customFormat="false" ht="12.8" hidden="true" customHeight="false" outlineLevel="0" collapsed="false">
      <c r="A777" s="0" t="n">
        <v>466897</v>
      </c>
      <c r="B777" s="0" t="n">
        <v>466897</v>
      </c>
      <c r="C777" s="0" t="n">
        <v>1</v>
      </c>
      <c r="D777" s="0" t="n">
        <v>6</v>
      </c>
      <c r="E777" s="0" t="n">
        <v>811</v>
      </c>
      <c r="F777" s="0" t="n">
        <v>43</v>
      </c>
      <c r="G777" s="0" t="n">
        <v>36</v>
      </c>
      <c r="H777" s="0" t="s">
        <v>1560</v>
      </c>
      <c r="I777" s="0" t="s">
        <v>1562</v>
      </c>
      <c r="J777" s="9" t="n">
        <v>45903</v>
      </c>
      <c r="K777" s="0" t="s">
        <v>1563</v>
      </c>
      <c r="L777" s="0" t="n">
        <v>13</v>
      </c>
      <c r="M777" s="10" t="n">
        <f aca="false">_xlfn.NUMBERVALUE("" &amp; K777 &amp; "",".",",")</f>
        <v>1.21498401833333</v>
      </c>
      <c r="N777" s="10"/>
      <c r="O777" s="0" t="str">
        <f aca="false">VLOOKUP(C777,statusdetails!$A:$D,4,0)</f>
        <v>READY</v>
      </c>
    </row>
    <row r="778" customFormat="false" ht="12.8" hidden="true" customHeight="false" outlineLevel="0" collapsed="false">
      <c r="A778" s="0" t="n">
        <v>466898</v>
      </c>
      <c r="B778" s="0" t="n">
        <v>466898</v>
      </c>
      <c r="C778" s="0" t="n">
        <v>1</v>
      </c>
      <c r="D778" s="0" t="n">
        <v>6</v>
      </c>
      <c r="E778" s="0" t="n">
        <v>2404</v>
      </c>
      <c r="F778" s="0" t="n">
        <v>87</v>
      </c>
      <c r="G778" s="0" t="n">
        <v>154</v>
      </c>
      <c r="H778" s="0" t="s">
        <v>1556</v>
      </c>
      <c r="I778" s="0" t="s">
        <v>1564</v>
      </c>
      <c r="J778" s="9" t="n">
        <v>45903</v>
      </c>
      <c r="K778" s="0" t="s">
        <v>1565</v>
      </c>
      <c r="L778" s="0" t="n">
        <v>14</v>
      </c>
      <c r="M778" s="10" t="n">
        <f aca="false">_xlfn.NUMBERVALUE("" &amp; K778 &amp; "",".",",")</f>
        <v>1.44806601722222</v>
      </c>
      <c r="N778" s="10"/>
      <c r="O778" s="0" t="str">
        <f aca="false">VLOOKUP(C778,statusdetails!$A:$D,4,0)</f>
        <v>READY</v>
      </c>
    </row>
    <row r="779" customFormat="false" ht="12.8" hidden="true" customHeight="false" outlineLevel="0" collapsed="false">
      <c r="A779" s="0" t="n">
        <v>466899</v>
      </c>
      <c r="B779" s="0" t="n">
        <v>466899</v>
      </c>
      <c r="C779" s="0" t="n">
        <v>4</v>
      </c>
      <c r="D779" s="0" t="n">
        <v>16</v>
      </c>
      <c r="E779" s="0" t="n">
        <v>1757</v>
      </c>
      <c r="F779" s="0" t="n">
        <v>41</v>
      </c>
      <c r="G779" s="0" t="n">
        <v>58</v>
      </c>
      <c r="H779" s="0" t="s">
        <v>1525</v>
      </c>
      <c r="I779" s="0" t="s">
        <v>1566</v>
      </c>
      <c r="J779" s="9" t="n">
        <v>45903</v>
      </c>
      <c r="K779" s="0" t="s">
        <v>1567</v>
      </c>
      <c r="L779" s="0" t="n">
        <v>14</v>
      </c>
      <c r="M779" s="10" t="n">
        <f aca="false">_xlfn.NUMBERVALUE("" &amp; K779 &amp; "",".",",")</f>
        <v>2.2483187625</v>
      </c>
      <c r="N779" s="10"/>
      <c r="O779" s="0" t="str">
        <f aca="false">VLOOKUP(C779,statusdetails!$A:$D,4,0)</f>
        <v>MAINT</v>
      </c>
    </row>
    <row r="780" customFormat="false" ht="12.8" hidden="true" customHeight="false" outlineLevel="0" collapsed="false">
      <c r="A780" s="0" t="n">
        <v>466900</v>
      </c>
      <c r="B780" s="0" t="n">
        <v>466900</v>
      </c>
      <c r="C780" s="0" t="n">
        <v>1</v>
      </c>
      <c r="D780" s="0" t="n">
        <v>2303</v>
      </c>
      <c r="E780" s="0" t="n">
        <v>1541</v>
      </c>
      <c r="F780" s="0" t="n">
        <v>37</v>
      </c>
      <c r="G780" s="0" t="n">
        <v>44</v>
      </c>
      <c r="H780" s="0" t="s">
        <v>1527</v>
      </c>
      <c r="I780" s="0" t="s">
        <v>1568</v>
      </c>
      <c r="J780" s="9" t="n">
        <v>45903</v>
      </c>
      <c r="K780" s="0" t="s">
        <v>1569</v>
      </c>
      <c r="L780" s="0" t="n">
        <v>14</v>
      </c>
      <c r="M780" s="10" t="n">
        <f aca="false">_xlfn.NUMBERVALUE("" &amp; K780 &amp; "",".",",")</f>
        <v>4.24787510722222</v>
      </c>
      <c r="N780" s="10"/>
      <c r="O780" s="0" t="str">
        <f aca="false">VLOOKUP(C780,statusdetails!$A:$D,4,0)</f>
        <v>READY</v>
      </c>
    </row>
    <row r="781" customFormat="false" ht="12.8" hidden="true" customHeight="false" outlineLevel="0" collapsed="false">
      <c r="A781" s="0" t="n">
        <v>466901</v>
      </c>
      <c r="B781" s="0" t="n">
        <v>466901</v>
      </c>
      <c r="C781" s="0" t="n">
        <v>3</v>
      </c>
      <c r="D781" s="0" t="n">
        <v>14</v>
      </c>
      <c r="E781" s="0" t="n">
        <v>1159</v>
      </c>
      <c r="F781" s="0" t="n">
        <v>43</v>
      </c>
      <c r="G781" s="0" t="n">
        <v>36</v>
      </c>
      <c r="H781" s="0" t="s">
        <v>1562</v>
      </c>
      <c r="I781" s="0" t="s">
        <v>1570</v>
      </c>
      <c r="J781" s="9" t="n">
        <v>45903</v>
      </c>
      <c r="K781" s="0" t="s">
        <v>1571</v>
      </c>
      <c r="L781" s="0" t="n">
        <v>15</v>
      </c>
      <c r="M781" s="10" t="n">
        <f aca="false">_xlfn.NUMBERVALUE("" &amp; K781 &amp; "",".",",")</f>
        <v>0.249464086111111</v>
      </c>
      <c r="N781" s="10"/>
      <c r="O781" s="0" t="str">
        <f aca="false">VLOOKUP(C781,statusdetails!$A:$D,4,0)</f>
        <v>STANDBY</v>
      </c>
      <c r="P781" s="0" t="str">
        <f aca="false">VLOOKUP(F781,equipment!$A:$E,4,0)</f>
        <v>PE302</v>
      </c>
      <c r="Q781" s="0" t="str">
        <f aca="false">VLOOKUP(F781,equipment!$A:$E,5,0)</f>
        <v>PE302 - 43</v>
      </c>
    </row>
    <row r="782" customFormat="false" ht="12.8" hidden="true" customHeight="false" outlineLevel="0" collapsed="false">
      <c r="A782" s="0" t="n">
        <v>466902</v>
      </c>
      <c r="B782" s="0" t="n">
        <v>466902</v>
      </c>
      <c r="C782" s="0" t="n">
        <v>3</v>
      </c>
      <c r="D782" s="0" t="n">
        <v>12</v>
      </c>
      <c r="E782" s="0" t="n">
        <v>289</v>
      </c>
      <c r="F782" s="0" t="n">
        <v>34</v>
      </c>
      <c r="G782" s="0" t="n">
        <v>0</v>
      </c>
      <c r="H782" s="0" t="s">
        <v>1472</v>
      </c>
      <c r="I782" s="0" t="s">
        <v>1572</v>
      </c>
      <c r="J782" s="9" t="n">
        <v>45903</v>
      </c>
      <c r="K782" s="0" t="s">
        <v>1573</v>
      </c>
      <c r="L782" s="0" t="n">
        <v>15</v>
      </c>
      <c r="M782" s="10" t="n">
        <f aca="false">_xlfn.NUMBERVALUE("" &amp; K782 &amp; "",".",",")</f>
        <v>1.177277295</v>
      </c>
      <c r="N782" s="10"/>
      <c r="O782" s="0" t="str">
        <f aca="false">VLOOKUP(C782,statusdetails!$A:$D,4,0)</f>
        <v>STANDBY</v>
      </c>
      <c r="P782" s="0" t="str">
        <f aca="false">VLOOKUP(F782,equipment!$A:$E,4,0)</f>
        <v>CM404</v>
      </c>
      <c r="Q782" s="0" t="str">
        <f aca="false">VLOOKUP(F782,equipment!$A:$E,5,0)</f>
        <v>CM404 - 34</v>
      </c>
    </row>
    <row r="783" customFormat="false" ht="12.8" hidden="true" customHeight="false" outlineLevel="0" collapsed="false">
      <c r="A783" s="0" t="n">
        <v>466903</v>
      </c>
      <c r="B783" s="0" t="n">
        <v>466903</v>
      </c>
      <c r="C783" s="0" t="n">
        <v>4</v>
      </c>
      <c r="D783" s="0" t="n">
        <v>16</v>
      </c>
      <c r="E783" s="0" t="n">
        <v>922</v>
      </c>
      <c r="F783" s="0" t="n">
        <v>43</v>
      </c>
      <c r="G783" s="0" t="n">
        <v>36</v>
      </c>
      <c r="H783" s="0" t="s">
        <v>1570</v>
      </c>
      <c r="I783" s="0" t="s">
        <v>1574</v>
      </c>
      <c r="J783" s="9" t="n">
        <v>45903</v>
      </c>
      <c r="K783" s="0" t="s">
        <v>1575</v>
      </c>
      <c r="L783" s="0" t="n">
        <v>15</v>
      </c>
      <c r="M783" s="10" t="n">
        <f aca="false">_xlfn.NUMBERVALUE("" &amp; K783 &amp; "",".",",")</f>
        <v>0.842626248333333</v>
      </c>
      <c r="N783" s="10"/>
      <c r="O783" s="0" t="str">
        <f aca="false">VLOOKUP(C783,statusdetails!$A:$D,4,0)</f>
        <v>MAINT</v>
      </c>
    </row>
    <row r="784" customFormat="false" ht="12.8" hidden="true" customHeight="false" outlineLevel="0" collapsed="false">
      <c r="A784" s="0" t="n">
        <v>466904</v>
      </c>
      <c r="B784" s="0" t="n">
        <v>466904</v>
      </c>
      <c r="C784" s="0" t="n">
        <v>1</v>
      </c>
      <c r="D784" s="0" t="n">
        <v>6</v>
      </c>
      <c r="E784" s="0" t="n">
        <v>811</v>
      </c>
      <c r="F784" s="0" t="n">
        <v>42</v>
      </c>
      <c r="G784" s="0" t="n">
        <v>83</v>
      </c>
      <c r="H784" s="0" t="s">
        <v>1517</v>
      </c>
      <c r="I784" s="0" t="s">
        <v>1576</v>
      </c>
      <c r="J784" s="9" t="n">
        <v>45903</v>
      </c>
      <c r="K784" s="0" t="s">
        <v>1577</v>
      </c>
      <c r="L784" s="0" t="n">
        <v>15</v>
      </c>
      <c r="M784" s="10" t="n">
        <f aca="false">_xlfn.NUMBERVALUE("" &amp; K784 &amp; "",".",",")</f>
        <v>3.57248722222222</v>
      </c>
      <c r="N784" s="10"/>
      <c r="O784" s="0" t="str">
        <f aca="false">VLOOKUP(C784,statusdetails!$A:$D,4,0)</f>
        <v>READY</v>
      </c>
    </row>
    <row r="785" customFormat="false" ht="12.8" hidden="true" customHeight="false" outlineLevel="0" collapsed="false">
      <c r="A785" s="0" t="n">
        <v>466905</v>
      </c>
      <c r="B785" s="0" t="n">
        <v>466905</v>
      </c>
      <c r="C785" s="0" t="n">
        <v>3</v>
      </c>
      <c r="D785" s="0" t="n">
        <v>14</v>
      </c>
      <c r="E785" s="0" t="n">
        <v>1162</v>
      </c>
      <c r="F785" s="0" t="n">
        <v>33</v>
      </c>
      <c r="G785" s="0" t="n">
        <v>98</v>
      </c>
      <c r="H785" s="0" t="s">
        <v>1426</v>
      </c>
      <c r="I785" s="0" t="s">
        <v>1578</v>
      </c>
      <c r="J785" s="9" t="n">
        <v>45903</v>
      </c>
      <c r="K785" s="0" t="s">
        <v>1579</v>
      </c>
      <c r="L785" s="0" t="n">
        <v>15</v>
      </c>
      <c r="M785" s="10" t="n">
        <f aca="false">_xlfn.NUMBERVALUE("" &amp; K785 &amp; "",".",",")</f>
        <v>0.0652955555555556</v>
      </c>
      <c r="N785" s="10"/>
      <c r="O785" s="0" t="str">
        <f aca="false">VLOOKUP(C785,statusdetails!$A:$D,4,0)</f>
        <v>STANDBY</v>
      </c>
      <c r="P785" s="0" t="str">
        <f aca="false">VLOOKUP(F785,equipment!$A:$E,4,0)</f>
        <v>CM406</v>
      </c>
      <c r="Q785" s="0" t="str">
        <f aca="false">VLOOKUP(F785,equipment!$A:$E,5,0)</f>
        <v>CM406 - 33</v>
      </c>
    </row>
    <row r="786" customFormat="false" ht="12.8" hidden="true" customHeight="false" outlineLevel="0" collapsed="false">
      <c r="A786" s="0" t="n">
        <v>466906</v>
      </c>
      <c r="B786" s="0" t="n">
        <v>466906</v>
      </c>
      <c r="C786" s="0" t="n">
        <v>1</v>
      </c>
      <c r="D786" s="0" t="n">
        <v>6</v>
      </c>
      <c r="E786" s="0" t="n">
        <v>260</v>
      </c>
      <c r="F786" s="0" t="n">
        <v>33</v>
      </c>
      <c r="G786" s="0" t="n">
        <v>98</v>
      </c>
      <c r="H786" s="0" t="s">
        <v>1578</v>
      </c>
      <c r="I786" s="0" t="s">
        <v>1580</v>
      </c>
      <c r="J786" s="9" t="n">
        <v>45903</v>
      </c>
      <c r="K786" s="0" t="s">
        <v>1581</v>
      </c>
      <c r="L786" s="0" t="n">
        <v>15</v>
      </c>
      <c r="M786" s="10" t="n">
        <f aca="false">_xlfn.NUMBERVALUE("" &amp; K786 &amp; "",".",",")</f>
        <v>0.735479166666667</v>
      </c>
      <c r="N786" s="10"/>
      <c r="O786" s="0" t="str">
        <f aca="false">VLOOKUP(C786,statusdetails!$A:$D,4,0)</f>
        <v>READY</v>
      </c>
    </row>
    <row r="787" customFormat="false" ht="12.8" hidden="true" customHeight="false" outlineLevel="0" collapsed="false">
      <c r="A787" s="0" t="n">
        <v>466907</v>
      </c>
      <c r="B787" s="0" t="n">
        <v>466907</v>
      </c>
      <c r="C787" s="0" t="n">
        <v>3</v>
      </c>
      <c r="D787" s="0" t="n">
        <v>14</v>
      </c>
      <c r="E787" s="0" t="n">
        <v>1162</v>
      </c>
      <c r="F787" s="0" t="n">
        <v>66</v>
      </c>
      <c r="G787" s="0" t="n">
        <v>104</v>
      </c>
      <c r="H787" s="0" t="s">
        <v>1468</v>
      </c>
      <c r="I787" s="0" t="s">
        <v>1582</v>
      </c>
      <c r="J787" s="9" t="n">
        <v>45903</v>
      </c>
      <c r="K787" s="0" t="s">
        <v>1583</v>
      </c>
      <c r="L787" s="0" t="n">
        <v>16</v>
      </c>
      <c r="M787" s="10" t="n">
        <f aca="false">_xlfn.NUMBERVALUE("" &amp; K787 &amp; "",".",",")</f>
        <v>0.0948209886111111</v>
      </c>
      <c r="N787" s="10"/>
      <c r="O787" s="0" t="str">
        <f aca="false">VLOOKUP(C787,statusdetails!$A:$D,4,0)</f>
        <v>STANDBY</v>
      </c>
      <c r="P787" s="0" t="str">
        <f aca="false">VLOOKUP(F787,equipment!$A:$E,4,0)</f>
        <v>CM407</v>
      </c>
      <c r="Q787" s="0" t="str">
        <f aca="false">VLOOKUP(F787,equipment!$A:$E,5,0)</f>
        <v>CM407 - 66</v>
      </c>
    </row>
    <row r="788" customFormat="false" ht="12.8" hidden="true" customHeight="false" outlineLevel="0" collapsed="false">
      <c r="A788" s="0" t="n">
        <v>466908</v>
      </c>
      <c r="B788" s="0" t="n">
        <v>466908</v>
      </c>
      <c r="C788" s="0" t="n">
        <v>2</v>
      </c>
      <c r="D788" s="0" t="n">
        <v>9</v>
      </c>
      <c r="E788" s="0" t="n">
        <v>2515</v>
      </c>
      <c r="F788" s="0" t="n">
        <v>87</v>
      </c>
      <c r="G788" s="0" t="n">
        <v>154</v>
      </c>
      <c r="H788" s="0" t="s">
        <v>1564</v>
      </c>
      <c r="I788" s="0" t="s">
        <v>1584</v>
      </c>
      <c r="J788" s="9" t="n">
        <v>45903</v>
      </c>
      <c r="K788" s="0" t="s">
        <v>1585</v>
      </c>
      <c r="L788" s="0" t="n">
        <v>16</v>
      </c>
      <c r="M788" s="3" t="n">
        <f aca="false">_xlfn.NUMBERVALUE("" &amp; K788 &amp; "",".",",")</f>
        <v>0.188029197222222</v>
      </c>
      <c r="O788" s="0" t="str">
        <f aca="false">VLOOKUP(C788,statusdetails!$A:$D,4,0)</f>
        <v>DELAY</v>
      </c>
    </row>
    <row r="789" customFormat="false" ht="12.8" hidden="true" customHeight="false" outlineLevel="0" collapsed="false">
      <c r="A789" s="0" t="n">
        <v>466909</v>
      </c>
      <c r="B789" s="0" t="n">
        <v>466909</v>
      </c>
      <c r="C789" s="0" t="n">
        <v>1</v>
      </c>
      <c r="D789" s="0" t="n">
        <v>6</v>
      </c>
      <c r="E789" s="0" t="n">
        <v>260</v>
      </c>
      <c r="F789" s="0" t="n">
        <v>66</v>
      </c>
      <c r="G789" s="0" t="n">
        <v>104</v>
      </c>
      <c r="H789" s="0" t="s">
        <v>1582</v>
      </c>
      <c r="I789" s="0" t="s">
        <v>1586</v>
      </c>
      <c r="J789" s="9" t="n">
        <v>45903</v>
      </c>
      <c r="K789" s="0" t="s">
        <v>1587</v>
      </c>
      <c r="L789" s="0" t="n">
        <v>16</v>
      </c>
      <c r="M789" s="10" t="n">
        <f aca="false">_xlfn.NUMBERVALUE("" &amp; K789 &amp; "",".",",")</f>
        <v>2.80882140916667</v>
      </c>
      <c r="N789" s="10"/>
      <c r="O789" s="0" t="str">
        <f aca="false">VLOOKUP(C789,statusdetails!$A:$D,4,0)</f>
        <v>READY</v>
      </c>
    </row>
    <row r="790" customFormat="false" ht="12.8" hidden="true" customHeight="false" outlineLevel="0" collapsed="false">
      <c r="A790" s="0" t="n">
        <v>466910</v>
      </c>
      <c r="B790" s="0" t="n">
        <v>466910</v>
      </c>
      <c r="C790" s="0" t="n">
        <v>3</v>
      </c>
      <c r="D790" s="0" t="n">
        <v>14</v>
      </c>
      <c r="E790" s="0" t="n">
        <v>1162</v>
      </c>
      <c r="F790" s="0" t="n">
        <v>35</v>
      </c>
      <c r="G790" s="0" t="n">
        <v>23</v>
      </c>
      <c r="H790" s="0" t="s">
        <v>1502</v>
      </c>
      <c r="I790" s="0" t="s">
        <v>1588</v>
      </c>
      <c r="J790" s="9" t="n">
        <v>45903</v>
      </c>
      <c r="K790" s="0" t="s">
        <v>1589</v>
      </c>
      <c r="L790" s="0" t="n">
        <v>16</v>
      </c>
      <c r="M790" s="10" t="n">
        <f aca="false">_xlfn.NUMBERVALUE("" &amp; K790 &amp; "",".",",")</f>
        <v>0.0992460694444444</v>
      </c>
      <c r="N790" s="10"/>
      <c r="O790" s="0" t="str">
        <f aca="false">VLOOKUP(C790,statusdetails!$A:$D,4,0)</f>
        <v>STANDBY</v>
      </c>
      <c r="P790" s="0" t="str">
        <f aca="false">VLOOKUP(F790,equipment!$A:$E,4,0)</f>
        <v>CM405</v>
      </c>
      <c r="Q790" s="0" t="str">
        <f aca="false">VLOOKUP(F790,equipment!$A:$E,5,0)</f>
        <v>CM405 - 35</v>
      </c>
    </row>
    <row r="791" customFormat="false" ht="12.8" hidden="true" customHeight="false" outlineLevel="0" collapsed="false">
      <c r="A791" s="0" t="n">
        <v>466911</v>
      </c>
      <c r="B791" s="0" t="n">
        <v>466911</v>
      </c>
      <c r="C791" s="0" t="n">
        <v>1</v>
      </c>
      <c r="D791" s="0" t="n">
        <v>6</v>
      </c>
      <c r="E791" s="0" t="n">
        <v>811</v>
      </c>
      <c r="F791" s="0" t="n">
        <v>43</v>
      </c>
      <c r="G791" s="0" t="n">
        <v>36</v>
      </c>
      <c r="H791" s="0" t="s">
        <v>1574</v>
      </c>
      <c r="I791" s="0" t="s">
        <v>1590</v>
      </c>
      <c r="J791" s="9" t="n">
        <v>45903</v>
      </c>
      <c r="K791" s="0" t="s">
        <v>1591</v>
      </c>
      <c r="L791" s="0" t="n">
        <v>16</v>
      </c>
      <c r="M791" s="10" t="n">
        <f aca="false">_xlfn.NUMBERVALUE("" &amp; K791 &amp; "",".",",")</f>
        <v>0.755998408888889</v>
      </c>
      <c r="N791" s="10"/>
      <c r="O791" s="0" t="str">
        <f aca="false">VLOOKUP(C791,statusdetails!$A:$D,4,0)</f>
        <v>READY</v>
      </c>
    </row>
    <row r="792" customFormat="false" ht="12.8" hidden="true" customHeight="false" outlineLevel="0" collapsed="false">
      <c r="A792" s="0" t="n">
        <v>466912</v>
      </c>
      <c r="B792" s="0" t="n">
        <v>466912</v>
      </c>
      <c r="C792" s="0" t="n">
        <v>4</v>
      </c>
      <c r="D792" s="0" t="n">
        <v>16</v>
      </c>
      <c r="E792" s="0" t="n">
        <v>2461</v>
      </c>
      <c r="F792" s="0" t="n">
        <v>87</v>
      </c>
      <c r="G792" s="0" t="n">
        <v>154</v>
      </c>
      <c r="H792" s="0" t="s">
        <v>1584</v>
      </c>
      <c r="I792" s="0" t="s">
        <v>1592</v>
      </c>
      <c r="J792" s="9" t="n">
        <v>45903</v>
      </c>
      <c r="K792" s="0" t="s">
        <v>1593</v>
      </c>
      <c r="L792" s="0" t="n">
        <v>16</v>
      </c>
      <c r="M792" s="10" t="n">
        <f aca="false">_xlfn.NUMBERVALUE("" &amp; K792 &amp; "",".",",")</f>
        <v>1.83765667194444</v>
      </c>
      <c r="N792" s="10"/>
      <c r="O792" s="0" t="str">
        <f aca="false">VLOOKUP(C792,statusdetails!$A:$D,4,0)</f>
        <v>MAINT</v>
      </c>
    </row>
    <row r="793" customFormat="false" ht="12.8" hidden="true" customHeight="false" outlineLevel="0" collapsed="false">
      <c r="A793" s="0" t="n">
        <v>466913</v>
      </c>
      <c r="B793" s="0" t="n">
        <v>466913</v>
      </c>
      <c r="C793" s="0" t="n">
        <v>1</v>
      </c>
      <c r="D793" s="0" t="n">
        <v>6</v>
      </c>
      <c r="E793" s="0" t="n">
        <v>260</v>
      </c>
      <c r="F793" s="0" t="n">
        <v>35</v>
      </c>
      <c r="G793" s="0" t="n">
        <v>23</v>
      </c>
      <c r="H793" s="0" t="s">
        <v>1588</v>
      </c>
      <c r="I793" s="0" t="s">
        <v>1594</v>
      </c>
      <c r="J793" s="9" t="n">
        <v>45903</v>
      </c>
      <c r="K793" s="0" t="s">
        <v>1595</v>
      </c>
      <c r="L793" s="0" t="n">
        <v>16</v>
      </c>
      <c r="M793" s="10" t="n">
        <f aca="false">_xlfn.NUMBERVALUE("" &amp; K793 &amp; "",".",",")</f>
        <v>2.67772547694444</v>
      </c>
      <c r="N793" s="10"/>
      <c r="O793" s="0" t="str">
        <f aca="false">VLOOKUP(C793,statusdetails!$A:$D,4,0)</f>
        <v>READY</v>
      </c>
    </row>
    <row r="794" customFormat="false" ht="12.8" hidden="true" customHeight="false" outlineLevel="0" collapsed="false">
      <c r="A794" s="0" t="n">
        <v>466914</v>
      </c>
      <c r="B794" s="0" t="n">
        <v>466914</v>
      </c>
      <c r="C794" s="0" t="n">
        <v>1</v>
      </c>
      <c r="D794" s="0" t="n">
        <v>6</v>
      </c>
      <c r="E794" s="0" t="n">
        <v>260</v>
      </c>
      <c r="F794" s="0" t="n">
        <v>34</v>
      </c>
      <c r="G794" s="0" t="n">
        <v>47</v>
      </c>
      <c r="H794" s="0" t="s">
        <v>1572</v>
      </c>
      <c r="I794" s="0" t="s">
        <v>1596</v>
      </c>
      <c r="J794" s="9" t="n">
        <v>45903</v>
      </c>
      <c r="K794" s="0" t="s">
        <v>1597</v>
      </c>
      <c r="L794" s="0" t="n">
        <v>16</v>
      </c>
      <c r="M794" s="10" t="n">
        <f aca="false">_xlfn.NUMBERVALUE("" &amp; K794 &amp; "",".",",")</f>
        <v>0.115197222222222</v>
      </c>
      <c r="N794" s="10"/>
      <c r="O794" s="0" t="str">
        <f aca="false">VLOOKUP(C794,statusdetails!$A:$D,4,0)</f>
        <v>READY</v>
      </c>
    </row>
    <row r="795" customFormat="false" ht="12.8" hidden="true" customHeight="false" outlineLevel="0" collapsed="false">
      <c r="A795" s="0" t="n">
        <v>466915</v>
      </c>
      <c r="B795" s="0" t="n">
        <v>466915</v>
      </c>
      <c r="C795" s="0" t="n">
        <v>1</v>
      </c>
      <c r="D795" s="0" t="n">
        <v>6</v>
      </c>
      <c r="E795" s="0" t="n">
        <v>138</v>
      </c>
      <c r="F795" s="0" t="n">
        <v>45</v>
      </c>
      <c r="G795" s="0" t="n">
        <v>0</v>
      </c>
      <c r="H795" s="0" t="s">
        <v>1558</v>
      </c>
      <c r="I795" s="0" t="s">
        <v>1598</v>
      </c>
      <c r="J795" s="9" t="n">
        <v>45903</v>
      </c>
      <c r="K795" s="0" t="s">
        <v>1599</v>
      </c>
      <c r="L795" s="0" t="n">
        <v>16</v>
      </c>
      <c r="M795" s="10" t="n">
        <f aca="false">_xlfn.NUMBERVALUE("" &amp; K795 &amp; "",".",",")</f>
        <v>1.59298924083333</v>
      </c>
      <c r="N795" s="10"/>
      <c r="O795" s="0" t="str">
        <f aca="false">VLOOKUP(C795,statusdetails!$A:$D,4,0)</f>
        <v>READY</v>
      </c>
    </row>
    <row r="796" customFormat="false" ht="12.8" hidden="true" customHeight="false" outlineLevel="0" collapsed="false">
      <c r="A796" s="0" t="n">
        <v>466916</v>
      </c>
      <c r="B796" s="0" t="n">
        <v>466916</v>
      </c>
      <c r="C796" s="0" t="n">
        <v>4</v>
      </c>
      <c r="D796" s="0" t="n">
        <v>15</v>
      </c>
      <c r="E796" s="0" t="n">
        <v>2396</v>
      </c>
      <c r="F796" s="0" t="n">
        <v>96</v>
      </c>
      <c r="G796" s="0" t="n">
        <v>109</v>
      </c>
      <c r="H796" s="0" t="s">
        <v>1600</v>
      </c>
      <c r="I796" s="0" t="s">
        <v>1601</v>
      </c>
      <c r="J796" s="9" t="n">
        <v>45903</v>
      </c>
      <c r="K796" s="0" t="s">
        <v>1602</v>
      </c>
      <c r="L796" s="0" t="n">
        <v>16</v>
      </c>
      <c r="M796" s="10" t="n">
        <f aca="false">_xlfn.NUMBERVALUE("" &amp; K796 &amp; "",".",",")</f>
        <v>0.555118376666667</v>
      </c>
      <c r="N796" s="10"/>
      <c r="O796" s="0" t="str">
        <f aca="false">VLOOKUP(C796,statusdetails!$A:$D,4,0)</f>
        <v>MAINT</v>
      </c>
    </row>
    <row r="797" customFormat="false" ht="12.8" hidden="true" customHeight="false" outlineLevel="0" collapsed="false">
      <c r="A797" s="0" t="n">
        <v>466917</v>
      </c>
      <c r="B797" s="0" t="n">
        <v>466917</v>
      </c>
      <c r="C797" s="0" t="n">
        <v>3</v>
      </c>
      <c r="D797" s="0" t="n">
        <v>12</v>
      </c>
      <c r="E797" s="0" t="n">
        <v>1011</v>
      </c>
      <c r="F797" s="0" t="n">
        <v>34</v>
      </c>
      <c r="G797" s="0" t="n">
        <v>47</v>
      </c>
      <c r="H797" s="0" t="s">
        <v>1596</v>
      </c>
      <c r="I797" s="0" t="s">
        <v>1603</v>
      </c>
      <c r="J797" s="9" t="n">
        <v>45903</v>
      </c>
      <c r="K797" s="0" t="s">
        <v>1604</v>
      </c>
      <c r="L797" s="0" t="n">
        <v>16</v>
      </c>
      <c r="M797" s="10" t="n">
        <f aca="false">_xlfn.NUMBERVALUE("" &amp; K797 &amp; "",".",",")</f>
        <v>0.0471466666666667</v>
      </c>
      <c r="N797" s="10"/>
      <c r="O797" s="0" t="str">
        <f aca="false">VLOOKUP(C797,statusdetails!$A:$D,4,0)</f>
        <v>STANDBY</v>
      </c>
      <c r="P797" s="0" t="str">
        <f aca="false">VLOOKUP(F797,equipment!$A:$E,4,0)</f>
        <v>CM404</v>
      </c>
      <c r="Q797" s="0" t="str">
        <f aca="false">VLOOKUP(F797,equipment!$A:$E,5,0)</f>
        <v>CM404 - 34</v>
      </c>
    </row>
    <row r="798" customFormat="false" ht="12.8" hidden="true" customHeight="false" outlineLevel="0" collapsed="false">
      <c r="A798" s="0" t="n">
        <v>466918</v>
      </c>
      <c r="B798" s="0" t="n">
        <v>466918</v>
      </c>
      <c r="C798" s="0" t="n">
        <v>1</v>
      </c>
      <c r="D798" s="0" t="n">
        <v>6</v>
      </c>
      <c r="E798" s="0" t="n">
        <v>260</v>
      </c>
      <c r="F798" s="0" t="n">
        <v>34</v>
      </c>
      <c r="G798" s="0" t="n">
        <v>47</v>
      </c>
      <c r="H798" s="0" t="s">
        <v>1603</v>
      </c>
      <c r="I798" s="0" t="s">
        <v>1605</v>
      </c>
      <c r="J798" s="9" t="n">
        <v>45903</v>
      </c>
      <c r="K798" s="0" t="s">
        <v>1606</v>
      </c>
      <c r="L798" s="0" t="n">
        <v>16</v>
      </c>
      <c r="M798" s="10" t="n">
        <f aca="false">_xlfn.NUMBERVALUE("" &amp; K798 &amp; "",".",",")</f>
        <v>1.45864873416667</v>
      </c>
      <c r="N798" s="10"/>
      <c r="O798" s="0" t="str">
        <f aca="false">VLOOKUP(C798,statusdetails!$A:$D,4,0)</f>
        <v>READY</v>
      </c>
    </row>
    <row r="799" customFormat="false" ht="12.8" hidden="true" customHeight="false" outlineLevel="0" collapsed="false">
      <c r="A799" s="0" t="n">
        <v>466919</v>
      </c>
      <c r="B799" s="0" t="n">
        <v>466919</v>
      </c>
      <c r="C799" s="0" t="n">
        <v>3</v>
      </c>
      <c r="D799" s="0" t="n">
        <v>14</v>
      </c>
      <c r="E799" s="0" t="n">
        <v>2503</v>
      </c>
      <c r="F799" s="0" t="n">
        <v>86</v>
      </c>
      <c r="G799" s="0" t="n">
        <v>155</v>
      </c>
      <c r="H799" s="0" t="s">
        <v>1541</v>
      </c>
      <c r="I799" s="0" t="s">
        <v>1607</v>
      </c>
      <c r="J799" s="9" t="n">
        <v>45903</v>
      </c>
      <c r="K799" s="0" t="s">
        <v>1608</v>
      </c>
      <c r="L799" s="0" t="n">
        <v>16</v>
      </c>
      <c r="M799" s="10" t="n">
        <f aca="false">_xlfn.NUMBERVALUE("" &amp; K799 &amp; "",".",",")</f>
        <v>0.143040555555556</v>
      </c>
      <c r="N799" s="10"/>
      <c r="O799" s="0" t="str">
        <f aca="false">VLOOKUP(C799,statusdetails!$A:$D,4,0)</f>
        <v>STANDBY</v>
      </c>
      <c r="P799" s="0" t="str">
        <f aca="false">VLOOKUP(F799,equipment!$A:$E,4,0)</f>
        <v>CM03</v>
      </c>
      <c r="Q799" s="0" t="str">
        <f aca="false">VLOOKUP(F799,equipment!$A:$E,5,0)</f>
        <v>CM03 - 86</v>
      </c>
    </row>
    <row r="800" customFormat="false" ht="12.8" hidden="true" customHeight="false" outlineLevel="0" collapsed="false">
      <c r="A800" s="0" t="n">
        <v>466920</v>
      </c>
      <c r="B800" s="0" t="n">
        <v>466920</v>
      </c>
      <c r="C800" s="0" t="n">
        <v>3</v>
      </c>
      <c r="D800" s="0" t="n">
        <v>12</v>
      </c>
      <c r="E800" s="0" t="n">
        <v>1011</v>
      </c>
      <c r="F800" s="0" t="n">
        <v>33</v>
      </c>
      <c r="G800" s="0" t="n">
        <v>98</v>
      </c>
      <c r="H800" s="0" t="s">
        <v>1580</v>
      </c>
      <c r="I800" s="0" t="s">
        <v>1609</v>
      </c>
      <c r="J800" s="9" t="n">
        <v>45903</v>
      </c>
      <c r="K800" s="0" t="s">
        <v>1610</v>
      </c>
      <c r="L800" s="0" t="n">
        <v>16</v>
      </c>
      <c r="M800" s="10" t="n">
        <f aca="false">_xlfn.NUMBERVALUE("" &amp; K800 &amp; "",".",",")</f>
        <v>0.201369444444444</v>
      </c>
      <c r="N800" s="10"/>
      <c r="O800" s="0" t="str">
        <f aca="false">VLOOKUP(C800,statusdetails!$A:$D,4,0)</f>
        <v>STANDBY</v>
      </c>
      <c r="P800" s="0" t="str">
        <f aca="false">VLOOKUP(F800,equipment!$A:$E,4,0)</f>
        <v>CM406</v>
      </c>
      <c r="Q800" s="0" t="str">
        <f aca="false">VLOOKUP(F800,equipment!$A:$E,5,0)</f>
        <v>CM406 - 33</v>
      </c>
    </row>
    <row r="801" customFormat="false" ht="12.8" hidden="true" customHeight="false" outlineLevel="0" collapsed="false">
      <c r="A801" s="0" t="n">
        <v>466921</v>
      </c>
      <c r="B801" s="0" t="n">
        <v>466921</v>
      </c>
      <c r="C801" s="0" t="n">
        <v>1</v>
      </c>
      <c r="D801" s="0" t="n">
        <v>6</v>
      </c>
      <c r="E801" s="0" t="n">
        <v>2404</v>
      </c>
      <c r="F801" s="0" t="n">
        <v>86</v>
      </c>
      <c r="G801" s="0" t="n">
        <v>155</v>
      </c>
      <c r="H801" s="0" t="s">
        <v>1607</v>
      </c>
      <c r="I801" s="0" t="s">
        <v>1611</v>
      </c>
      <c r="J801" s="9" t="n">
        <v>45903</v>
      </c>
      <c r="K801" s="0" t="s">
        <v>1612</v>
      </c>
      <c r="L801" s="0" t="n">
        <v>16</v>
      </c>
      <c r="M801" s="10" t="n">
        <f aca="false">_xlfn.NUMBERVALUE("" &amp; K801 &amp; "",".",",")</f>
        <v>2.22140689416667</v>
      </c>
      <c r="N801" s="10"/>
      <c r="O801" s="0" t="str">
        <f aca="false">VLOOKUP(C801,statusdetails!$A:$D,4,0)</f>
        <v>READY</v>
      </c>
    </row>
    <row r="802" customFormat="false" ht="12.8" hidden="true" customHeight="false" outlineLevel="0" collapsed="false">
      <c r="A802" s="0" t="n">
        <v>466922</v>
      </c>
      <c r="B802" s="0" t="n">
        <v>466922</v>
      </c>
      <c r="C802" s="0" t="n">
        <v>3</v>
      </c>
      <c r="D802" s="0" t="n">
        <v>14</v>
      </c>
      <c r="E802" s="0" t="n">
        <v>2503</v>
      </c>
      <c r="F802" s="0" t="n">
        <v>84</v>
      </c>
      <c r="G802" s="0" t="n">
        <v>152</v>
      </c>
      <c r="H802" s="0" t="s">
        <v>1539</v>
      </c>
      <c r="I802" s="0" t="s">
        <v>1613</v>
      </c>
      <c r="J802" s="9" t="n">
        <v>45903</v>
      </c>
      <c r="K802" s="0" t="s">
        <v>1614</v>
      </c>
      <c r="L802" s="0" t="n">
        <v>16</v>
      </c>
      <c r="M802" s="10" t="n">
        <f aca="false">_xlfn.NUMBERVALUE("" &amp; K802 &amp; "",".",",")</f>
        <v>0.0518058333333333</v>
      </c>
      <c r="N802" s="10"/>
      <c r="O802" s="0" t="str">
        <f aca="false">VLOOKUP(C802,statusdetails!$A:$D,4,0)</f>
        <v>STANDBY</v>
      </c>
      <c r="P802" s="0" t="str">
        <f aca="false">VLOOKUP(F802,equipment!$A:$E,4,0)</f>
        <v>CM01</v>
      </c>
      <c r="Q802" s="0" t="str">
        <f aca="false">VLOOKUP(F802,equipment!$A:$E,5,0)</f>
        <v>CM01 - 84</v>
      </c>
    </row>
    <row r="803" customFormat="false" ht="12.8" hidden="true" customHeight="false" outlineLevel="0" collapsed="false">
      <c r="A803" s="0" t="n">
        <v>466923</v>
      </c>
      <c r="B803" s="0" t="n">
        <v>466923</v>
      </c>
      <c r="C803" s="0" t="n">
        <v>1</v>
      </c>
      <c r="D803" s="0" t="n">
        <v>6</v>
      </c>
      <c r="E803" s="0" t="n">
        <v>2404</v>
      </c>
      <c r="F803" s="0" t="n">
        <v>84</v>
      </c>
      <c r="G803" s="0" t="n">
        <v>152</v>
      </c>
      <c r="H803" s="0" t="s">
        <v>1613</v>
      </c>
      <c r="I803" s="0" t="s">
        <v>1615</v>
      </c>
      <c r="J803" s="9" t="n">
        <v>45903</v>
      </c>
      <c r="K803" s="0" t="s">
        <v>1616</v>
      </c>
      <c r="L803" s="0" t="n">
        <v>16</v>
      </c>
      <c r="M803" s="10" t="n">
        <f aca="false">_xlfn.NUMBERVALUE("" &amp; K803 &amp; "",".",",")</f>
        <v>2.16783083333333</v>
      </c>
      <c r="N803" s="10"/>
      <c r="O803" s="0" t="str">
        <f aca="false">VLOOKUP(C803,statusdetails!$A:$D,4,0)</f>
        <v>READY</v>
      </c>
    </row>
    <row r="804" customFormat="false" ht="12.8" hidden="true" customHeight="false" outlineLevel="0" collapsed="false">
      <c r="A804" s="0" t="n">
        <v>466924</v>
      </c>
      <c r="B804" s="0" t="n">
        <v>466924</v>
      </c>
      <c r="C804" s="0" t="n">
        <v>1</v>
      </c>
      <c r="D804" s="0" t="n">
        <v>6</v>
      </c>
      <c r="E804" s="0" t="n">
        <v>586</v>
      </c>
      <c r="F804" s="0" t="n">
        <v>41</v>
      </c>
      <c r="G804" s="0" t="n">
        <v>58</v>
      </c>
      <c r="H804" s="0" t="s">
        <v>1566</v>
      </c>
      <c r="I804" s="11" t="n">
        <v>45903.7879282407</v>
      </c>
      <c r="J804" s="9" t="n">
        <v>45903</v>
      </c>
      <c r="K804" s="0" t="s">
        <v>1617</v>
      </c>
      <c r="L804" s="0" t="n">
        <v>16</v>
      </c>
      <c r="M804" s="10" t="n">
        <f aca="false">_xlfn.NUMBERVALUE("" &amp; K804 &amp; "",".",",")</f>
        <v>2.03568627222222</v>
      </c>
      <c r="N804" s="10"/>
      <c r="O804" s="0" t="str">
        <f aca="false">VLOOKUP(C804,statusdetails!$A:$D,4,0)</f>
        <v>READY</v>
      </c>
    </row>
    <row r="805" customFormat="false" ht="12.8" hidden="true" customHeight="false" outlineLevel="0" collapsed="false">
      <c r="A805" s="0" t="n">
        <v>466925</v>
      </c>
      <c r="B805" s="0" t="n">
        <v>466925</v>
      </c>
      <c r="C805" s="0" t="n">
        <v>1</v>
      </c>
      <c r="D805" s="0" t="n">
        <v>6</v>
      </c>
      <c r="E805" s="0" t="n">
        <v>260</v>
      </c>
      <c r="F805" s="0" t="n">
        <v>33</v>
      </c>
      <c r="G805" s="0" t="n">
        <v>98</v>
      </c>
      <c r="H805" s="0" t="s">
        <v>1609</v>
      </c>
      <c r="I805" s="0" t="s">
        <v>1618</v>
      </c>
      <c r="J805" s="9" t="n">
        <v>45903</v>
      </c>
      <c r="K805" s="0" t="s">
        <v>1619</v>
      </c>
      <c r="L805" s="0" t="n">
        <v>16</v>
      </c>
      <c r="M805" s="10" t="n">
        <f aca="false">_xlfn.NUMBERVALUE("" &amp; K805 &amp; "",".",",")</f>
        <v>2.00841930277778</v>
      </c>
      <c r="N805" s="10"/>
      <c r="O805" s="0" t="str">
        <f aca="false">VLOOKUP(C805,statusdetails!$A:$D,4,0)</f>
        <v>READY</v>
      </c>
    </row>
    <row r="806" customFormat="false" ht="12.8" hidden="true" customHeight="false" outlineLevel="0" collapsed="false">
      <c r="A806" s="0" t="n">
        <v>466926</v>
      </c>
      <c r="B806" s="0" t="n">
        <v>466926</v>
      </c>
      <c r="C806" s="0" t="n">
        <v>3</v>
      </c>
      <c r="D806" s="0" t="n">
        <v>14</v>
      </c>
      <c r="E806" s="0" t="n">
        <v>2503</v>
      </c>
      <c r="F806" s="0" t="n">
        <v>88</v>
      </c>
      <c r="G806" s="0" t="n">
        <v>151</v>
      </c>
      <c r="H806" s="0" t="s">
        <v>1536</v>
      </c>
      <c r="I806" s="0" t="s">
        <v>1620</v>
      </c>
      <c r="J806" s="9" t="n">
        <v>45903</v>
      </c>
      <c r="K806" s="0" t="s">
        <v>1621</v>
      </c>
      <c r="L806" s="0" t="n">
        <v>16</v>
      </c>
      <c r="M806" s="10" t="n">
        <f aca="false">_xlfn.NUMBERVALUE("" &amp; K806 &amp; "",".",",")</f>
        <v>0.0341280555555556</v>
      </c>
      <c r="N806" s="10"/>
      <c r="O806" s="0" t="str">
        <f aca="false">VLOOKUP(C806,statusdetails!$A:$D,4,0)</f>
        <v>STANDBY</v>
      </c>
      <c r="P806" s="0" t="str">
        <f aca="false">VLOOKUP(F806,equipment!$A:$E,4,0)</f>
        <v>CM05</v>
      </c>
      <c r="Q806" s="0" t="str">
        <f aca="false">VLOOKUP(F806,equipment!$A:$E,5,0)</f>
        <v>CM05 - 88</v>
      </c>
    </row>
    <row r="807" customFormat="false" ht="12.8" hidden="true" customHeight="false" outlineLevel="0" collapsed="false">
      <c r="A807" s="0" t="n">
        <v>466927</v>
      </c>
      <c r="B807" s="0" t="n">
        <v>466927</v>
      </c>
      <c r="C807" s="0" t="n">
        <v>1</v>
      </c>
      <c r="D807" s="0" t="n">
        <v>6</v>
      </c>
      <c r="E807" s="0" t="n">
        <v>2404</v>
      </c>
      <c r="F807" s="0" t="n">
        <v>88</v>
      </c>
      <c r="G807" s="0" t="n">
        <v>151</v>
      </c>
      <c r="H807" s="0" t="s">
        <v>1620</v>
      </c>
      <c r="I807" s="0" t="s">
        <v>1622</v>
      </c>
      <c r="J807" s="9" t="n">
        <v>45903</v>
      </c>
      <c r="K807" s="0" t="s">
        <v>1623</v>
      </c>
      <c r="L807" s="0" t="n">
        <v>16</v>
      </c>
      <c r="M807" s="10" t="n">
        <f aca="false">_xlfn.NUMBERVALUE("" &amp; K807 &amp; "",".",",")</f>
        <v>0.0391731069444444</v>
      </c>
      <c r="N807" s="10"/>
      <c r="O807" s="0" t="str">
        <f aca="false">VLOOKUP(C807,statusdetails!$A:$D,4,0)</f>
        <v>READY</v>
      </c>
    </row>
    <row r="808" customFormat="false" ht="12.8" hidden="true" customHeight="false" outlineLevel="0" collapsed="false">
      <c r="A808" s="0" t="n">
        <v>466928</v>
      </c>
      <c r="B808" s="0" t="n">
        <v>466928</v>
      </c>
      <c r="C808" s="0" t="n">
        <v>1</v>
      </c>
      <c r="D808" s="0" t="n">
        <v>6</v>
      </c>
      <c r="E808" s="0" t="n">
        <v>811</v>
      </c>
      <c r="F808" s="0" t="n">
        <v>43</v>
      </c>
      <c r="G808" s="0" t="n">
        <v>36</v>
      </c>
      <c r="H808" s="0" t="s">
        <v>1590</v>
      </c>
      <c r="I808" s="0" t="s">
        <v>1624</v>
      </c>
      <c r="J808" s="9" t="n">
        <v>45903</v>
      </c>
      <c r="K808" s="0" t="s">
        <v>1625</v>
      </c>
      <c r="L808" s="0" t="n">
        <v>16</v>
      </c>
      <c r="M808" s="10" t="n">
        <f aca="false">_xlfn.NUMBERVALUE("" &amp; K808 &amp; "",".",",")</f>
        <v>1.70229825944444</v>
      </c>
      <c r="N808" s="10"/>
      <c r="O808" s="0" t="str">
        <f aca="false">VLOOKUP(C808,statusdetails!$A:$D,4,0)</f>
        <v>READY</v>
      </c>
    </row>
    <row r="809" customFormat="false" ht="12.8" hidden="true" customHeight="false" outlineLevel="0" collapsed="false">
      <c r="A809" s="0" t="n">
        <v>466929</v>
      </c>
      <c r="B809" s="0" t="n">
        <v>466929</v>
      </c>
      <c r="C809" s="0" t="n">
        <v>1</v>
      </c>
      <c r="D809" s="0" t="n">
        <v>6</v>
      </c>
      <c r="E809" s="0" t="n">
        <v>2518</v>
      </c>
      <c r="F809" s="0" t="n">
        <v>96</v>
      </c>
      <c r="G809" s="0" t="n">
        <v>109</v>
      </c>
      <c r="H809" s="0" t="s">
        <v>1601</v>
      </c>
      <c r="I809" s="0" t="s">
        <v>1626</v>
      </c>
      <c r="J809" s="9" t="n">
        <v>45903</v>
      </c>
      <c r="K809" s="0" t="s">
        <v>1627</v>
      </c>
      <c r="L809" s="0" t="n">
        <v>16</v>
      </c>
      <c r="M809" s="10" t="n">
        <f aca="false">_xlfn.NUMBERVALUE("" &amp; K809 &amp; "",".",",")</f>
        <v>1.98322038444444</v>
      </c>
      <c r="N809" s="10"/>
      <c r="O809" s="0" t="str">
        <f aca="false">VLOOKUP(C809,statusdetails!$A:$D,4,0)</f>
        <v>READY</v>
      </c>
    </row>
    <row r="810" customFormat="false" ht="12.8" hidden="true" customHeight="false" outlineLevel="0" collapsed="false">
      <c r="A810" s="0" t="n">
        <v>466930</v>
      </c>
      <c r="B810" s="0" t="n">
        <v>466930</v>
      </c>
      <c r="C810" s="0" t="n">
        <v>3</v>
      </c>
      <c r="D810" s="0" t="n">
        <v>14</v>
      </c>
      <c r="E810" s="0" t="n">
        <v>2555</v>
      </c>
      <c r="F810" s="0" t="n">
        <v>88</v>
      </c>
      <c r="G810" s="0" t="n">
        <v>151</v>
      </c>
      <c r="H810" s="0" t="s">
        <v>1622</v>
      </c>
      <c r="I810" s="0" t="s">
        <v>1628</v>
      </c>
      <c r="J810" s="9" t="n">
        <v>45903</v>
      </c>
      <c r="K810" s="0" t="s">
        <v>1629</v>
      </c>
      <c r="L810" s="0" t="n">
        <v>16</v>
      </c>
      <c r="M810" s="10" t="n">
        <f aca="false">_xlfn.NUMBERVALUE("" &amp; K810 &amp; "",".",",")</f>
        <v>0.0888510597222222</v>
      </c>
      <c r="N810" s="10"/>
      <c r="O810" s="0" t="str">
        <f aca="false">VLOOKUP(C810,statusdetails!$A:$D,4,0)</f>
        <v>STANDBY</v>
      </c>
      <c r="P810" s="0" t="str">
        <f aca="false">VLOOKUP(F810,equipment!$A:$E,4,0)</f>
        <v>CM05</v>
      </c>
      <c r="Q810" s="0" t="str">
        <f aca="false">VLOOKUP(F810,equipment!$A:$E,5,0)</f>
        <v>CM05 - 88</v>
      </c>
    </row>
    <row r="811" customFormat="false" ht="12.8" hidden="true" customHeight="false" outlineLevel="0" collapsed="false">
      <c r="A811" s="0" t="n">
        <v>466931</v>
      </c>
      <c r="B811" s="0" t="n">
        <v>466931</v>
      </c>
      <c r="C811" s="0" t="n">
        <v>3</v>
      </c>
      <c r="D811" s="0" t="n">
        <v>14</v>
      </c>
      <c r="E811" s="0" t="n">
        <v>2503</v>
      </c>
      <c r="F811" s="0" t="n">
        <v>89</v>
      </c>
      <c r="G811" s="0" t="n">
        <v>153</v>
      </c>
      <c r="H811" s="0" t="s">
        <v>1548</v>
      </c>
      <c r="I811" s="0" t="s">
        <v>1630</v>
      </c>
      <c r="J811" s="9" t="n">
        <v>45903</v>
      </c>
      <c r="K811" s="0" t="s">
        <v>1631</v>
      </c>
      <c r="L811" s="0" t="n">
        <v>17</v>
      </c>
      <c r="M811" s="10" t="n">
        <f aca="false">_xlfn.NUMBERVALUE("" &amp; K811 &amp; "",".",",")</f>
        <v>0.0760833336111111</v>
      </c>
      <c r="N811" s="10"/>
      <c r="O811" s="0" t="str">
        <f aca="false">VLOOKUP(C811,statusdetails!$A:$D,4,0)</f>
        <v>STANDBY</v>
      </c>
      <c r="P811" s="0" t="str">
        <f aca="false">VLOOKUP(F811,equipment!$A:$E,4,0)</f>
        <v>CM06</v>
      </c>
      <c r="Q811" s="0" t="str">
        <f aca="false">VLOOKUP(F811,equipment!$A:$E,5,0)</f>
        <v>CM06 - 89</v>
      </c>
    </row>
    <row r="812" customFormat="false" ht="12.8" hidden="true" customHeight="false" outlineLevel="0" collapsed="false">
      <c r="A812" s="0" t="n">
        <v>466932</v>
      </c>
      <c r="B812" s="0" t="n">
        <v>466932</v>
      </c>
      <c r="C812" s="0" t="n">
        <v>1</v>
      </c>
      <c r="D812" s="0" t="n">
        <v>6</v>
      </c>
      <c r="E812" s="0" t="n">
        <v>2404</v>
      </c>
      <c r="F812" s="0" t="n">
        <v>88</v>
      </c>
      <c r="G812" s="0" t="n">
        <v>151</v>
      </c>
      <c r="H812" s="0" t="s">
        <v>1628</v>
      </c>
      <c r="I812" s="0" t="s">
        <v>1632</v>
      </c>
      <c r="J812" s="9" t="n">
        <v>45903</v>
      </c>
      <c r="K812" s="0" t="s">
        <v>1633</v>
      </c>
      <c r="L812" s="0" t="n">
        <v>17</v>
      </c>
      <c r="M812" s="10" t="n">
        <f aca="false">_xlfn.NUMBERVALUE("" &amp; K812 &amp; "",".",",")</f>
        <v>1.86392133083333</v>
      </c>
      <c r="N812" s="10"/>
      <c r="O812" s="0" t="str">
        <f aca="false">VLOOKUP(C812,statusdetails!$A:$D,4,0)</f>
        <v>READY</v>
      </c>
    </row>
    <row r="813" customFormat="false" ht="12.8" hidden="true" customHeight="false" outlineLevel="0" collapsed="false">
      <c r="A813" s="0" t="n">
        <v>466933</v>
      </c>
      <c r="B813" s="0" t="n">
        <v>466885</v>
      </c>
      <c r="C813" s="0" t="n">
        <v>1</v>
      </c>
      <c r="D813" s="0" t="n">
        <v>6</v>
      </c>
      <c r="E813" s="0" t="n">
        <v>2518</v>
      </c>
      <c r="F813" s="0" t="n">
        <v>96</v>
      </c>
      <c r="G813" s="0" t="n">
        <v>124</v>
      </c>
      <c r="H813" s="11" t="n">
        <v>45903.5387268519</v>
      </c>
      <c r="I813" s="0" t="s">
        <v>1600</v>
      </c>
      <c r="J813" s="9" t="n">
        <v>45903</v>
      </c>
      <c r="K813" s="0" t="s">
        <v>1634</v>
      </c>
      <c r="L813" s="0" t="n">
        <v>12</v>
      </c>
      <c r="M813" s="10" t="n">
        <f aca="false">_xlfn.NUMBERVALUE("" &amp; K813 &amp; "",".",",")</f>
        <v>3.46312838861111</v>
      </c>
      <c r="N813" s="10"/>
      <c r="O813" s="0" t="str">
        <f aca="false">VLOOKUP(C813,statusdetails!$A:$D,4,0)</f>
        <v>READY</v>
      </c>
    </row>
    <row r="814" customFormat="false" ht="12.8" hidden="true" customHeight="false" outlineLevel="0" collapsed="false">
      <c r="A814" s="0" t="n">
        <v>466934</v>
      </c>
      <c r="B814" s="0" t="n">
        <v>466934</v>
      </c>
      <c r="C814" s="0" t="n">
        <v>1</v>
      </c>
      <c r="D814" s="0" t="n">
        <v>6</v>
      </c>
      <c r="E814" s="0" t="n">
        <v>2404</v>
      </c>
      <c r="F814" s="0" t="n">
        <v>89</v>
      </c>
      <c r="G814" s="0" t="n">
        <v>153</v>
      </c>
      <c r="H814" s="0" t="s">
        <v>1630</v>
      </c>
      <c r="I814" s="0" t="s">
        <v>1635</v>
      </c>
      <c r="J814" s="9" t="n">
        <v>45903</v>
      </c>
      <c r="K814" s="0" t="s">
        <v>1636</v>
      </c>
      <c r="L814" s="0" t="n">
        <v>17</v>
      </c>
      <c r="M814" s="10" t="n">
        <f aca="false">_xlfn.NUMBERVALUE("" &amp; K814 &amp; "",".",",")</f>
        <v>0.0177795561111111</v>
      </c>
      <c r="N814" s="10"/>
      <c r="O814" s="0" t="str">
        <f aca="false">VLOOKUP(C814,statusdetails!$A:$D,4,0)</f>
        <v>READY</v>
      </c>
    </row>
    <row r="815" customFormat="false" ht="12.8" hidden="true" customHeight="false" outlineLevel="0" collapsed="false">
      <c r="A815" s="0" t="n">
        <v>466935</v>
      </c>
      <c r="B815" s="0" t="n">
        <v>466935</v>
      </c>
      <c r="C815" s="0" t="n">
        <v>3</v>
      </c>
      <c r="D815" s="0" t="n">
        <v>14</v>
      </c>
      <c r="E815" s="0" t="n">
        <v>2555</v>
      </c>
      <c r="F815" s="0" t="n">
        <v>89</v>
      </c>
      <c r="G815" s="0" t="n">
        <v>153</v>
      </c>
      <c r="H815" s="0" t="s">
        <v>1635</v>
      </c>
      <c r="I815" s="0" t="s">
        <v>1637</v>
      </c>
      <c r="J815" s="9" t="n">
        <v>45903</v>
      </c>
      <c r="K815" s="0" t="s">
        <v>1638</v>
      </c>
      <c r="L815" s="0" t="n">
        <v>17</v>
      </c>
      <c r="M815" s="10" t="n">
        <f aca="false">_xlfn.NUMBERVALUE("" &amp; K815 &amp; "",".",",")</f>
        <v>0.0709530933333333</v>
      </c>
      <c r="N815" s="10"/>
      <c r="O815" s="0" t="str">
        <f aca="false">VLOOKUP(C815,statusdetails!$A:$D,4,0)</f>
        <v>STANDBY</v>
      </c>
      <c r="P815" s="0" t="str">
        <f aca="false">VLOOKUP(F815,equipment!$A:$E,4,0)</f>
        <v>CM06</v>
      </c>
      <c r="Q815" s="0" t="str">
        <f aca="false">VLOOKUP(F815,equipment!$A:$E,5,0)</f>
        <v>CM06 - 89</v>
      </c>
    </row>
    <row r="816" customFormat="false" ht="12.8" hidden="true" customHeight="false" outlineLevel="0" collapsed="false">
      <c r="A816" s="0" t="n">
        <v>466936</v>
      </c>
      <c r="B816" s="0" t="n">
        <v>466936</v>
      </c>
      <c r="C816" s="0" t="n">
        <v>1</v>
      </c>
      <c r="D816" s="0" t="n">
        <v>6</v>
      </c>
      <c r="E816" s="0" t="n">
        <v>2404</v>
      </c>
      <c r="F816" s="0" t="n">
        <v>89</v>
      </c>
      <c r="G816" s="0" t="n">
        <v>153</v>
      </c>
      <c r="H816" s="0" t="s">
        <v>1637</v>
      </c>
      <c r="I816" s="0" t="s">
        <v>1639</v>
      </c>
      <c r="J816" s="9" t="n">
        <v>45903</v>
      </c>
      <c r="K816" s="0" t="s">
        <v>1640</v>
      </c>
      <c r="L816" s="0" t="n">
        <v>17</v>
      </c>
      <c r="M816" s="10" t="n">
        <f aca="false">_xlfn.NUMBERVALUE("" &amp; K816 &amp; "",".",",")</f>
        <v>1.64583580333333</v>
      </c>
      <c r="N816" s="10"/>
      <c r="O816" s="0" t="str">
        <f aca="false">VLOOKUP(C816,statusdetails!$A:$D,4,0)</f>
        <v>READY</v>
      </c>
    </row>
    <row r="817" customFormat="false" ht="12.8" hidden="true" customHeight="false" outlineLevel="0" collapsed="false">
      <c r="A817" s="0" t="n">
        <v>466937</v>
      </c>
      <c r="B817" s="0" t="n">
        <v>466937</v>
      </c>
      <c r="C817" s="0" t="n">
        <v>2</v>
      </c>
      <c r="D817" s="0" t="n">
        <v>7</v>
      </c>
      <c r="E817" s="0" t="n">
        <v>2385</v>
      </c>
      <c r="F817" s="0" t="n">
        <v>82</v>
      </c>
      <c r="G817" s="0" t="n">
        <v>88</v>
      </c>
      <c r="H817" s="0" t="s">
        <v>1550</v>
      </c>
      <c r="I817" s="0" t="s">
        <v>1641</v>
      </c>
      <c r="J817" s="9" t="n">
        <v>45903</v>
      </c>
      <c r="K817" s="0" t="s">
        <v>1642</v>
      </c>
      <c r="L817" s="0" t="n">
        <v>17</v>
      </c>
      <c r="M817" s="3" t="n">
        <f aca="false">_xlfn.NUMBERVALUE("" &amp; K817 &amp; "",".",",")</f>
        <v>0.0654256547222222</v>
      </c>
      <c r="O817" s="0" t="str">
        <f aca="false">VLOOKUP(C817,statusdetails!$A:$D,4,0)</f>
        <v>DELAY</v>
      </c>
    </row>
    <row r="818" customFormat="false" ht="12.8" hidden="true" customHeight="false" outlineLevel="0" collapsed="false">
      <c r="A818" s="0" t="n">
        <v>466938</v>
      </c>
      <c r="B818" s="0" t="n">
        <v>466938</v>
      </c>
      <c r="C818" s="0" t="n">
        <v>1</v>
      </c>
      <c r="D818" s="0" t="n">
        <v>6</v>
      </c>
      <c r="E818" s="0" t="n">
        <v>2518</v>
      </c>
      <c r="F818" s="0" t="n">
        <v>82</v>
      </c>
      <c r="G818" s="0" t="n">
        <v>88</v>
      </c>
      <c r="H818" s="0" t="s">
        <v>1641</v>
      </c>
      <c r="I818" s="0" t="s">
        <v>1643</v>
      </c>
      <c r="J818" s="9" t="n">
        <v>45903</v>
      </c>
      <c r="K818" s="0" t="s">
        <v>1644</v>
      </c>
      <c r="L818" s="0" t="n">
        <v>17</v>
      </c>
      <c r="M818" s="10" t="n">
        <f aca="false">_xlfn.NUMBERVALUE("" &amp; K818 &amp; "",".",",")</f>
        <v>1.50673839222222</v>
      </c>
      <c r="N818" s="10"/>
      <c r="O818" s="0" t="str">
        <f aca="false">VLOOKUP(C818,statusdetails!$A:$D,4,0)</f>
        <v>READY</v>
      </c>
    </row>
    <row r="819" customFormat="false" ht="12.8" hidden="true" customHeight="false" outlineLevel="0" collapsed="false">
      <c r="A819" s="0" t="n">
        <v>466939</v>
      </c>
      <c r="B819" s="0" t="n">
        <v>466939</v>
      </c>
      <c r="C819" s="0" t="n">
        <v>1</v>
      </c>
      <c r="D819" s="0" t="n">
        <v>6</v>
      </c>
      <c r="E819" s="0" t="n">
        <v>2524</v>
      </c>
      <c r="F819" s="0" t="n">
        <v>49</v>
      </c>
      <c r="G819" s="0" t="n">
        <v>0</v>
      </c>
      <c r="H819" s="0" t="s">
        <v>1118</v>
      </c>
      <c r="I819" s="0" t="s">
        <v>1645</v>
      </c>
      <c r="J819" s="9" t="n">
        <v>45903</v>
      </c>
      <c r="K819" s="0" t="s">
        <v>1646</v>
      </c>
      <c r="L819" s="0" t="n">
        <v>17</v>
      </c>
      <c r="M819" s="10" t="n">
        <f aca="false">_xlfn.NUMBERVALUE("" &amp; K819 &amp; "",".",",")</f>
        <v>1.25962583083333</v>
      </c>
      <c r="N819" s="10"/>
      <c r="O819" s="0" t="str">
        <f aca="false">VLOOKUP(C819,statusdetails!$A:$D,4,0)</f>
        <v>READY</v>
      </c>
    </row>
    <row r="820" customFormat="false" ht="12.8" hidden="true" customHeight="false" outlineLevel="0" collapsed="false">
      <c r="A820" s="0" t="n">
        <v>466940</v>
      </c>
      <c r="B820" s="0" t="n">
        <v>466940</v>
      </c>
      <c r="C820" s="0" t="n">
        <v>4</v>
      </c>
      <c r="D820" s="0" t="n">
        <v>16</v>
      </c>
      <c r="E820" s="0" t="n">
        <v>368</v>
      </c>
      <c r="F820" s="0" t="n">
        <v>34</v>
      </c>
      <c r="G820" s="0" t="n">
        <v>47</v>
      </c>
      <c r="H820" s="0" t="s">
        <v>1605</v>
      </c>
      <c r="I820" s="0" t="s">
        <v>1647</v>
      </c>
      <c r="J820" s="9" t="n">
        <v>45903</v>
      </c>
      <c r="K820" s="0" t="s">
        <v>1648</v>
      </c>
      <c r="L820" s="0" t="n">
        <v>17</v>
      </c>
      <c r="M820" s="10" t="n">
        <f aca="false">_xlfn.NUMBERVALUE("" &amp; K820 &amp; "",".",",")</f>
        <v>1.62965654361111</v>
      </c>
      <c r="N820" s="10"/>
      <c r="O820" s="0" t="str">
        <f aca="false">VLOOKUP(C820,statusdetails!$A:$D,4,0)</f>
        <v>MAINT</v>
      </c>
    </row>
    <row r="821" customFormat="false" ht="12.8" hidden="true" customHeight="false" outlineLevel="0" collapsed="false">
      <c r="A821" s="0" t="n">
        <v>466941</v>
      </c>
      <c r="B821" s="0" t="n">
        <v>466941</v>
      </c>
      <c r="C821" s="0" t="n">
        <v>1</v>
      </c>
      <c r="D821" s="0" t="n">
        <v>2303</v>
      </c>
      <c r="E821" s="0" t="n">
        <v>969</v>
      </c>
      <c r="F821" s="0" t="n">
        <v>45</v>
      </c>
      <c r="G821" s="0" t="n">
        <v>0</v>
      </c>
      <c r="H821" s="0" t="s">
        <v>1598</v>
      </c>
      <c r="I821" s="0" t="s">
        <v>1649</v>
      </c>
      <c r="J821" s="9" t="n">
        <v>45903</v>
      </c>
      <c r="K821" s="0" t="s">
        <v>1650</v>
      </c>
      <c r="L821" s="0" t="n">
        <v>17</v>
      </c>
      <c r="M821" s="10" t="n">
        <f aca="false">_xlfn.NUMBERVALUE("" &amp; K821 &amp; "",".",",")</f>
        <v>0.931752766666667</v>
      </c>
      <c r="N821" s="10"/>
      <c r="O821" s="0" t="str">
        <f aca="false">VLOOKUP(C821,statusdetails!$A:$D,4,0)</f>
        <v>READY</v>
      </c>
    </row>
    <row r="822" customFormat="false" ht="12.8" hidden="true" customHeight="false" outlineLevel="0" collapsed="false">
      <c r="A822" s="0" t="n">
        <v>466942</v>
      </c>
      <c r="B822" s="0" t="n">
        <v>466942</v>
      </c>
      <c r="C822" s="0" t="n">
        <v>3</v>
      </c>
      <c r="D822" s="0" t="n">
        <v>12</v>
      </c>
      <c r="E822" s="0" t="n">
        <v>2504</v>
      </c>
      <c r="F822" s="0" t="n">
        <v>87</v>
      </c>
      <c r="G822" s="0" t="n">
        <v>154</v>
      </c>
      <c r="H822" s="0" t="s">
        <v>1592</v>
      </c>
      <c r="I822" s="0" t="s">
        <v>1651</v>
      </c>
      <c r="J822" s="9" t="n">
        <v>45903</v>
      </c>
      <c r="K822" s="0" t="s">
        <v>1652</v>
      </c>
      <c r="L822" s="0" t="n">
        <v>18</v>
      </c>
      <c r="M822" s="10" t="n">
        <f aca="false">_xlfn.NUMBERVALUE("" &amp; K822 &amp; "",".",",")</f>
        <v>0.747158008888889</v>
      </c>
      <c r="N822" s="10"/>
      <c r="O822" s="0" t="str">
        <f aca="false">VLOOKUP(C822,statusdetails!$A:$D,4,0)</f>
        <v>STANDBY</v>
      </c>
      <c r="P822" s="0" t="str">
        <f aca="false">VLOOKUP(F822,equipment!$A:$E,4,0)</f>
        <v>CM04</v>
      </c>
      <c r="Q822" s="0" t="str">
        <f aca="false">VLOOKUP(F822,equipment!$A:$E,5,0)</f>
        <v>CM04 - 87</v>
      </c>
    </row>
    <row r="823" customFormat="false" ht="12.8" hidden="true" customHeight="false" outlineLevel="0" collapsed="false">
      <c r="A823" s="0" t="n">
        <v>466944</v>
      </c>
      <c r="B823" s="0" t="n">
        <v>466944</v>
      </c>
      <c r="C823" s="0" t="n">
        <v>3</v>
      </c>
      <c r="D823" s="0" t="n">
        <v>12</v>
      </c>
      <c r="E823" s="0" t="n">
        <v>1012</v>
      </c>
      <c r="F823" s="0" t="n">
        <v>43</v>
      </c>
      <c r="G823" s="0" t="n">
        <v>36</v>
      </c>
      <c r="H823" s="0" t="s">
        <v>1624</v>
      </c>
      <c r="I823" s="0" t="s">
        <v>1653</v>
      </c>
      <c r="J823" s="9" t="n">
        <v>45903</v>
      </c>
      <c r="K823" s="0" t="s">
        <v>1654</v>
      </c>
      <c r="L823" s="0" t="n">
        <v>18</v>
      </c>
      <c r="M823" s="10" t="n">
        <f aca="false">_xlfn.NUMBERVALUE("" &amp; K823 &amp; "",".",",")</f>
        <v>21.2296047616667</v>
      </c>
      <c r="N823" s="10"/>
      <c r="O823" s="0" t="str">
        <f aca="false">VLOOKUP(C823,statusdetails!$A:$D,4,0)</f>
        <v>STANDBY</v>
      </c>
      <c r="P823" s="0" t="str">
        <f aca="false">VLOOKUP(F823,equipment!$A:$E,4,0)</f>
        <v>PE302</v>
      </c>
      <c r="Q823" s="0" t="str">
        <f aca="false">VLOOKUP(F823,equipment!$A:$E,5,0)</f>
        <v>PE302 - 43</v>
      </c>
    </row>
    <row r="824" customFormat="false" ht="12.8" hidden="true" customHeight="false" outlineLevel="0" collapsed="false">
      <c r="A824" s="0" t="n">
        <v>466946</v>
      </c>
      <c r="B824" s="0" t="n">
        <v>466945</v>
      </c>
      <c r="C824" s="0" t="n">
        <v>3</v>
      </c>
      <c r="D824" s="0" t="n">
        <v>12</v>
      </c>
      <c r="E824" s="0" t="n">
        <v>2453</v>
      </c>
      <c r="F824" s="0" t="n">
        <v>60</v>
      </c>
      <c r="G824" s="0" t="n">
        <v>163</v>
      </c>
      <c r="H824" s="11" t="n">
        <v>45903.5756597222</v>
      </c>
      <c r="I824" s="11" t="n">
        <v>45904.2934722222</v>
      </c>
      <c r="J824" s="9" t="n">
        <v>45903</v>
      </c>
      <c r="K824" s="0" t="s">
        <v>1655</v>
      </c>
      <c r="L824" s="0" t="n">
        <v>13</v>
      </c>
      <c r="M824" s="10" t="n">
        <f aca="false">_xlfn.NUMBERVALUE("" &amp; K824 &amp; "",".",",")</f>
        <v>17.2275</v>
      </c>
      <c r="N824" s="10"/>
      <c r="O824" s="0" t="str">
        <f aca="false">VLOOKUP(C824,statusdetails!$A:$D,4,0)</f>
        <v>STANDBY</v>
      </c>
      <c r="P824" s="0" t="str">
        <f aca="false">VLOOKUP(F824,equipment!$A:$E,4,0)</f>
        <v>EX802</v>
      </c>
      <c r="Q824" s="0" t="str">
        <f aca="false">VLOOKUP(F824,equipment!$A:$E,5,0)</f>
        <v>EX802 - 60</v>
      </c>
    </row>
    <row r="825" customFormat="false" ht="12.8" hidden="true" customHeight="false" outlineLevel="0" collapsed="false">
      <c r="A825" s="0" t="n">
        <v>466947</v>
      </c>
      <c r="B825" s="0" t="n">
        <v>466947</v>
      </c>
      <c r="C825" s="0" t="n">
        <v>1</v>
      </c>
      <c r="D825" s="0" t="n">
        <v>6</v>
      </c>
      <c r="E825" s="0" t="n">
        <v>2404</v>
      </c>
      <c r="F825" s="0" t="n">
        <v>87</v>
      </c>
      <c r="G825" s="0" t="n">
        <v>154</v>
      </c>
      <c r="H825" s="0" t="s">
        <v>1651</v>
      </c>
      <c r="I825" s="0" t="s">
        <v>1656</v>
      </c>
      <c r="J825" s="9" t="n">
        <v>45903</v>
      </c>
      <c r="K825" s="0" t="s">
        <v>1657</v>
      </c>
      <c r="L825" s="0" t="n">
        <v>18</v>
      </c>
      <c r="M825" s="10" t="n">
        <f aca="false">_xlfn.NUMBERVALUE("" &amp; K825 &amp; "",".",",")</f>
        <v>0.108035955277778</v>
      </c>
      <c r="N825" s="10"/>
      <c r="O825" s="0" t="str">
        <f aca="false">VLOOKUP(C825,statusdetails!$A:$D,4,0)</f>
        <v>READY</v>
      </c>
    </row>
    <row r="826" customFormat="false" ht="12.8" hidden="true" customHeight="false" outlineLevel="0" collapsed="false">
      <c r="A826" s="0" t="n">
        <v>466948</v>
      </c>
      <c r="B826" s="0" t="n">
        <v>466948</v>
      </c>
      <c r="C826" s="0" t="n">
        <v>1</v>
      </c>
      <c r="D826" s="0" t="n">
        <v>6</v>
      </c>
      <c r="E826" s="0" t="n">
        <v>2404</v>
      </c>
      <c r="F826" s="0" t="n">
        <v>89</v>
      </c>
      <c r="G826" s="0" t="n">
        <v>153</v>
      </c>
      <c r="H826" s="0" t="s">
        <v>1639</v>
      </c>
      <c r="I826" s="0" t="s">
        <v>1658</v>
      </c>
      <c r="J826" s="9" t="n">
        <v>45903</v>
      </c>
      <c r="K826" s="0" t="s">
        <v>1659</v>
      </c>
      <c r="L826" s="0" t="n">
        <v>18</v>
      </c>
      <c r="M826" s="10" t="n">
        <f aca="false">_xlfn.NUMBERVALUE("" &amp; K826 &amp; "",".",",")</f>
        <v>0.114047380277778</v>
      </c>
      <c r="N826" s="10"/>
      <c r="O826" s="0" t="str">
        <f aca="false">VLOOKUP(C826,statusdetails!$A:$D,4,0)</f>
        <v>READY</v>
      </c>
    </row>
    <row r="827" customFormat="false" ht="12.8" hidden="true" customHeight="false" outlineLevel="0" collapsed="false">
      <c r="A827" s="0" t="n">
        <v>466949</v>
      </c>
      <c r="B827" s="0" t="n">
        <v>466949</v>
      </c>
      <c r="C827" s="0" t="n">
        <v>3</v>
      </c>
      <c r="D827" s="0" t="n">
        <v>14</v>
      </c>
      <c r="E827" s="0" t="n">
        <v>2392</v>
      </c>
      <c r="F827" s="0" t="n">
        <v>82</v>
      </c>
      <c r="G827" s="0" t="n">
        <v>88</v>
      </c>
      <c r="H827" s="0" t="s">
        <v>1643</v>
      </c>
      <c r="I827" s="11" t="n">
        <v>45903.7920949074</v>
      </c>
      <c r="J827" s="9" t="n">
        <v>45903</v>
      </c>
      <c r="K827" s="0" t="s">
        <v>1660</v>
      </c>
      <c r="L827" s="0" t="n">
        <v>18</v>
      </c>
      <c r="M827" s="10" t="n">
        <f aca="false">_xlfn.NUMBERVALUE("" &amp; K827 &amp; "",".",",")</f>
        <v>0.134146944444444</v>
      </c>
      <c r="N827" s="10"/>
      <c r="O827" s="0" t="str">
        <f aca="false">VLOOKUP(C827,statusdetails!$A:$D,4,0)</f>
        <v>STANDBY</v>
      </c>
      <c r="P827" s="0" t="str">
        <f aca="false">VLOOKUP(F827,equipment!$A:$E,4,0)</f>
        <v>EX502</v>
      </c>
      <c r="Q827" s="0" t="str">
        <f aca="false">VLOOKUP(F827,equipment!$A:$E,5,0)</f>
        <v>EX502 - 82</v>
      </c>
    </row>
    <row r="828" customFormat="false" ht="12.8" hidden="true" customHeight="false" outlineLevel="0" collapsed="false">
      <c r="A828" s="0" t="n">
        <v>466950</v>
      </c>
      <c r="B828" s="0" t="n">
        <v>466950</v>
      </c>
      <c r="C828" s="0" t="n">
        <v>3</v>
      </c>
      <c r="D828" s="0" t="n">
        <v>14</v>
      </c>
      <c r="E828" s="0" t="n">
        <v>1789</v>
      </c>
      <c r="F828" s="0" t="n">
        <v>33</v>
      </c>
      <c r="G828" s="0" t="n">
        <v>98</v>
      </c>
      <c r="H828" s="0" t="s">
        <v>1618</v>
      </c>
      <c r="I828" s="0" t="s">
        <v>1661</v>
      </c>
      <c r="J828" s="9" t="n">
        <v>45903</v>
      </c>
      <c r="K828" s="0" t="s">
        <v>1662</v>
      </c>
      <c r="L828" s="0" t="n">
        <v>18</v>
      </c>
      <c r="M828" s="10" t="n">
        <f aca="false">_xlfn.NUMBERVALUE("" &amp; K828 &amp; "",".",",")</f>
        <v>0.150207405277778</v>
      </c>
      <c r="N828" s="10"/>
      <c r="O828" s="0" t="str">
        <f aca="false">VLOOKUP(C828,statusdetails!$A:$D,4,0)</f>
        <v>STANDBY</v>
      </c>
      <c r="P828" s="0" t="str">
        <f aca="false">VLOOKUP(F828,equipment!$A:$E,4,0)</f>
        <v>CM406</v>
      </c>
      <c r="Q828" s="0" t="str">
        <f aca="false">VLOOKUP(F828,equipment!$A:$E,5,0)</f>
        <v>CM406 - 33</v>
      </c>
    </row>
    <row r="829" customFormat="false" ht="12.8" hidden="true" customHeight="false" outlineLevel="0" collapsed="false">
      <c r="A829" s="0" t="n">
        <v>466951</v>
      </c>
      <c r="B829" s="0" t="n">
        <v>466951</v>
      </c>
      <c r="C829" s="0" t="n">
        <v>3</v>
      </c>
      <c r="D829" s="0" t="n">
        <v>14</v>
      </c>
      <c r="E829" s="0" t="n">
        <v>2082</v>
      </c>
      <c r="F829" s="0" t="n">
        <v>49</v>
      </c>
      <c r="G829" s="0" t="n">
        <v>0</v>
      </c>
      <c r="H829" s="0" t="s">
        <v>1645</v>
      </c>
      <c r="I829" s="0" t="s">
        <v>1663</v>
      </c>
      <c r="J829" s="9" t="n">
        <v>45903</v>
      </c>
      <c r="K829" s="0" t="s">
        <v>1664</v>
      </c>
      <c r="L829" s="0" t="n">
        <v>18</v>
      </c>
      <c r="M829" s="10" t="n">
        <f aca="false">_xlfn.NUMBERVALUE("" &amp; K829 &amp; "",".",",")</f>
        <v>1.69349127166667</v>
      </c>
      <c r="N829" s="10"/>
      <c r="O829" s="0" t="str">
        <f aca="false">VLOOKUP(C829,statusdetails!$A:$D,4,0)</f>
        <v>STANDBY</v>
      </c>
      <c r="P829" s="0" t="str">
        <f aca="false">VLOOKUP(F829,equipment!$A:$E,4,0)</f>
        <v>CR702</v>
      </c>
      <c r="Q829" s="0" t="str">
        <f aca="false">VLOOKUP(F829,equipment!$A:$E,5,0)</f>
        <v>CR702 - 49</v>
      </c>
    </row>
    <row r="830" customFormat="false" ht="12.8" hidden="true" customHeight="false" outlineLevel="0" collapsed="false">
      <c r="A830" s="0" t="n">
        <v>466953</v>
      </c>
      <c r="B830" s="0" t="n">
        <v>466953</v>
      </c>
      <c r="C830" s="0" t="n">
        <v>3</v>
      </c>
      <c r="D830" s="0" t="n">
        <v>14</v>
      </c>
      <c r="E830" s="0" t="n">
        <v>1790</v>
      </c>
      <c r="F830" s="0" t="n">
        <v>45</v>
      </c>
      <c r="G830" s="0" t="n">
        <v>156</v>
      </c>
      <c r="H830" s="0" t="s">
        <v>1649</v>
      </c>
      <c r="I830" s="0" t="s">
        <v>1665</v>
      </c>
      <c r="J830" s="9" t="n">
        <v>45903</v>
      </c>
      <c r="K830" s="0" t="s">
        <v>1666</v>
      </c>
      <c r="L830" s="0" t="n">
        <v>18</v>
      </c>
      <c r="M830" s="10" t="n">
        <f aca="false">_xlfn.NUMBERVALUE("" &amp; K830 &amp; "",".",",")</f>
        <v>0.252800811388889</v>
      </c>
      <c r="N830" s="10"/>
      <c r="O830" s="0" t="str">
        <f aca="false">VLOOKUP(C830,statusdetails!$A:$D,4,0)</f>
        <v>STANDBY</v>
      </c>
      <c r="P830" s="0" t="str">
        <f aca="false">VLOOKUP(F830,equipment!$A:$E,4,0)</f>
        <v>EX501</v>
      </c>
      <c r="Q830" s="0" t="str">
        <f aca="false">VLOOKUP(F830,equipment!$A:$E,5,0)</f>
        <v>EX501 - 45</v>
      </c>
    </row>
    <row r="831" customFormat="false" ht="12.8" hidden="true" customHeight="false" outlineLevel="0" collapsed="false">
      <c r="A831" s="0" t="n">
        <v>466954</v>
      </c>
      <c r="B831" s="0" t="n">
        <v>466954</v>
      </c>
      <c r="C831" s="0" t="n">
        <v>3</v>
      </c>
      <c r="D831" s="0" t="n">
        <v>14</v>
      </c>
      <c r="E831" s="0" t="n">
        <v>1785</v>
      </c>
      <c r="F831" s="0" t="n">
        <v>37</v>
      </c>
      <c r="G831" s="0" t="n">
        <v>44</v>
      </c>
      <c r="H831" s="0" t="s">
        <v>1568</v>
      </c>
      <c r="I831" s="0" t="s">
        <v>1667</v>
      </c>
      <c r="J831" s="9" t="n">
        <v>45903</v>
      </c>
      <c r="K831" s="0" t="s">
        <v>1668</v>
      </c>
      <c r="L831" s="0" t="n">
        <v>18</v>
      </c>
      <c r="M831" s="10" t="n">
        <f aca="false">_xlfn.NUMBERVALUE("" &amp; K831 &amp; "",".",",")</f>
        <v>0.522311559444444</v>
      </c>
      <c r="N831" s="10"/>
      <c r="O831" s="0" t="str">
        <f aca="false">VLOOKUP(C831,statusdetails!$A:$D,4,0)</f>
        <v>STANDBY</v>
      </c>
      <c r="P831" s="0" t="str">
        <f aca="false">VLOOKUP(F831,equipment!$A:$E,4,0)</f>
        <v>DZ201</v>
      </c>
      <c r="Q831" s="0" t="str">
        <f aca="false">VLOOKUP(F831,equipment!$A:$E,5,0)</f>
        <v>DZ201 - 37</v>
      </c>
    </row>
    <row r="832" customFormat="false" ht="12.8" hidden="true" customHeight="false" outlineLevel="0" collapsed="false">
      <c r="A832" s="0" t="n">
        <v>466955</v>
      </c>
      <c r="B832" s="0" t="n">
        <v>466955</v>
      </c>
      <c r="C832" s="0" t="n">
        <v>3</v>
      </c>
      <c r="D832" s="0" t="n">
        <v>14</v>
      </c>
      <c r="E832" s="0" t="n">
        <v>2392</v>
      </c>
      <c r="F832" s="0" t="n">
        <v>96</v>
      </c>
      <c r="G832" s="0" t="n">
        <v>109</v>
      </c>
      <c r="H832" s="0" t="s">
        <v>1626</v>
      </c>
      <c r="I832" s="0" t="s">
        <v>1669</v>
      </c>
      <c r="J832" s="9" t="n">
        <v>45903</v>
      </c>
      <c r="K832" s="0" t="s">
        <v>1670</v>
      </c>
      <c r="L832" s="0" t="n">
        <v>18</v>
      </c>
      <c r="M832" s="10" t="n">
        <f aca="false">_xlfn.NUMBERVALUE("" &amp; K832 &amp; "",".",",")</f>
        <v>0.127904445555556</v>
      </c>
      <c r="N832" s="10"/>
      <c r="O832" s="0" t="str">
        <f aca="false">VLOOKUP(C832,statusdetails!$A:$D,4,0)</f>
        <v>STANDBY</v>
      </c>
      <c r="P832" s="0" t="str">
        <f aca="false">VLOOKUP(F832,equipment!$A:$E,4,0)</f>
        <v>EX503</v>
      </c>
      <c r="Q832" s="0" t="str">
        <f aca="false">VLOOKUP(F832,equipment!$A:$E,5,0)</f>
        <v>EX503 - 96</v>
      </c>
    </row>
    <row r="833" customFormat="false" ht="12.8" hidden="true" customHeight="false" outlineLevel="0" collapsed="false">
      <c r="A833" s="0" t="n">
        <v>466956</v>
      </c>
      <c r="B833" s="0" t="n">
        <v>466956</v>
      </c>
      <c r="C833" s="0" t="n">
        <v>3</v>
      </c>
      <c r="D833" s="0" t="n">
        <v>14</v>
      </c>
      <c r="E833" s="0" t="n">
        <v>2406</v>
      </c>
      <c r="F833" s="0" t="n">
        <v>88</v>
      </c>
      <c r="G833" s="0" t="n">
        <v>151</v>
      </c>
      <c r="H833" s="0" t="s">
        <v>1632</v>
      </c>
      <c r="I833" s="0" t="s">
        <v>1671</v>
      </c>
      <c r="J833" s="9" t="n">
        <v>45903</v>
      </c>
      <c r="K833" s="0" t="s">
        <v>1672</v>
      </c>
      <c r="L833" s="0" t="n">
        <v>18</v>
      </c>
      <c r="M833" s="10" t="n">
        <f aca="false">_xlfn.NUMBERVALUE("" &amp; K833 &amp; "",".",",")</f>
        <v>0.136512836111111</v>
      </c>
      <c r="N833" s="10"/>
      <c r="O833" s="0" t="str">
        <f aca="false">VLOOKUP(C833,statusdetails!$A:$D,4,0)</f>
        <v>STANDBY</v>
      </c>
      <c r="P833" s="0" t="str">
        <f aca="false">VLOOKUP(F833,equipment!$A:$E,4,0)</f>
        <v>CM05</v>
      </c>
      <c r="Q833" s="0" t="str">
        <f aca="false">VLOOKUP(F833,equipment!$A:$E,5,0)</f>
        <v>CM05 - 88</v>
      </c>
    </row>
    <row r="834" customFormat="false" ht="12.8" hidden="true" customHeight="false" outlineLevel="0" collapsed="false">
      <c r="A834" s="0" t="n">
        <v>466957</v>
      </c>
      <c r="B834" s="0" t="n">
        <v>466957</v>
      </c>
      <c r="C834" s="0" t="n">
        <v>3</v>
      </c>
      <c r="D834" s="0" t="n">
        <v>14</v>
      </c>
      <c r="E834" s="0" t="n">
        <v>2406</v>
      </c>
      <c r="F834" s="0" t="n">
        <v>86</v>
      </c>
      <c r="G834" s="0" t="n">
        <v>155</v>
      </c>
      <c r="H834" s="0" t="s">
        <v>1611</v>
      </c>
      <c r="I834" s="0" t="s">
        <v>1673</v>
      </c>
      <c r="J834" s="9" t="n">
        <v>45903</v>
      </c>
      <c r="K834" s="0" t="s">
        <v>1674</v>
      </c>
      <c r="L834" s="0" t="n">
        <v>18</v>
      </c>
      <c r="M834" s="10" t="n">
        <f aca="false">_xlfn.NUMBERVALUE("" &amp; K834 &amp; "",".",",")</f>
        <v>0.100778373055556</v>
      </c>
      <c r="N834" s="10"/>
      <c r="O834" s="0" t="str">
        <f aca="false">VLOOKUP(C834,statusdetails!$A:$D,4,0)</f>
        <v>STANDBY</v>
      </c>
      <c r="P834" s="0" t="str">
        <f aca="false">VLOOKUP(F834,equipment!$A:$E,4,0)</f>
        <v>CM03</v>
      </c>
      <c r="Q834" s="0" t="str">
        <f aca="false">VLOOKUP(F834,equipment!$A:$E,5,0)</f>
        <v>CM03 - 86</v>
      </c>
    </row>
    <row r="835" customFormat="false" ht="12.8" hidden="true" customHeight="false" outlineLevel="0" collapsed="false">
      <c r="A835" s="0" t="n">
        <v>466958</v>
      </c>
      <c r="B835" s="0" t="n">
        <v>466958</v>
      </c>
      <c r="C835" s="0" t="n">
        <v>3</v>
      </c>
      <c r="D835" s="0" t="n">
        <v>14</v>
      </c>
      <c r="E835" s="0" t="n">
        <v>2406</v>
      </c>
      <c r="F835" s="0" t="n">
        <v>87</v>
      </c>
      <c r="G835" s="0" t="n">
        <v>47</v>
      </c>
      <c r="H835" s="0" t="s">
        <v>1656</v>
      </c>
      <c r="I835" s="0" t="s">
        <v>1675</v>
      </c>
      <c r="J835" s="9" t="n">
        <v>45903</v>
      </c>
      <c r="K835" s="0" t="s">
        <v>1676</v>
      </c>
      <c r="L835" s="0" t="n">
        <v>18</v>
      </c>
      <c r="M835" s="10" t="n">
        <f aca="false">_xlfn.NUMBERVALUE("" &amp; K835 &amp; "",".",",")</f>
        <v>0.151217808611111</v>
      </c>
      <c r="N835" s="10"/>
      <c r="O835" s="0" t="str">
        <f aca="false">VLOOKUP(C835,statusdetails!$A:$D,4,0)</f>
        <v>STANDBY</v>
      </c>
      <c r="P835" s="0" t="str">
        <f aca="false">VLOOKUP(F835,equipment!$A:$E,4,0)</f>
        <v>CM04</v>
      </c>
      <c r="Q835" s="0" t="str">
        <f aca="false">VLOOKUP(F835,equipment!$A:$E,5,0)</f>
        <v>CM04 - 87</v>
      </c>
    </row>
    <row r="836" customFormat="false" ht="12.8" hidden="true" customHeight="false" outlineLevel="0" collapsed="false">
      <c r="A836" s="0" t="n">
        <v>466959</v>
      </c>
      <c r="B836" s="0" t="n">
        <v>466959</v>
      </c>
      <c r="C836" s="0" t="n">
        <v>3</v>
      </c>
      <c r="D836" s="0" t="n">
        <v>14</v>
      </c>
      <c r="E836" s="0" t="n">
        <v>1789</v>
      </c>
      <c r="F836" s="0" t="n">
        <v>66</v>
      </c>
      <c r="G836" s="0" t="n">
        <v>15</v>
      </c>
      <c r="H836" s="0" t="s">
        <v>1586</v>
      </c>
      <c r="I836" s="0" t="s">
        <v>1677</v>
      </c>
      <c r="J836" s="9" t="n">
        <v>45903</v>
      </c>
      <c r="K836" s="0" t="s">
        <v>1678</v>
      </c>
      <c r="L836" s="0" t="n">
        <v>18</v>
      </c>
      <c r="M836" s="10" t="n">
        <f aca="false">_xlfn.NUMBERVALUE("" &amp; K836 &amp; "",".",",")</f>
        <v>0.114629351111111</v>
      </c>
      <c r="N836" s="10"/>
      <c r="O836" s="0" t="str">
        <f aca="false">VLOOKUP(C836,statusdetails!$A:$D,4,0)</f>
        <v>STANDBY</v>
      </c>
      <c r="P836" s="0" t="str">
        <f aca="false">VLOOKUP(F836,equipment!$A:$E,4,0)</f>
        <v>CM407</v>
      </c>
      <c r="Q836" s="0" t="str">
        <f aca="false">VLOOKUP(F836,equipment!$A:$E,5,0)</f>
        <v>CM407 - 66</v>
      </c>
    </row>
    <row r="837" customFormat="false" ht="12.8" hidden="true" customHeight="false" outlineLevel="0" collapsed="false">
      <c r="A837" s="0" t="n">
        <v>466960</v>
      </c>
      <c r="B837" s="0" t="n">
        <v>466960</v>
      </c>
      <c r="C837" s="0" t="n">
        <v>3</v>
      </c>
      <c r="D837" s="0" t="n">
        <v>14</v>
      </c>
      <c r="E837" s="0" t="n">
        <v>1789</v>
      </c>
      <c r="F837" s="0" t="n">
        <v>35</v>
      </c>
      <c r="G837" s="0" t="n">
        <v>23</v>
      </c>
      <c r="H837" s="0" t="s">
        <v>1594</v>
      </c>
      <c r="I837" s="0" t="s">
        <v>1679</v>
      </c>
      <c r="J837" s="9" t="n">
        <v>45903</v>
      </c>
      <c r="K837" s="0" t="s">
        <v>1680</v>
      </c>
      <c r="L837" s="0" t="n">
        <v>18</v>
      </c>
      <c r="M837" s="10" t="n">
        <f aca="false">_xlfn.NUMBERVALUE("" &amp; K837 &amp; "",".",",")</f>
        <v>0.0641675741666667</v>
      </c>
      <c r="N837" s="10"/>
      <c r="O837" s="0" t="str">
        <f aca="false">VLOOKUP(C837,statusdetails!$A:$D,4,0)</f>
        <v>STANDBY</v>
      </c>
      <c r="P837" s="0" t="str">
        <f aca="false">VLOOKUP(F837,equipment!$A:$E,4,0)</f>
        <v>CM405</v>
      </c>
      <c r="Q837" s="0" t="str">
        <f aca="false">VLOOKUP(F837,equipment!$A:$E,5,0)</f>
        <v>CM405 - 35</v>
      </c>
    </row>
    <row r="838" customFormat="false" ht="12.8" hidden="true" customHeight="false" outlineLevel="0" collapsed="false">
      <c r="A838" s="0" t="n">
        <v>466961</v>
      </c>
      <c r="B838" s="0" t="n">
        <v>466961</v>
      </c>
      <c r="C838" s="0" t="n">
        <v>3</v>
      </c>
      <c r="D838" s="0" t="n">
        <v>14</v>
      </c>
      <c r="E838" s="0" t="n">
        <v>2406</v>
      </c>
      <c r="F838" s="0" t="n">
        <v>84</v>
      </c>
      <c r="G838" s="0" t="n">
        <v>152</v>
      </c>
      <c r="H838" s="0" t="s">
        <v>1615</v>
      </c>
      <c r="I838" s="0" t="s">
        <v>1681</v>
      </c>
      <c r="J838" s="9" t="n">
        <v>45903</v>
      </c>
      <c r="K838" s="0" t="s">
        <v>1682</v>
      </c>
      <c r="L838" s="0" t="n">
        <v>18</v>
      </c>
      <c r="M838" s="10" t="n">
        <f aca="false">_xlfn.NUMBERVALUE("" &amp; K838 &amp; "",".",",")</f>
        <v>0.1549513425</v>
      </c>
      <c r="N838" s="10"/>
      <c r="O838" s="0" t="str">
        <f aca="false">VLOOKUP(C838,statusdetails!$A:$D,4,0)</f>
        <v>STANDBY</v>
      </c>
      <c r="P838" s="0" t="str">
        <f aca="false">VLOOKUP(F838,equipment!$A:$E,4,0)</f>
        <v>CM01</v>
      </c>
      <c r="Q838" s="0" t="str">
        <f aca="false">VLOOKUP(F838,equipment!$A:$E,5,0)</f>
        <v>CM01 - 84</v>
      </c>
    </row>
    <row r="839" customFormat="false" ht="12.8" hidden="true" customHeight="false" outlineLevel="0" collapsed="false">
      <c r="A839" s="0" t="n">
        <v>466962</v>
      </c>
      <c r="B839" s="0" t="n">
        <v>466962</v>
      </c>
      <c r="C839" s="0" t="n">
        <v>3</v>
      </c>
      <c r="D839" s="0" t="n">
        <v>14</v>
      </c>
      <c r="E839" s="0" t="n">
        <v>2083</v>
      </c>
      <c r="F839" s="0" t="n">
        <v>42</v>
      </c>
      <c r="G839" s="0" t="n">
        <v>83</v>
      </c>
      <c r="H839" s="0" t="s">
        <v>1576</v>
      </c>
      <c r="I839" s="0" t="s">
        <v>1683</v>
      </c>
      <c r="J839" s="9" t="n">
        <v>45903</v>
      </c>
      <c r="K839" s="0" t="s">
        <v>1684</v>
      </c>
      <c r="L839" s="0" t="n">
        <v>18</v>
      </c>
      <c r="M839" s="10" t="n">
        <f aca="false">_xlfn.NUMBERVALUE("" &amp; K839 &amp; "",".",",")</f>
        <v>0.25082</v>
      </c>
      <c r="N839" s="10"/>
      <c r="O839" s="0" t="str">
        <f aca="false">VLOOKUP(C839,statusdetails!$A:$D,4,0)</f>
        <v>STANDBY</v>
      </c>
      <c r="P839" s="0" t="str">
        <f aca="false">VLOOKUP(F839,equipment!$A:$E,4,0)</f>
        <v>PE301</v>
      </c>
      <c r="Q839" s="0" t="str">
        <f aca="false">VLOOKUP(F839,equipment!$A:$E,5,0)</f>
        <v>PE301 - 42</v>
      </c>
    </row>
    <row r="840" customFormat="false" ht="12.8" hidden="true" customHeight="false" outlineLevel="0" collapsed="false">
      <c r="A840" s="0" t="n">
        <v>466963</v>
      </c>
      <c r="B840" s="0" t="n">
        <v>466963</v>
      </c>
      <c r="C840" s="0" t="n">
        <v>3</v>
      </c>
      <c r="D840" s="0" t="n">
        <v>14</v>
      </c>
      <c r="E840" s="0" t="n">
        <v>2406</v>
      </c>
      <c r="F840" s="0" t="n">
        <v>89</v>
      </c>
      <c r="G840" s="0" t="n">
        <v>153</v>
      </c>
      <c r="H840" s="0" t="s">
        <v>1658</v>
      </c>
      <c r="I840" s="0" t="s">
        <v>1685</v>
      </c>
      <c r="J840" s="9" t="n">
        <v>45903</v>
      </c>
      <c r="K840" s="0" t="s">
        <v>1686</v>
      </c>
      <c r="L840" s="0" t="n">
        <v>18</v>
      </c>
      <c r="M840" s="10" t="n">
        <f aca="false">_xlfn.NUMBERVALUE("" &amp; K840 &amp; "",".",",")</f>
        <v>0.139967530555556</v>
      </c>
      <c r="N840" s="10"/>
      <c r="O840" s="0" t="str">
        <f aca="false">VLOOKUP(C840,statusdetails!$A:$D,4,0)</f>
        <v>STANDBY</v>
      </c>
      <c r="P840" s="0" t="str">
        <f aca="false">VLOOKUP(F840,equipment!$A:$E,4,0)</f>
        <v>CM06</v>
      </c>
      <c r="Q840" s="0" t="str">
        <f aca="false">VLOOKUP(F840,equipment!$A:$E,5,0)</f>
        <v>CM06 - 89</v>
      </c>
    </row>
    <row r="841" customFormat="false" ht="12.8" hidden="true" customHeight="false" outlineLevel="0" collapsed="false">
      <c r="A841" s="0" t="n">
        <v>466964</v>
      </c>
      <c r="B841" s="0" t="n">
        <v>466964</v>
      </c>
      <c r="C841" s="0" t="n">
        <v>1</v>
      </c>
      <c r="D841" s="0" t="n">
        <v>6</v>
      </c>
      <c r="E841" s="0" t="n">
        <v>260</v>
      </c>
      <c r="F841" s="0" t="n">
        <v>35</v>
      </c>
      <c r="G841" s="0" t="n">
        <v>62</v>
      </c>
      <c r="H841" s="0" t="s">
        <v>1679</v>
      </c>
      <c r="I841" s="0" t="s">
        <v>1687</v>
      </c>
      <c r="J841" s="9" t="n">
        <v>45903</v>
      </c>
      <c r="K841" s="0" t="s">
        <v>1688</v>
      </c>
      <c r="L841" s="0" t="n">
        <v>19</v>
      </c>
      <c r="M841" s="10" t="n">
        <f aca="false">_xlfn.NUMBERVALUE("" &amp; K841 &amp; "",".",",")</f>
        <v>1.56304575555556</v>
      </c>
      <c r="N841" s="10"/>
      <c r="O841" s="0" t="str">
        <f aca="false">VLOOKUP(C841,statusdetails!$A:$D,4,0)</f>
        <v>READY</v>
      </c>
    </row>
    <row r="842" customFormat="false" ht="12.8" hidden="true" customHeight="false" outlineLevel="0" collapsed="false">
      <c r="A842" s="0" t="n">
        <v>466966</v>
      </c>
      <c r="B842" s="0" t="n">
        <v>466966</v>
      </c>
      <c r="C842" s="0" t="n">
        <v>1</v>
      </c>
      <c r="D842" s="0" t="n">
        <v>6</v>
      </c>
      <c r="E842" s="0" t="n">
        <v>2404</v>
      </c>
      <c r="F842" s="0" t="n">
        <v>86</v>
      </c>
      <c r="G842" s="0" t="n">
        <v>149</v>
      </c>
      <c r="H842" s="0" t="s">
        <v>1673</v>
      </c>
      <c r="I842" s="0" t="s">
        <v>1689</v>
      </c>
      <c r="J842" s="9" t="n">
        <v>45903</v>
      </c>
      <c r="K842" s="0" t="s">
        <v>1690</v>
      </c>
      <c r="L842" s="0" t="n">
        <v>19</v>
      </c>
      <c r="M842" s="10" t="n">
        <f aca="false">_xlfn.NUMBERVALUE("" &amp; K842 &amp; "",".",",")</f>
        <v>1.11918473277778</v>
      </c>
      <c r="N842" s="10"/>
      <c r="O842" s="0" t="str">
        <f aca="false">VLOOKUP(C842,statusdetails!$A:$D,4,0)</f>
        <v>READY</v>
      </c>
    </row>
    <row r="843" customFormat="false" ht="12.8" hidden="true" customHeight="false" outlineLevel="0" collapsed="false">
      <c r="A843" s="0" t="n">
        <v>466967</v>
      </c>
      <c r="B843" s="0" t="n">
        <v>466967</v>
      </c>
      <c r="C843" s="0" t="n">
        <v>1</v>
      </c>
      <c r="D843" s="0" t="n">
        <v>6</v>
      </c>
      <c r="E843" s="0" t="n">
        <v>260</v>
      </c>
      <c r="F843" s="0" t="n">
        <v>33</v>
      </c>
      <c r="G843" s="0" t="n">
        <v>98</v>
      </c>
      <c r="H843" s="0" t="s">
        <v>1661</v>
      </c>
      <c r="I843" s="0" t="s">
        <v>1691</v>
      </c>
      <c r="J843" s="9" t="n">
        <v>45903</v>
      </c>
      <c r="K843" s="0" t="s">
        <v>1692</v>
      </c>
      <c r="L843" s="0" t="n">
        <v>19</v>
      </c>
      <c r="M843" s="10" t="n">
        <f aca="false">_xlfn.NUMBERVALUE("" &amp; K843 &amp; "",".",",")</f>
        <v>1.02488974416667</v>
      </c>
      <c r="N843" s="10"/>
      <c r="O843" s="0" t="str">
        <f aca="false">VLOOKUP(C843,statusdetails!$A:$D,4,0)</f>
        <v>READY</v>
      </c>
    </row>
    <row r="844" customFormat="false" ht="12.8" hidden="true" customHeight="false" outlineLevel="0" collapsed="false">
      <c r="A844" s="0" t="n">
        <v>466968</v>
      </c>
      <c r="B844" s="0" t="n">
        <v>466968</v>
      </c>
      <c r="C844" s="0" t="n">
        <v>1</v>
      </c>
      <c r="D844" s="0" t="n">
        <v>6</v>
      </c>
      <c r="E844" s="0" t="n">
        <v>260</v>
      </c>
      <c r="F844" s="0" t="n">
        <v>66</v>
      </c>
      <c r="G844" s="0" t="n">
        <v>15</v>
      </c>
      <c r="H844" s="0" t="s">
        <v>1677</v>
      </c>
      <c r="I844" s="0" t="s">
        <v>1693</v>
      </c>
      <c r="J844" s="9" t="n">
        <v>45903</v>
      </c>
      <c r="K844" s="0" t="s">
        <v>1694</v>
      </c>
      <c r="L844" s="0" t="n">
        <v>19</v>
      </c>
      <c r="M844" s="10" t="n">
        <f aca="false">_xlfn.NUMBERVALUE("" &amp; K844 &amp; "",".",",")</f>
        <v>0.994232029166667</v>
      </c>
      <c r="N844" s="10"/>
      <c r="O844" s="0" t="str">
        <f aca="false">VLOOKUP(C844,statusdetails!$A:$D,4,0)</f>
        <v>READY</v>
      </c>
    </row>
    <row r="845" customFormat="false" ht="12.8" hidden="true" customHeight="false" outlineLevel="0" collapsed="false">
      <c r="A845" s="0" t="n">
        <v>466969</v>
      </c>
      <c r="B845" s="0" t="n">
        <v>466969</v>
      </c>
      <c r="C845" s="0" t="n">
        <v>1</v>
      </c>
      <c r="D845" s="0" t="n">
        <v>6</v>
      </c>
      <c r="E845" s="0" t="n">
        <v>2518</v>
      </c>
      <c r="F845" s="0" t="n">
        <v>96</v>
      </c>
      <c r="G845" s="0" t="n">
        <v>109</v>
      </c>
      <c r="H845" s="0" t="s">
        <v>1669</v>
      </c>
      <c r="I845" s="0" t="s">
        <v>1695</v>
      </c>
      <c r="J845" s="9" t="n">
        <v>45903</v>
      </c>
      <c r="K845" s="0" t="s">
        <v>1696</v>
      </c>
      <c r="L845" s="0" t="n">
        <v>19</v>
      </c>
      <c r="M845" s="10" t="n">
        <f aca="false">_xlfn.NUMBERVALUE("" &amp; K845 &amp; "",".",",")</f>
        <v>7.88520507722222</v>
      </c>
      <c r="N845" s="10"/>
      <c r="O845" s="0" t="str">
        <f aca="false">VLOOKUP(C845,statusdetails!$A:$D,4,0)</f>
        <v>READY</v>
      </c>
    </row>
    <row r="846" customFormat="false" ht="12.8" hidden="true" customHeight="false" outlineLevel="0" collapsed="false">
      <c r="A846" s="0" t="n">
        <v>466970</v>
      </c>
      <c r="B846" s="0" t="n">
        <v>466970</v>
      </c>
      <c r="C846" s="0" t="n">
        <v>1</v>
      </c>
      <c r="D846" s="0" t="n">
        <v>6</v>
      </c>
      <c r="E846" s="0" t="n">
        <v>2404</v>
      </c>
      <c r="F846" s="0" t="n">
        <v>88</v>
      </c>
      <c r="G846" s="0" t="n">
        <v>148</v>
      </c>
      <c r="H846" s="0" t="s">
        <v>1671</v>
      </c>
      <c r="I846" s="0" t="s">
        <v>1697</v>
      </c>
      <c r="J846" s="9" t="n">
        <v>45903</v>
      </c>
      <c r="K846" s="0" t="s">
        <v>1698</v>
      </c>
      <c r="L846" s="0" t="n">
        <v>19</v>
      </c>
      <c r="M846" s="10" t="n">
        <f aca="false">_xlfn.NUMBERVALUE("" &amp; K846 &amp; "",".",",")</f>
        <v>7.84737861083333</v>
      </c>
      <c r="N846" s="10"/>
      <c r="O846" s="0" t="str">
        <f aca="false">VLOOKUP(C846,statusdetails!$A:$D,4,0)</f>
        <v>READY</v>
      </c>
    </row>
    <row r="847" customFormat="false" ht="12.8" hidden="true" customHeight="false" outlineLevel="0" collapsed="false">
      <c r="A847" s="0" t="n">
        <v>466973</v>
      </c>
      <c r="B847" s="0" t="n">
        <v>466973</v>
      </c>
      <c r="C847" s="0" t="n">
        <v>1</v>
      </c>
      <c r="D847" s="0" t="n">
        <v>6</v>
      </c>
      <c r="E847" s="0" t="n">
        <v>2404</v>
      </c>
      <c r="F847" s="0" t="n">
        <v>87</v>
      </c>
      <c r="G847" s="0" t="n">
        <v>47</v>
      </c>
      <c r="H847" s="0" t="s">
        <v>1675</v>
      </c>
      <c r="I847" s="0" t="s">
        <v>1699</v>
      </c>
      <c r="J847" s="9" t="n">
        <v>45903</v>
      </c>
      <c r="K847" s="0" t="s">
        <v>1700</v>
      </c>
      <c r="L847" s="0" t="n">
        <v>19</v>
      </c>
      <c r="M847" s="10" t="n">
        <f aca="false">_xlfn.NUMBERVALUE("" &amp; K847 &amp; "",".",",")</f>
        <v>0.272606709444444</v>
      </c>
      <c r="N847" s="10"/>
      <c r="O847" s="0" t="str">
        <f aca="false">VLOOKUP(C847,statusdetails!$A:$D,4,0)</f>
        <v>READY</v>
      </c>
    </row>
    <row r="848" customFormat="false" ht="12.8" hidden="true" customHeight="false" outlineLevel="0" collapsed="false">
      <c r="A848" s="0" t="n">
        <v>466974</v>
      </c>
      <c r="B848" s="0" t="n">
        <v>466974</v>
      </c>
      <c r="C848" s="0" t="n">
        <v>1</v>
      </c>
      <c r="D848" s="0" t="n">
        <v>6</v>
      </c>
      <c r="E848" s="0" t="n">
        <v>2404</v>
      </c>
      <c r="F848" s="0" t="n">
        <v>84</v>
      </c>
      <c r="G848" s="0" t="n">
        <v>82</v>
      </c>
      <c r="H848" s="0" t="s">
        <v>1681</v>
      </c>
      <c r="I848" s="0" t="s">
        <v>1701</v>
      </c>
      <c r="J848" s="9" t="n">
        <v>45903</v>
      </c>
      <c r="K848" s="0" t="s">
        <v>1702</v>
      </c>
      <c r="L848" s="0" t="n">
        <v>19</v>
      </c>
      <c r="M848" s="10" t="n">
        <f aca="false">_xlfn.NUMBERVALUE("" &amp; K848 &amp; "",".",",")</f>
        <v>7.94424991777778</v>
      </c>
      <c r="N848" s="10"/>
      <c r="O848" s="0" t="str">
        <f aca="false">VLOOKUP(C848,statusdetails!$A:$D,4,0)</f>
        <v>READY</v>
      </c>
    </row>
    <row r="849" customFormat="false" ht="12.8" hidden="true" customHeight="false" outlineLevel="0" collapsed="false">
      <c r="A849" s="0" t="n">
        <v>466975</v>
      </c>
      <c r="B849" s="0" t="n">
        <v>466975</v>
      </c>
      <c r="C849" s="0" t="n">
        <v>1</v>
      </c>
      <c r="D849" s="0" t="n">
        <v>6</v>
      </c>
      <c r="E849" s="0" t="n">
        <v>2404</v>
      </c>
      <c r="F849" s="0" t="n">
        <v>89</v>
      </c>
      <c r="G849" s="0" t="n">
        <v>153</v>
      </c>
      <c r="H849" s="0" t="s">
        <v>1685</v>
      </c>
      <c r="I849" s="0" t="s">
        <v>1703</v>
      </c>
      <c r="J849" s="9" t="n">
        <v>45903</v>
      </c>
      <c r="K849" s="0" t="s">
        <v>1704</v>
      </c>
      <c r="L849" s="0" t="n">
        <v>19</v>
      </c>
      <c r="M849" s="10" t="n">
        <f aca="false">_xlfn.NUMBERVALUE("" &amp; K849 &amp; "",".",",")</f>
        <v>7.95144941388889</v>
      </c>
      <c r="N849" s="10"/>
      <c r="O849" s="0" t="str">
        <f aca="false">VLOOKUP(C849,statusdetails!$A:$D,4,0)</f>
        <v>READY</v>
      </c>
    </row>
    <row r="850" customFormat="false" ht="12.8" hidden="true" customHeight="false" outlineLevel="0" collapsed="false">
      <c r="A850" s="0" t="n">
        <v>466976</v>
      </c>
      <c r="B850" s="0" t="n">
        <v>466965</v>
      </c>
      <c r="C850" s="0" t="n">
        <v>1</v>
      </c>
      <c r="D850" s="0" t="n">
        <v>6</v>
      </c>
      <c r="E850" s="0" t="n">
        <v>2518</v>
      </c>
      <c r="F850" s="0" t="n">
        <v>82</v>
      </c>
      <c r="G850" s="0" t="n">
        <v>88</v>
      </c>
      <c r="H850" s="11" t="n">
        <v>45903.7920949074</v>
      </c>
      <c r="I850" s="0" t="s">
        <v>1705</v>
      </c>
      <c r="J850" s="9" t="n">
        <v>45903</v>
      </c>
      <c r="K850" s="0" t="s">
        <v>1706</v>
      </c>
      <c r="L850" s="0" t="n">
        <v>19</v>
      </c>
      <c r="M850" s="10" t="n">
        <f aca="false">_xlfn.NUMBERVALUE("" &amp; K850 &amp; "",".",",")</f>
        <v>1.03712844888889</v>
      </c>
      <c r="N850" s="10"/>
      <c r="O850" s="0" t="str">
        <f aca="false">VLOOKUP(C850,statusdetails!$A:$D,4,0)</f>
        <v>READY</v>
      </c>
    </row>
    <row r="851" customFormat="false" ht="12.8" hidden="true" customHeight="false" outlineLevel="0" collapsed="false">
      <c r="A851" s="0" t="n">
        <v>466977</v>
      </c>
      <c r="B851" s="0" t="n">
        <v>466977</v>
      </c>
      <c r="C851" s="0" t="n">
        <v>1</v>
      </c>
      <c r="D851" s="0" t="n">
        <v>2303</v>
      </c>
      <c r="E851" s="0" t="n">
        <v>969</v>
      </c>
      <c r="F851" s="0" t="n">
        <v>45</v>
      </c>
      <c r="G851" s="0" t="n">
        <v>156</v>
      </c>
      <c r="H851" s="0" t="s">
        <v>1665</v>
      </c>
      <c r="I851" s="0" t="s">
        <v>1707</v>
      </c>
      <c r="J851" s="9" t="n">
        <v>45903</v>
      </c>
      <c r="K851" s="0" t="s">
        <v>1708</v>
      </c>
      <c r="L851" s="0" t="n">
        <v>19</v>
      </c>
      <c r="M851" s="10" t="n">
        <f aca="false">_xlfn.NUMBERVALUE("" &amp; K851 &amp; "",".",",")</f>
        <v>0.788942048055556</v>
      </c>
      <c r="N851" s="10"/>
      <c r="O851" s="0" t="str">
        <f aca="false">VLOOKUP(C851,statusdetails!$A:$D,4,0)</f>
        <v>READY</v>
      </c>
    </row>
    <row r="852" customFormat="false" ht="12.8" hidden="true" customHeight="false" outlineLevel="0" collapsed="false">
      <c r="A852" s="0" t="n">
        <v>466978</v>
      </c>
      <c r="B852" s="0" t="n">
        <v>466978</v>
      </c>
      <c r="C852" s="0" t="n">
        <v>1</v>
      </c>
      <c r="D852" s="0" t="n">
        <v>6</v>
      </c>
      <c r="E852" s="0" t="n">
        <v>811</v>
      </c>
      <c r="F852" s="0" t="n">
        <v>42</v>
      </c>
      <c r="G852" s="0" t="n">
        <v>16</v>
      </c>
      <c r="H852" s="0" t="s">
        <v>1683</v>
      </c>
      <c r="I852" s="0" t="s">
        <v>1709</v>
      </c>
      <c r="J852" s="9" t="n">
        <v>45903</v>
      </c>
      <c r="K852" s="0" t="s">
        <v>1710</v>
      </c>
      <c r="L852" s="0" t="n">
        <v>19</v>
      </c>
      <c r="M852" s="10" t="n">
        <f aca="false">_xlfn.NUMBERVALUE("" &amp; K852 &amp; "",".",",")</f>
        <v>2.11878166666667</v>
      </c>
      <c r="N852" s="10"/>
      <c r="O852" s="0" t="str">
        <f aca="false">VLOOKUP(C852,statusdetails!$A:$D,4,0)</f>
        <v>READY</v>
      </c>
    </row>
    <row r="853" customFormat="false" ht="12.8" hidden="true" customHeight="false" outlineLevel="0" collapsed="false">
      <c r="A853" s="0" t="n">
        <v>466979</v>
      </c>
      <c r="B853" s="0" t="n">
        <v>466979</v>
      </c>
      <c r="C853" s="0" t="n">
        <v>4</v>
      </c>
      <c r="D853" s="0" t="n">
        <v>16</v>
      </c>
      <c r="E853" s="0" t="n">
        <v>2461</v>
      </c>
      <c r="F853" s="0" t="n">
        <v>87</v>
      </c>
      <c r="G853" s="0" t="n">
        <v>147</v>
      </c>
      <c r="H853" s="0" t="s">
        <v>1699</v>
      </c>
      <c r="I853" s="0" t="s">
        <v>1711</v>
      </c>
      <c r="J853" s="9" t="n">
        <v>45903</v>
      </c>
      <c r="K853" s="0" t="s">
        <v>1712</v>
      </c>
      <c r="L853" s="0" t="n">
        <v>19</v>
      </c>
      <c r="M853" s="10" t="n">
        <f aca="false">_xlfn.NUMBERVALUE("" &amp; K853 &amp; "",".",",")</f>
        <v>0.9041591775</v>
      </c>
      <c r="N853" s="10"/>
      <c r="O853" s="0" t="str">
        <f aca="false">VLOOKUP(C853,statusdetails!$A:$D,4,0)</f>
        <v>MAINT</v>
      </c>
    </row>
    <row r="854" customFormat="false" ht="12.8" hidden="true" customHeight="false" outlineLevel="0" collapsed="false">
      <c r="A854" s="0" t="n">
        <v>466980</v>
      </c>
      <c r="B854" s="0" t="n">
        <v>466980</v>
      </c>
      <c r="C854" s="0" t="n">
        <v>1</v>
      </c>
      <c r="D854" s="0" t="n">
        <v>6</v>
      </c>
      <c r="E854" s="0" t="n">
        <v>372</v>
      </c>
      <c r="F854" s="0" t="n">
        <v>37</v>
      </c>
      <c r="G854" s="0" t="n">
        <v>54</v>
      </c>
      <c r="H854" s="0" t="s">
        <v>1667</v>
      </c>
      <c r="I854" s="0" t="s">
        <v>1713</v>
      </c>
      <c r="J854" s="9" t="n">
        <v>45903</v>
      </c>
      <c r="K854" s="0" t="s">
        <v>1714</v>
      </c>
      <c r="L854" s="0" t="n">
        <v>19</v>
      </c>
      <c r="M854" s="10" t="n">
        <f aca="false">_xlfn.NUMBERVALUE("" &amp; K854 &amp; "",".",",")</f>
        <v>1.26922848527778</v>
      </c>
      <c r="N854" s="10"/>
      <c r="O854" s="0" t="str">
        <f aca="false">VLOOKUP(C854,statusdetails!$A:$D,4,0)</f>
        <v>READY</v>
      </c>
    </row>
    <row r="855" customFormat="false" ht="12.8" hidden="true" customHeight="false" outlineLevel="0" collapsed="false">
      <c r="A855" s="0" t="n">
        <v>466981</v>
      </c>
      <c r="B855" s="0" t="n">
        <v>466981</v>
      </c>
      <c r="C855" s="0" t="n">
        <v>1</v>
      </c>
      <c r="D855" s="0" t="n">
        <v>6</v>
      </c>
      <c r="E855" s="0" t="n">
        <v>260</v>
      </c>
      <c r="F855" s="0" t="n">
        <v>34</v>
      </c>
      <c r="G855" s="0" t="n">
        <v>67</v>
      </c>
      <c r="H855" s="0" t="s">
        <v>1647</v>
      </c>
      <c r="I855" s="11" t="n">
        <v>45903.8213194445</v>
      </c>
      <c r="J855" s="9" t="n">
        <v>45903</v>
      </c>
      <c r="K855" s="0" t="s">
        <v>1715</v>
      </c>
      <c r="L855" s="0" t="n">
        <v>19</v>
      </c>
      <c r="M855" s="10" t="n">
        <f aca="false">_xlfn.NUMBERVALUE("" &amp; K855 &amp; "",".",",")</f>
        <v>0.155454444444444</v>
      </c>
      <c r="N855" s="10"/>
      <c r="O855" s="0" t="str">
        <f aca="false">VLOOKUP(C855,statusdetails!$A:$D,4,0)</f>
        <v>READY</v>
      </c>
    </row>
    <row r="856" customFormat="false" ht="12.8" hidden="true" customHeight="false" outlineLevel="0" collapsed="false">
      <c r="A856" s="0" t="n">
        <v>466982</v>
      </c>
      <c r="B856" s="0" t="n">
        <v>466982</v>
      </c>
      <c r="C856" s="0" t="n">
        <v>4</v>
      </c>
      <c r="D856" s="0" t="n">
        <v>15</v>
      </c>
      <c r="E856" s="0" t="n">
        <v>1506</v>
      </c>
      <c r="F856" s="0" t="n">
        <v>90</v>
      </c>
      <c r="G856" s="0" t="n">
        <v>0</v>
      </c>
      <c r="H856" s="0" t="s">
        <v>1027</v>
      </c>
      <c r="I856" s="0" t="s">
        <v>1716</v>
      </c>
      <c r="J856" s="9" t="n">
        <v>45903</v>
      </c>
      <c r="K856" s="0" t="s">
        <v>1717</v>
      </c>
      <c r="L856" s="0" t="n">
        <v>19</v>
      </c>
      <c r="M856" s="10" t="n">
        <f aca="false">_xlfn.NUMBERVALUE("" &amp; K856 &amp; "",".",",")</f>
        <v>0.517784110833333</v>
      </c>
      <c r="N856" s="10"/>
      <c r="O856" s="0" t="str">
        <f aca="false">VLOOKUP(C856,statusdetails!$A:$D,4,0)</f>
        <v>MAINT</v>
      </c>
    </row>
    <row r="857" customFormat="false" ht="12.8" hidden="true" customHeight="false" outlineLevel="0" collapsed="false">
      <c r="A857" s="0" t="n">
        <v>466984</v>
      </c>
      <c r="B857" s="0" t="n">
        <v>466983</v>
      </c>
      <c r="C857" s="0" t="n">
        <v>4</v>
      </c>
      <c r="D857" s="0" t="n">
        <v>15</v>
      </c>
      <c r="E857" s="0" t="n">
        <v>331</v>
      </c>
      <c r="F857" s="0" t="n">
        <v>34</v>
      </c>
      <c r="G857" s="0" t="n">
        <v>67</v>
      </c>
      <c r="H857" s="11" t="n">
        <v>45903.8213194445</v>
      </c>
      <c r="I857" s="11" t="n">
        <v>45904.9710416667</v>
      </c>
      <c r="J857" s="9" t="n">
        <v>45903</v>
      </c>
      <c r="K857" s="0" t="s">
        <v>1718</v>
      </c>
      <c r="L857" s="0" t="n">
        <v>19</v>
      </c>
      <c r="M857" s="10" t="n">
        <f aca="false">_xlfn.NUMBERVALUE("" &amp; K857 &amp; "",".",",")</f>
        <v>27.5933333333333</v>
      </c>
      <c r="N857" s="10"/>
      <c r="O857" s="0" t="str">
        <f aca="false">VLOOKUP(C857,statusdetails!$A:$D,4,0)</f>
        <v>MAINT</v>
      </c>
    </row>
    <row r="858" customFormat="false" ht="12.8" hidden="true" customHeight="false" outlineLevel="0" collapsed="false">
      <c r="A858" s="0" t="n">
        <v>466985</v>
      </c>
      <c r="B858" s="0" t="n">
        <v>466985</v>
      </c>
      <c r="C858" s="0" t="n">
        <v>4</v>
      </c>
      <c r="D858" s="0" t="n">
        <v>15</v>
      </c>
      <c r="E858" s="0" t="n">
        <v>194</v>
      </c>
      <c r="F858" s="0" t="n">
        <v>45</v>
      </c>
      <c r="G858" s="0" t="n">
        <v>133</v>
      </c>
      <c r="H858" s="0" t="s">
        <v>1707</v>
      </c>
      <c r="I858" s="0" t="s">
        <v>1719</v>
      </c>
      <c r="J858" s="9" t="n">
        <v>45903</v>
      </c>
      <c r="K858" s="0" t="s">
        <v>1720</v>
      </c>
      <c r="L858" s="0" t="n">
        <v>19</v>
      </c>
      <c r="M858" s="10" t="n">
        <f aca="false">_xlfn.NUMBERVALUE("" &amp; K858 &amp; "",".",",")</f>
        <v>0.531519097222222</v>
      </c>
      <c r="N858" s="10"/>
      <c r="O858" s="0" t="str">
        <f aca="false">VLOOKUP(C858,statusdetails!$A:$D,4,0)</f>
        <v>MAINT</v>
      </c>
    </row>
    <row r="859" customFormat="false" ht="12.8" hidden="true" customHeight="false" outlineLevel="0" collapsed="false">
      <c r="A859" s="0" t="n">
        <v>466986</v>
      </c>
      <c r="B859" s="0" t="n">
        <v>466986</v>
      </c>
      <c r="C859" s="0" t="n">
        <v>2</v>
      </c>
      <c r="D859" s="0" t="n">
        <v>7</v>
      </c>
      <c r="E859" s="0" t="n">
        <v>1026</v>
      </c>
      <c r="F859" s="0" t="n">
        <v>66</v>
      </c>
      <c r="G859" s="0" t="n">
        <v>66</v>
      </c>
      <c r="H859" s="0" t="s">
        <v>1693</v>
      </c>
      <c r="I859" s="0" t="s">
        <v>1721</v>
      </c>
      <c r="J859" s="9" t="n">
        <v>45903</v>
      </c>
      <c r="K859" s="0" t="s">
        <v>1722</v>
      </c>
      <c r="L859" s="0" t="n">
        <v>20</v>
      </c>
      <c r="M859" s="3" t="n">
        <f aca="false">_xlfn.NUMBERVALUE("" &amp; K859 &amp; "",".",",")</f>
        <v>0.0618947666666667</v>
      </c>
      <c r="O859" s="0" t="str">
        <f aca="false">VLOOKUP(C859,statusdetails!$A:$D,4,0)</f>
        <v>DELAY</v>
      </c>
    </row>
    <row r="860" customFormat="false" ht="12.8" hidden="true" customHeight="false" outlineLevel="0" collapsed="false">
      <c r="A860" s="0" t="n">
        <v>466987</v>
      </c>
      <c r="B860" s="0" t="n">
        <v>466987</v>
      </c>
      <c r="C860" s="0" t="n">
        <v>2</v>
      </c>
      <c r="D860" s="0" t="n">
        <v>7</v>
      </c>
      <c r="E860" s="0" t="n">
        <v>2385</v>
      </c>
      <c r="F860" s="0" t="n">
        <v>82</v>
      </c>
      <c r="G860" s="0" t="n">
        <v>107</v>
      </c>
      <c r="H860" s="0" t="s">
        <v>1705</v>
      </c>
      <c r="I860" s="11" t="n">
        <v>45903.8382060185</v>
      </c>
      <c r="J860" s="9" t="n">
        <v>45903</v>
      </c>
      <c r="K860" s="0" t="s">
        <v>1723</v>
      </c>
      <c r="L860" s="0" t="n">
        <v>20</v>
      </c>
      <c r="M860" s="3" t="n">
        <f aca="false">_xlfn.NUMBERVALUE("" &amp; K860 &amp; "",".",",")</f>
        <v>0.0695382177777778</v>
      </c>
      <c r="O860" s="0" t="str">
        <f aca="false">VLOOKUP(C860,statusdetails!$A:$D,4,0)</f>
        <v>DELAY</v>
      </c>
    </row>
    <row r="861" customFormat="false" ht="12.8" hidden="true" customHeight="false" outlineLevel="0" collapsed="false">
      <c r="A861" s="0" t="n">
        <v>466988</v>
      </c>
      <c r="B861" s="0" t="n">
        <v>466988</v>
      </c>
      <c r="C861" s="0" t="n">
        <v>2</v>
      </c>
      <c r="D861" s="0" t="n">
        <v>7</v>
      </c>
      <c r="E861" s="0" t="n">
        <v>1026</v>
      </c>
      <c r="F861" s="0" t="n">
        <v>33</v>
      </c>
      <c r="G861" s="0" t="n">
        <v>7</v>
      </c>
      <c r="H861" s="0" t="s">
        <v>1691</v>
      </c>
      <c r="I861" s="0" t="s">
        <v>1724</v>
      </c>
      <c r="J861" s="9" t="n">
        <v>45903</v>
      </c>
      <c r="K861" s="0" t="s">
        <v>1725</v>
      </c>
      <c r="L861" s="0" t="n">
        <v>20</v>
      </c>
      <c r="M861" s="3" t="n">
        <f aca="false">_xlfn.NUMBERVALUE("" &amp; K861 &amp; "",".",",")</f>
        <v>0.133661047777778</v>
      </c>
      <c r="O861" s="0" t="str">
        <f aca="false">VLOOKUP(C861,statusdetails!$A:$D,4,0)</f>
        <v>DELAY</v>
      </c>
    </row>
    <row r="862" customFormat="false" ht="12.8" hidden="true" customHeight="false" outlineLevel="0" collapsed="false">
      <c r="A862" s="0" t="n">
        <v>466989</v>
      </c>
      <c r="B862" s="0" t="n">
        <v>466989</v>
      </c>
      <c r="C862" s="0" t="n">
        <v>1</v>
      </c>
      <c r="D862" s="0" t="n">
        <v>6</v>
      </c>
      <c r="E862" s="0" t="n">
        <v>260</v>
      </c>
      <c r="F862" s="0" t="n">
        <v>66</v>
      </c>
      <c r="G862" s="0" t="n">
        <v>66</v>
      </c>
      <c r="H862" s="0" t="s">
        <v>1721</v>
      </c>
      <c r="I862" s="0" t="s">
        <v>1726</v>
      </c>
      <c r="J862" s="9" t="n">
        <v>45903</v>
      </c>
      <c r="K862" s="0" t="s">
        <v>1727</v>
      </c>
      <c r="L862" s="0" t="n">
        <v>20</v>
      </c>
      <c r="M862" s="10" t="n">
        <f aca="false">_xlfn.NUMBERVALUE("" &amp; K862 &amp; "",".",",")</f>
        <v>5.65239538777778</v>
      </c>
      <c r="N862" s="10"/>
      <c r="O862" s="0" t="str">
        <f aca="false">VLOOKUP(C862,statusdetails!$A:$D,4,0)</f>
        <v>READY</v>
      </c>
    </row>
    <row r="863" customFormat="false" ht="12.8" hidden="true" customHeight="false" outlineLevel="0" collapsed="false">
      <c r="A863" s="0" t="n">
        <v>466991</v>
      </c>
      <c r="B863" s="0" t="n">
        <v>466990</v>
      </c>
      <c r="C863" s="0" t="n">
        <v>1</v>
      </c>
      <c r="D863" s="0" t="n">
        <v>6</v>
      </c>
      <c r="E863" s="0" t="n">
        <v>2518</v>
      </c>
      <c r="F863" s="0" t="n">
        <v>82</v>
      </c>
      <c r="G863" s="0" t="n">
        <v>107</v>
      </c>
      <c r="H863" s="11" t="n">
        <v>45903.8382060185</v>
      </c>
      <c r="I863" s="0" t="s">
        <v>1728</v>
      </c>
      <c r="J863" s="9" t="n">
        <v>45903</v>
      </c>
      <c r="K863" s="0" t="s">
        <v>1729</v>
      </c>
      <c r="L863" s="0" t="n">
        <v>20</v>
      </c>
      <c r="M863" s="10" t="n">
        <f aca="false">_xlfn.NUMBERVALUE("" &amp; K863 &amp; "",".",",")</f>
        <v>0.546369034444444</v>
      </c>
      <c r="N863" s="10"/>
      <c r="O863" s="0" t="str">
        <f aca="false">VLOOKUP(C863,statusdetails!$A:$D,4,0)</f>
        <v>READY</v>
      </c>
    </row>
    <row r="864" customFormat="false" ht="12.8" hidden="true" customHeight="false" outlineLevel="0" collapsed="false">
      <c r="A864" s="0" t="n">
        <v>466992</v>
      </c>
      <c r="B864" s="0" t="n">
        <v>466992</v>
      </c>
      <c r="C864" s="0" t="n">
        <v>3</v>
      </c>
      <c r="D864" s="0" t="n">
        <v>12</v>
      </c>
      <c r="E864" s="0" t="n">
        <v>2076</v>
      </c>
      <c r="F864" s="0" t="n">
        <v>47</v>
      </c>
      <c r="G864" s="0" t="n">
        <v>103</v>
      </c>
      <c r="H864" s="0" t="s">
        <v>1490</v>
      </c>
      <c r="I864" s="0" t="s">
        <v>1730</v>
      </c>
      <c r="J864" s="9" t="n">
        <v>45903</v>
      </c>
      <c r="K864" s="0" t="s">
        <v>1731</v>
      </c>
      <c r="L864" s="0" t="n">
        <v>20</v>
      </c>
      <c r="M864" s="10" t="n">
        <f aca="false">_xlfn.NUMBERVALUE("" &amp; K864 &amp; "",".",",")</f>
        <v>1.02684939972222</v>
      </c>
      <c r="N864" s="10"/>
      <c r="O864" s="0" t="str">
        <f aca="false">VLOOKUP(C864,statusdetails!$A:$D,4,0)</f>
        <v>STANDBY</v>
      </c>
      <c r="P864" s="0" t="str">
        <f aca="false">VLOOKUP(F864,equipment!$A:$E,4,0)</f>
        <v>Ch1</v>
      </c>
      <c r="Q864" s="0" t="str">
        <f aca="false">VLOOKUP(F864,equipment!$A:$E,5,0)</f>
        <v>Ch1 - 47</v>
      </c>
    </row>
    <row r="865" customFormat="false" ht="12.8" hidden="true" customHeight="false" outlineLevel="0" collapsed="false">
      <c r="A865" s="0" t="n">
        <v>466993</v>
      </c>
      <c r="B865" s="0" t="n">
        <v>466993</v>
      </c>
      <c r="C865" s="0" t="n">
        <v>2</v>
      </c>
      <c r="D865" s="0" t="n">
        <v>9</v>
      </c>
      <c r="E865" s="0" t="n">
        <v>2515</v>
      </c>
      <c r="F865" s="0" t="n">
        <v>86</v>
      </c>
      <c r="G865" s="0" t="n">
        <v>149</v>
      </c>
      <c r="H865" s="0" t="s">
        <v>1689</v>
      </c>
      <c r="I865" s="0" t="s">
        <v>1732</v>
      </c>
      <c r="J865" s="9" t="n">
        <v>45903</v>
      </c>
      <c r="K865" s="0" t="s">
        <v>1733</v>
      </c>
      <c r="L865" s="0" t="n">
        <v>20</v>
      </c>
      <c r="M865" s="3" t="n">
        <f aca="false">_xlfn.NUMBERVALUE("" &amp; K865 &amp; "",".",",")</f>
        <v>0.0258656491666667</v>
      </c>
      <c r="O865" s="0" t="str">
        <f aca="false">VLOOKUP(C865,statusdetails!$A:$D,4,0)</f>
        <v>DELAY</v>
      </c>
    </row>
    <row r="866" customFormat="false" ht="12.8" hidden="true" customHeight="false" outlineLevel="0" collapsed="false">
      <c r="A866" s="0" t="n">
        <v>466994</v>
      </c>
      <c r="B866" s="0" t="n">
        <v>466994</v>
      </c>
      <c r="C866" s="0" t="n">
        <v>4</v>
      </c>
      <c r="D866" s="0" t="n">
        <v>16</v>
      </c>
      <c r="E866" s="0" t="n">
        <v>2461</v>
      </c>
      <c r="F866" s="0" t="n">
        <v>86</v>
      </c>
      <c r="G866" s="0" t="n">
        <v>149</v>
      </c>
      <c r="H866" s="0" t="s">
        <v>1732</v>
      </c>
      <c r="I866" s="0" t="s">
        <v>1734</v>
      </c>
      <c r="J866" s="9" t="n">
        <v>45903</v>
      </c>
      <c r="K866" s="0" t="s">
        <v>1735</v>
      </c>
      <c r="L866" s="0" t="n">
        <v>20</v>
      </c>
      <c r="M866" s="10" t="n">
        <f aca="false">_xlfn.NUMBERVALUE("" &amp; K866 &amp; "",".",",")</f>
        <v>0.574627406388889</v>
      </c>
      <c r="N866" s="10"/>
      <c r="O866" s="0" t="str">
        <f aca="false">VLOOKUP(C866,statusdetails!$A:$D,4,0)</f>
        <v>MAINT</v>
      </c>
    </row>
    <row r="867" customFormat="false" ht="12.8" hidden="true" customHeight="false" outlineLevel="0" collapsed="false">
      <c r="A867" s="0" t="n">
        <v>466995</v>
      </c>
      <c r="B867" s="0" t="n">
        <v>466995</v>
      </c>
      <c r="C867" s="0" t="n">
        <v>1</v>
      </c>
      <c r="D867" s="0" t="n">
        <v>6</v>
      </c>
      <c r="E867" s="0" t="n">
        <v>260</v>
      </c>
      <c r="F867" s="0" t="n">
        <v>33</v>
      </c>
      <c r="G867" s="0" t="n">
        <v>7</v>
      </c>
      <c r="H867" s="0" t="s">
        <v>1724</v>
      </c>
      <c r="I867" s="0" t="s">
        <v>1736</v>
      </c>
      <c r="J867" s="9" t="n">
        <v>45903</v>
      </c>
      <c r="K867" s="0" t="s">
        <v>1737</v>
      </c>
      <c r="L867" s="0" t="n">
        <v>20</v>
      </c>
      <c r="M867" s="10" t="n">
        <f aca="false">_xlfn.NUMBERVALUE("" &amp; K867 &amp; "",".",",")</f>
        <v>3.38522463527778</v>
      </c>
      <c r="N867" s="10"/>
      <c r="O867" s="0" t="str">
        <f aca="false">VLOOKUP(C867,statusdetails!$A:$D,4,0)</f>
        <v>READY</v>
      </c>
    </row>
    <row r="868" customFormat="false" ht="12.8" hidden="true" customHeight="false" outlineLevel="0" collapsed="false">
      <c r="A868" s="0" t="n">
        <v>466996</v>
      </c>
      <c r="B868" s="0" t="n">
        <v>466996</v>
      </c>
      <c r="C868" s="0" t="n">
        <v>4</v>
      </c>
      <c r="D868" s="0" t="n">
        <v>15</v>
      </c>
      <c r="E868" s="0" t="n">
        <v>1409</v>
      </c>
      <c r="F868" s="0" t="n">
        <v>90</v>
      </c>
      <c r="G868" s="0" t="n">
        <v>0</v>
      </c>
      <c r="H868" s="0" t="s">
        <v>1716</v>
      </c>
      <c r="I868" s="0" t="s">
        <v>1738</v>
      </c>
      <c r="J868" s="9" t="n">
        <v>45903</v>
      </c>
      <c r="K868" s="0" t="s">
        <v>1739</v>
      </c>
      <c r="L868" s="0" t="n">
        <v>20</v>
      </c>
      <c r="M868" s="10" t="n">
        <f aca="false">_xlfn.NUMBERVALUE("" &amp; K868 &amp; "",".",",")</f>
        <v>0.8184758925</v>
      </c>
      <c r="N868" s="10"/>
      <c r="O868" s="0" t="str">
        <f aca="false">VLOOKUP(C868,statusdetails!$A:$D,4,0)</f>
        <v>MAINT</v>
      </c>
    </row>
    <row r="869" customFormat="false" ht="12.8" hidden="true" customHeight="false" outlineLevel="0" collapsed="false">
      <c r="A869" s="0" t="n">
        <v>466997</v>
      </c>
      <c r="B869" s="0" t="n">
        <v>466997</v>
      </c>
      <c r="C869" s="0" t="n">
        <v>1</v>
      </c>
      <c r="D869" s="0" t="n">
        <v>6</v>
      </c>
      <c r="E869" s="0" t="n">
        <v>2404</v>
      </c>
      <c r="F869" s="0" t="n">
        <v>87</v>
      </c>
      <c r="G869" s="0" t="n">
        <v>147</v>
      </c>
      <c r="H869" s="0" t="s">
        <v>1711</v>
      </c>
      <c r="I869" s="0" t="s">
        <v>1740</v>
      </c>
      <c r="J869" s="9" t="n">
        <v>45903</v>
      </c>
      <c r="K869" s="0" t="s">
        <v>1741</v>
      </c>
      <c r="L869" s="0" t="n">
        <v>20</v>
      </c>
      <c r="M869" s="10" t="n">
        <f aca="false">_xlfn.NUMBERVALUE("" &amp; K869 &amp; "",".",",")</f>
        <v>4.14068033055556</v>
      </c>
      <c r="N869" s="10"/>
      <c r="O869" s="0" t="str">
        <f aca="false">VLOOKUP(C869,statusdetails!$A:$D,4,0)</f>
        <v>READY</v>
      </c>
    </row>
    <row r="870" customFormat="false" ht="12.8" hidden="true" customHeight="false" outlineLevel="0" collapsed="false">
      <c r="A870" s="0" t="n">
        <v>466998</v>
      </c>
      <c r="B870" s="0" t="n">
        <v>466998</v>
      </c>
      <c r="C870" s="0" t="n">
        <v>1</v>
      </c>
      <c r="D870" s="0" t="n">
        <v>2303</v>
      </c>
      <c r="E870" s="0" t="n">
        <v>969</v>
      </c>
      <c r="F870" s="0" t="n">
        <v>45</v>
      </c>
      <c r="G870" s="0" t="n">
        <v>133</v>
      </c>
      <c r="H870" s="0" t="s">
        <v>1719</v>
      </c>
      <c r="I870" s="0" t="s">
        <v>1742</v>
      </c>
      <c r="J870" s="9" t="n">
        <v>45903</v>
      </c>
      <c r="K870" s="0" t="s">
        <v>1743</v>
      </c>
      <c r="L870" s="0" t="n">
        <v>20</v>
      </c>
      <c r="M870" s="10" t="n">
        <f aca="false">_xlfn.NUMBERVALUE("" &amp; K870 &amp; "",".",",")</f>
        <v>0.0664805922222222</v>
      </c>
      <c r="N870" s="10"/>
      <c r="O870" s="0" t="str">
        <f aca="false">VLOOKUP(C870,statusdetails!$A:$D,4,0)</f>
        <v>READY</v>
      </c>
    </row>
    <row r="871" customFormat="false" ht="12.8" hidden="true" customHeight="false" outlineLevel="0" collapsed="false">
      <c r="A871" s="0" t="n">
        <v>466999</v>
      </c>
      <c r="B871" s="0" t="n">
        <v>466999</v>
      </c>
      <c r="C871" s="0" t="n">
        <v>1</v>
      </c>
      <c r="D871" s="0" t="n">
        <v>6</v>
      </c>
      <c r="E871" s="0" t="n">
        <v>138</v>
      </c>
      <c r="F871" s="0" t="n">
        <v>45</v>
      </c>
      <c r="G871" s="0" t="n">
        <v>133</v>
      </c>
      <c r="H871" s="0" t="s">
        <v>1742</v>
      </c>
      <c r="I871" s="0" t="s">
        <v>1744</v>
      </c>
      <c r="J871" s="9" t="n">
        <v>45903</v>
      </c>
      <c r="K871" s="0" t="s">
        <v>1745</v>
      </c>
      <c r="L871" s="0" t="n">
        <v>20</v>
      </c>
      <c r="M871" s="10" t="n">
        <f aca="false">_xlfn.NUMBERVALUE("" &amp; K871 &amp; "",".",",")</f>
        <v>0.02346427</v>
      </c>
      <c r="N871" s="10"/>
      <c r="O871" s="0" t="str">
        <f aca="false">VLOOKUP(C871,statusdetails!$A:$D,4,0)</f>
        <v>READY</v>
      </c>
    </row>
    <row r="872" customFormat="false" ht="12.8" hidden="true" customHeight="false" outlineLevel="0" collapsed="false">
      <c r="A872" s="0" t="n">
        <v>467000</v>
      </c>
      <c r="B872" s="0" t="n">
        <v>467000</v>
      </c>
      <c r="C872" s="0" t="n">
        <v>2</v>
      </c>
      <c r="D872" s="0" t="n">
        <v>7</v>
      </c>
      <c r="E872" s="0" t="n">
        <v>1026</v>
      </c>
      <c r="F872" s="0" t="n">
        <v>35</v>
      </c>
      <c r="G872" s="0" t="n">
        <v>62</v>
      </c>
      <c r="H872" s="0" t="s">
        <v>1687</v>
      </c>
      <c r="I872" s="0" t="s">
        <v>1746</v>
      </c>
      <c r="J872" s="9" t="n">
        <v>45903</v>
      </c>
      <c r="K872" s="0" t="s">
        <v>1747</v>
      </c>
      <c r="L872" s="0" t="n">
        <v>20</v>
      </c>
      <c r="M872" s="3" t="n">
        <f aca="false">_xlfn.NUMBERVALUE("" &amp; K872 &amp; "",".",",")</f>
        <v>0.0543931583333333</v>
      </c>
      <c r="O872" s="0" t="str">
        <f aca="false">VLOOKUP(C872,statusdetails!$A:$D,4,0)</f>
        <v>DELAY</v>
      </c>
    </row>
    <row r="873" customFormat="false" ht="12.8" hidden="true" customHeight="false" outlineLevel="0" collapsed="false">
      <c r="A873" s="0" t="n">
        <v>467001</v>
      </c>
      <c r="B873" s="0" t="n">
        <v>467001</v>
      </c>
      <c r="C873" s="0" t="n">
        <v>2</v>
      </c>
      <c r="D873" s="0" t="n">
        <v>7</v>
      </c>
      <c r="E873" s="0" t="n">
        <v>1024</v>
      </c>
      <c r="F873" s="0" t="n">
        <v>45</v>
      </c>
      <c r="G873" s="0" t="n">
        <v>133</v>
      </c>
      <c r="H873" s="0" t="s">
        <v>1744</v>
      </c>
      <c r="I873" s="0" t="s">
        <v>1748</v>
      </c>
      <c r="J873" s="9" t="n">
        <v>45903</v>
      </c>
      <c r="K873" s="0" t="s">
        <v>1749</v>
      </c>
      <c r="L873" s="0" t="n">
        <v>20</v>
      </c>
      <c r="M873" s="3" t="n">
        <f aca="false">_xlfn.NUMBERVALUE("" &amp; K873 &amp; "",".",",")</f>
        <v>0.0474052972222222</v>
      </c>
      <c r="O873" s="0" t="str">
        <f aca="false">VLOOKUP(C873,statusdetails!$A:$D,4,0)</f>
        <v>DELAY</v>
      </c>
    </row>
    <row r="874" customFormat="false" ht="12.8" hidden="true" customHeight="false" outlineLevel="0" collapsed="false">
      <c r="A874" s="0" t="n">
        <v>467002</v>
      </c>
      <c r="B874" s="0" t="n">
        <v>467002</v>
      </c>
      <c r="C874" s="0" t="n">
        <v>1</v>
      </c>
      <c r="D874" s="0" t="n">
        <v>6</v>
      </c>
      <c r="E874" s="0" t="n">
        <v>2524</v>
      </c>
      <c r="F874" s="0" t="n">
        <v>49</v>
      </c>
      <c r="G874" s="0" t="n">
        <v>0</v>
      </c>
      <c r="H874" s="0" t="s">
        <v>1663</v>
      </c>
      <c r="I874" s="0" t="s">
        <v>1750</v>
      </c>
      <c r="J874" s="9" t="n">
        <v>45903</v>
      </c>
      <c r="K874" s="0" t="s">
        <v>1751</v>
      </c>
      <c r="L874" s="0" t="n">
        <v>20</v>
      </c>
      <c r="M874" s="10" t="n">
        <f aca="false">_xlfn.NUMBERVALUE("" &amp; K874 &amp; "",".",",")</f>
        <v>1.18361969916667</v>
      </c>
      <c r="N874" s="10"/>
      <c r="O874" s="0" t="str">
        <f aca="false">VLOOKUP(C874,statusdetails!$A:$D,4,0)</f>
        <v>READY</v>
      </c>
    </row>
    <row r="875" customFormat="false" ht="12.8" hidden="true" customHeight="false" outlineLevel="0" collapsed="false">
      <c r="A875" s="0" t="n">
        <v>467003</v>
      </c>
      <c r="B875" s="0" t="n">
        <v>467003</v>
      </c>
      <c r="C875" s="0" t="n">
        <v>1</v>
      </c>
      <c r="D875" s="0" t="n">
        <v>6</v>
      </c>
      <c r="E875" s="0" t="n">
        <v>260</v>
      </c>
      <c r="F875" s="0" t="n">
        <v>35</v>
      </c>
      <c r="G875" s="0" t="n">
        <v>62</v>
      </c>
      <c r="H875" s="0" t="s">
        <v>1746</v>
      </c>
      <c r="I875" s="0" t="s">
        <v>1752</v>
      </c>
      <c r="J875" s="9" t="n">
        <v>45903</v>
      </c>
      <c r="K875" s="0" t="s">
        <v>1753</v>
      </c>
      <c r="L875" s="0" t="n">
        <v>20</v>
      </c>
      <c r="M875" s="10" t="n">
        <f aca="false">_xlfn.NUMBERVALUE("" &amp; K875 &amp; "",".",",")</f>
        <v>5.16680147277778</v>
      </c>
      <c r="N875" s="10"/>
      <c r="O875" s="0" t="str">
        <f aca="false">VLOOKUP(C875,statusdetails!$A:$D,4,0)</f>
        <v>READY</v>
      </c>
    </row>
    <row r="876" customFormat="false" ht="12.8" hidden="true" customHeight="false" outlineLevel="0" collapsed="false">
      <c r="A876" s="0" t="n">
        <v>467004</v>
      </c>
      <c r="B876" s="0" t="n">
        <v>467004</v>
      </c>
      <c r="C876" s="0" t="n">
        <v>1</v>
      </c>
      <c r="D876" s="0" t="n">
        <v>6</v>
      </c>
      <c r="E876" s="0" t="n">
        <v>138</v>
      </c>
      <c r="F876" s="0" t="n">
        <v>45</v>
      </c>
      <c r="G876" s="0" t="n">
        <v>133</v>
      </c>
      <c r="H876" s="0" t="s">
        <v>1748</v>
      </c>
      <c r="I876" s="0" t="s">
        <v>1754</v>
      </c>
      <c r="J876" s="9" t="n">
        <v>45903</v>
      </c>
      <c r="K876" s="0" t="s">
        <v>1755</v>
      </c>
      <c r="L876" s="0" t="n">
        <v>20</v>
      </c>
      <c r="M876" s="10" t="n">
        <f aca="false">_xlfn.NUMBERVALUE("" &amp; K876 &amp; "",".",",")</f>
        <v>0.363122006111111</v>
      </c>
      <c r="N876" s="10"/>
      <c r="O876" s="0" t="str">
        <f aca="false">VLOOKUP(C876,statusdetails!$A:$D,4,0)</f>
        <v>READY</v>
      </c>
    </row>
    <row r="877" customFormat="false" ht="12.8" hidden="true" customHeight="false" outlineLevel="0" collapsed="false">
      <c r="A877" s="0" t="n">
        <v>467005</v>
      </c>
      <c r="B877" s="0" t="n">
        <v>467005</v>
      </c>
      <c r="C877" s="0" t="n">
        <v>1</v>
      </c>
      <c r="D877" s="0" t="n">
        <v>2303</v>
      </c>
      <c r="E877" s="0" t="n">
        <v>2586</v>
      </c>
      <c r="F877" s="0" t="n">
        <v>82</v>
      </c>
      <c r="G877" s="0" t="n">
        <v>107</v>
      </c>
      <c r="H877" s="0" t="s">
        <v>1728</v>
      </c>
      <c r="I877" s="0" t="s">
        <v>1756</v>
      </c>
      <c r="J877" s="9" t="n">
        <v>45903</v>
      </c>
      <c r="K877" s="0" t="s">
        <v>1757</v>
      </c>
      <c r="L877" s="0" t="n">
        <v>20</v>
      </c>
      <c r="M877" s="10" t="n">
        <f aca="false">_xlfn.NUMBERVALUE("" &amp; K877 &amp; "",".",",")</f>
        <v>0.0289225119444444</v>
      </c>
      <c r="N877" s="10"/>
      <c r="O877" s="0" t="str">
        <f aca="false">VLOOKUP(C877,statusdetails!$A:$D,4,0)</f>
        <v>READY</v>
      </c>
    </row>
    <row r="878" customFormat="false" ht="12.8" hidden="true" customHeight="false" outlineLevel="0" collapsed="false">
      <c r="A878" s="0" t="n">
        <v>467006</v>
      </c>
      <c r="B878" s="0" t="n">
        <v>467006</v>
      </c>
      <c r="C878" s="0" t="n">
        <v>3</v>
      </c>
      <c r="D878" s="0" t="n">
        <v>14</v>
      </c>
      <c r="E878" s="0" t="n">
        <v>2387</v>
      </c>
      <c r="F878" s="0" t="n">
        <v>82</v>
      </c>
      <c r="G878" s="0" t="n">
        <v>107</v>
      </c>
      <c r="H878" s="0" t="s">
        <v>1756</v>
      </c>
      <c r="I878" s="0" t="s">
        <v>1758</v>
      </c>
      <c r="J878" s="9" t="n">
        <v>45903</v>
      </c>
      <c r="K878" s="0" t="s">
        <v>1759</v>
      </c>
      <c r="L878" s="0" t="n">
        <v>20</v>
      </c>
      <c r="M878" s="10" t="n">
        <f aca="false">_xlfn.NUMBERVALUE("" &amp; K878 &amp; "",".",",")</f>
        <v>0.205728128888889</v>
      </c>
      <c r="N878" s="10"/>
      <c r="O878" s="0" t="str">
        <f aca="false">VLOOKUP(C878,statusdetails!$A:$D,4,0)</f>
        <v>STANDBY</v>
      </c>
      <c r="P878" s="0" t="str">
        <f aca="false">VLOOKUP(F878,equipment!$A:$E,4,0)</f>
        <v>EX502</v>
      </c>
      <c r="Q878" s="0" t="str">
        <f aca="false">VLOOKUP(F878,equipment!$A:$E,5,0)</f>
        <v>EX502 - 82</v>
      </c>
    </row>
    <row r="879" customFormat="false" ht="12.8" hidden="true" customHeight="false" outlineLevel="0" collapsed="false">
      <c r="A879" s="0" t="n">
        <v>467007</v>
      </c>
      <c r="B879" s="0" t="n">
        <v>467007</v>
      </c>
      <c r="C879" s="0" t="n">
        <v>2</v>
      </c>
      <c r="D879" s="0" t="n">
        <v>7</v>
      </c>
      <c r="E879" s="0" t="n">
        <v>2132</v>
      </c>
      <c r="F879" s="0" t="n">
        <v>37</v>
      </c>
      <c r="G879" s="0" t="n">
        <v>54</v>
      </c>
      <c r="H879" s="0" t="s">
        <v>1713</v>
      </c>
      <c r="I879" s="0" t="s">
        <v>1760</v>
      </c>
      <c r="J879" s="9" t="n">
        <v>45903</v>
      </c>
      <c r="K879" s="0" t="s">
        <v>1761</v>
      </c>
      <c r="L879" s="0" t="n">
        <v>20</v>
      </c>
      <c r="M879" s="3" t="n">
        <f aca="false">_xlfn.NUMBERVALUE("" &amp; K879 &amp; "",".",",")</f>
        <v>0.106417661944444</v>
      </c>
      <c r="O879" s="0" t="str">
        <f aca="false">VLOOKUP(C879,statusdetails!$A:$D,4,0)</f>
        <v>DELAY</v>
      </c>
    </row>
    <row r="880" customFormat="false" ht="12.8" hidden="true" customHeight="false" outlineLevel="0" collapsed="false">
      <c r="A880" s="0" t="n">
        <v>467008</v>
      </c>
      <c r="B880" s="0" t="n">
        <v>467008</v>
      </c>
      <c r="C880" s="0" t="n">
        <v>1</v>
      </c>
      <c r="D880" s="0" t="n">
        <v>6</v>
      </c>
      <c r="E880" s="0" t="n">
        <v>2404</v>
      </c>
      <c r="F880" s="0" t="n">
        <v>86</v>
      </c>
      <c r="G880" s="0" t="n">
        <v>149</v>
      </c>
      <c r="H880" s="0" t="s">
        <v>1734</v>
      </c>
      <c r="I880" s="0" t="s">
        <v>1762</v>
      </c>
      <c r="J880" s="9" t="n">
        <v>45903</v>
      </c>
      <c r="K880" s="0" t="s">
        <v>1763</v>
      </c>
      <c r="L880" s="0" t="n">
        <v>20</v>
      </c>
      <c r="M880" s="10" t="n">
        <f aca="false">_xlfn.NUMBERVALUE("" &amp; K880 &amp; "",".",",")</f>
        <v>5.36436388888889</v>
      </c>
      <c r="N880" s="10"/>
      <c r="O880" s="0" t="str">
        <f aca="false">VLOOKUP(C880,statusdetails!$A:$D,4,0)</f>
        <v>READY</v>
      </c>
    </row>
    <row r="881" customFormat="false" ht="12.8" hidden="true" customHeight="false" outlineLevel="0" collapsed="false">
      <c r="A881" s="0" t="n">
        <v>467009</v>
      </c>
      <c r="B881" s="0" t="n">
        <v>467009</v>
      </c>
      <c r="C881" s="0" t="n">
        <v>1</v>
      </c>
      <c r="D881" s="0" t="n">
        <v>6</v>
      </c>
      <c r="E881" s="0" t="n">
        <v>372</v>
      </c>
      <c r="F881" s="0" t="n">
        <v>37</v>
      </c>
      <c r="G881" s="0" t="n">
        <v>54</v>
      </c>
      <c r="H881" s="0" t="s">
        <v>1760</v>
      </c>
      <c r="I881" s="0" t="s">
        <v>1764</v>
      </c>
      <c r="J881" s="9" t="n">
        <v>45903</v>
      </c>
      <c r="K881" s="0" t="s">
        <v>1765</v>
      </c>
      <c r="L881" s="0" t="n">
        <v>20</v>
      </c>
      <c r="M881" s="10" t="n">
        <f aca="false">_xlfn.NUMBERVALUE("" &amp; K881 &amp; "",".",",")</f>
        <v>3.90748569333333</v>
      </c>
      <c r="N881" s="10"/>
      <c r="O881" s="0" t="str">
        <f aca="false">VLOOKUP(C881,statusdetails!$A:$D,4,0)</f>
        <v>READY</v>
      </c>
    </row>
    <row r="882" customFormat="false" ht="12.8" hidden="true" customHeight="false" outlineLevel="0" collapsed="false">
      <c r="A882" s="0" t="n">
        <v>467011</v>
      </c>
      <c r="B882" s="0" t="n">
        <v>467011</v>
      </c>
      <c r="C882" s="0" t="n">
        <v>2</v>
      </c>
      <c r="D882" s="0" t="n">
        <v>7</v>
      </c>
      <c r="E882" s="0" t="n">
        <v>2385</v>
      </c>
      <c r="F882" s="0" t="n">
        <v>82</v>
      </c>
      <c r="G882" s="0" t="n">
        <v>107</v>
      </c>
      <c r="H882" s="0" t="s">
        <v>1758</v>
      </c>
      <c r="I882" s="0" t="s">
        <v>1766</v>
      </c>
      <c r="J882" s="9" t="n">
        <v>45903</v>
      </c>
      <c r="K882" s="0" t="s">
        <v>1767</v>
      </c>
      <c r="L882" s="0" t="n">
        <v>20</v>
      </c>
      <c r="M882" s="3" t="n">
        <f aca="false">_xlfn.NUMBERVALUE("" &amp; K882 &amp; "",".",",")</f>
        <v>0.0775758025</v>
      </c>
      <c r="O882" s="0" t="str">
        <f aca="false">VLOOKUP(C882,statusdetails!$A:$D,4,0)</f>
        <v>DELAY</v>
      </c>
    </row>
    <row r="883" customFormat="false" ht="12.8" hidden="true" customHeight="false" outlineLevel="0" collapsed="false">
      <c r="A883" s="0" t="n">
        <v>467012</v>
      </c>
      <c r="B883" s="0" t="n">
        <v>467012</v>
      </c>
      <c r="C883" s="0" t="n">
        <v>1</v>
      </c>
      <c r="D883" s="0" t="n">
        <v>6</v>
      </c>
      <c r="E883" s="0" t="n">
        <v>2518</v>
      </c>
      <c r="F883" s="0" t="n">
        <v>82</v>
      </c>
      <c r="G883" s="0" t="n">
        <v>107</v>
      </c>
      <c r="H883" s="0" t="s">
        <v>1766</v>
      </c>
      <c r="I883" s="0" t="s">
        <v>1768</v>
      </c>
      <c r="J883" s="9" t="n">
        <v>45903</v>
      </c>
      <c r="K883" s="0" t="s">
        <v>1769</v>
      </c>
      <c r="L883" s="0" t="n">
        <v>20</v>
      </c>
      <c r="M883" s="10" t="n">
        <f aca="false">_xlfn.NUMBERVALUE("" &amp; K883 &amp; "",".",",")</f>
        <v>4.78268678583333</v>
      </c>
      <c r="N883" s="10"/>
      <c r="O883" s="0" t="str">
        <f aca="false">VLOOKUP(C883,statusdetails!$A:$D,4,0)</f>
        <v>READY</v>
      </c>
    </row>
    <row r="884" customFormat="false" ht="12.8" hidden="true" customHeight="false" outlineLevel="0" collapsed="false">
      <c r="A884" s="0" t="n">
        <v>467013</v>
      </c>
      <c r="B884" s="0" t="n">
        <v>467013</v>
      </c>
      <c r="C884" s="0" t="n">
        <v>1</v>
      </c>
      <c r="D884" s="0" t="n">
        <v>2303</v>
      </c>
      <c r="E884" s="0" t="n">
        <v>969</v>
      </c>
      <c r="F884" s="0" t="n">
        <v>45</v>
      </c>
      <c r="G884" s="0" t="n">
        <v>133</v>
      </c>
      <c r="H884" s="0" t="s">
        <v>1754</v>
      </c>
      <c r="I884" s="0" t="s">
        <v>1770</v>
      </c>
      <c r="J884" s="9" t="n">
        <v>45903</v>
      </c>
      <c r="K884" s="0" t="s">
        <v>1771</v>
      </c>
      <c r="L884" s="0" t="n">
        <v>20</v>
      </c>
      <c r="M884" s="10" t="n">
        <f aca="false">_xlfn.NUMBERVALUE("" &amp; K884 &amp; "",".",",")</f>
        <v>0.127258766944444</v>
      </c>
      <c r="N884" s="10"/>
      <c r="O884" s="0" t="str">
        <f aca="false">VLOOKUP(C884,statusdetails!$A:$D,4,0)</f>
        <v>READY</v>
      </c>
    </row>
    <row r="885" customFormat="false" ht="12.8" hidden="true" customHeight="false" outlineLevel="0" collapsed="false">
      <c r="A885" s="0" t="n">
        <v>467014</v>
      </c>
      <c r="B885" s="0" t="n">
        <v>467014</v>
      </c>
      <c r="C885" s="0" t="n">
        <v>1</v>
      </c>
      <c r="D885" s="0" t="n">
        <v>2303</v>
      </c>
      <c r="E885" s="0" t="n">
        <v>2149</v>
      </c>
      <c r="F885" s="0" t="n">
        <v>90</v>
      </c>
      <c r="G885" s="0" t="n">
        <v>0</v>
      </c>
      <c r="H885" s="0" t="s">
        <v>1738</v>
      </c>
      <c r="I885" s="0" t="s">
        <v>1772</v>
      </c>
      <c r="J885" s="9" t="n">
        <v>45903</v>
      </c>
      <c r="K885" s="0" t="s">
        <v>1773</v>
      </c>
      <c r="L885" s="0" t="n">
        <v>21</v>
      </c>
      <c r="M885" s="10" t="n">
        <f aca="false">_xlfn.NUMBERVALUE("" &amp; K885 &amp; "",".",",")</f>
        <v>23.2792128038889</v>
      </c>
      <c r="N885" s="10"/>
      <c r="O885" s="0" t="str">
        <f aca="false">VLOOKUP(C885,statusdetails!$A:$D,4,0)</f>
        <v>READY</v>
      </c>
    </row>
    <row r="886" customFormat="false" ht="12.8" hidden="true" customHeight="false" outlineLevel="0" collapsed="false">
      <c r="A886" s="0" t="n">
        <v>467015</v>
      </c>
      <c r="B886" s="0" t="n">
        <v>467015</v>
      </c>
      <c r="C886" s="0" t="n">
        <v>3</v>
      </c>
      <c r="D886" s="0" t="n">
        <v>14</v>
      </c>
      <c r="E886" s="0" t="n">
        <v>1163</v>
      </c>
      <c r="F886" s="0" t="n">
        <v>45</v>
      </c>
      <c r="G886" s="0" t="n">
        <v>133</v>
      </c>
      <c r="H886" s="0" t="s">
        <v>1770</v>
      </c>
      <c r="I886" s="0" t="s">
        <v>1774</v>
      </c>
      <c r="J886" s="9" t="n">
        <v>45903</v>
      </c>
      <c r="K886" s="0" t="s">
        <v>1775</v>
      </c>
      <c r="L886" s="0" t="n">
        <v>21</v>
      </c>
      <c r="M886" s="10" t="n">
        <f aca="false">_xlfn.NUMBERVALUE("" &amp; K886 &amp; "",".",",")</f>
        <v>0.163906041388889</v>
      </c>
      <c r="N886" s="10"/>
      <c r="O886" s="0" t="str">
        <f aca="false">VLOOKUP(C886,statusdetails!$A:$D,4,0)</f>
        <v>STANDBY</v>
      </c>
      <c r="P886" s="0" t="str">
        <f aca="false">VLOOKUP(F886,equipment!$A:$E,4,0)</f>
        <v>EX501</v>
      </c>
      <c r="Q886" s="0" t="str">
        <f aca="false">VLOOKUP(F886,equipment!$A:$E,5,0)</f>
        <v>EX501 - 45</v>
      </c>
    </row>
    <row r="887" customFormat="false" ht="12.8" hidden="true" customHeight="false" outlineLevel="0" collapsed="false">
      <c r="A887" s="0" t="n">
        <v>467016</v>
      </c>
      <c r="B887" s="0" t="n">
        <v>467016</v>
      </c>
      <c r="C887" s="0" t="n">
        <v>1</v>
      </c>
      <c r="D887" s="0" t="n">
        <v>6</v>
      </c>
      <c r="E887" s="0" t="n">
        <v>1040</v>
      </c>
      <c r="F887" s="0" t="n">
        <v>47</v>
      </c>
      <c r="G887" s="0" t="n">
        <v>103</v>
      </c>
      <c r="H887" s="0" t="s">
        <v>1730</v>
      </c>
      <c r="I887" s="0" t="s">
        <v>1776</v>
      </c>
      <c r="J887" s="9" t="n">
        <v>45903</v>
      </c>
      <c r="K887" s="0" t="s">
        <v>1777</v>
      </c>
      <c r="L887" s="0" t="n">
        <v>21</v>
      </c>
      <c r="M887" s="10" t="n">
        <f aca="false">_xlfn.NUMBERVALUE("" &amp; K887 &amp; "",".",",")</f>
        <v>4.75076003555556</v>
      </c>
      <c r="N887" s="10"/>
      <c r="O887" s="0" t="str">
        <f aca="false">VLOOKUP(C887,statusdetails!$A:$D,4,0)</f>
        <v>READY</v>
      </c>
    </row>
    <row r="888" customFormat="false" ht="12.8" hidden="true" customHeight="false" outlineLevel="0" collapsed="false">
      <c r="A888" s="0" t="n">
        <v>467017</v>
      </c>
      <c r="B888" s="0" t="n">
        <v>467017</v>
      </c>
      <c r="C888" s="0" t="n">
        <v>1</v>
      </c>
      <c r="D888" s="0" t="n">
        <v>2303</v>
      </c>
      <c r="E888" s="0" t="n">
        <v>969</v>
      </c>
      <c r="F888" s="0" t="n">
        <v>45</v>
      </c>
      <c r="G888" s="0" t="n">
        <v>133</v>
      </c>
      <c r="H888" s="0" t="s">
        <v>1774</v>
      </c>
      <c r="I888" s="0" t="s">
        <v>1778</v>
      </c>
      <c r="J888" s="9" t="n">
        <v>45903</v>
      </c>
      <c r="K888" s="0" t="s">
        <v>1779</v>
      </c>
      <c r="L888" s="0" t="n">
        <v>21</v>
      </c>
      <c r="M888" s="10" t="n">
        <f aca="false">_xlfn.NUMBERVALUE("" &amp; K888 &amp; "",".",",")</f>
        <v>1.03457462055556</v>
      </c>
      <c r="N888" s="10"/>
      <c r="O888" s="0" t="str">
        <f aca="false">VLOOKUP(C888,statusdetails!$A:$D,4,0)</f>
        <v>READY</v>
      </c>
    </row>
    <row r="889" customFormat="false" ht="12.8" hidden="true" customHeight="false" outlineLevel="0" collapsed="false">
      <c r="A889" s="0" t="n">
        <v>467018</v>
      </c>
      <c r="B889" s="0" t="n">
        <v>467018</v>
      </c>
      <c r="C889" s="0" t="n">
        <v>3</v>
      </c>
      <c r="D889" s="0" t="n">
        <v>14</v>
      </c>
      <c r="E889" s="0" t="n">
        <v>1159</v>
      </c>
      <c r="F889" s="0" t="n">
        <v>42</v>
      </c>
      <c r="G889" s="0" t="n">
        <v>16</v>
      </c>
      <c r="H889" s="0" t="s">
        <v>1709</v>
      </c>
      <c r="I889" s="0" t="s">
        <v>1780</v>
      </c>
      <c r="J889" s="9" t="n">
        <v>45903</v>
      </c>
      <c r="K889" s="0" t="s">
        <v>1781</v>
      </c>
      <c r="L889" s="0" t="n">
        <v>21</v>
      </c>
      <c r="M889" s="10" t="n">
        <f aca="false">_xlfn.NUMBERVALUE("" &amp; K889 &amp; "",".",",")</f>
        <v>0.138308888888889</v>
      </c>
      <c r="N889" s="10"/>
      <c r="O889" s="0" t="str">
        <f aca="false">VLOOKUP(C889,statusdetails!$A:$D,4,0)</f>
        <v>STANDBY</v>
      </c>
      <c r="P889" s="0" t="str">
        <f aca="false">VLOOKUP(F889,equipment!$A:$E,4,0)</f>
        <v>PE301</v>
      </c>
      <c r="Q889" s="0" t="str">
        <f aca="false">VLOOKUP(F889,equipment!$A:$E,5,0)</f>
        <v>PE301 - 42</v>
      </c>
    </row>
    <row r="890" customFormat="false" ht="12.8" hidden="true" customHeight="false" outlineLevel="0" collapsed="false">
      <c r="A890" s="0" t="n">
        <v>467019</v>
      </c>
      <c r="B890" s="0" t="n">
        <v>467019</v>
      </c>
      <c r="C890" s="0" t="n">
        <v>1</v>
      </c>
      <c r="D890" s="0" t="n">
        <v>6</v>
      </c>
      <c r="E890" s="0" t="n">
        <v>811</v>
      </c>
      <c r="F890" s="0" t="n">
        <v>42</v>
      </c>
      <c r="G890" s="0" t="n">
        <v>16</v>
      </c>
      <c r="H890" s="0" t="s">
        <v>1780</v>
      </c>
      <c r="I890" s="0" t="s">
        <v>1782</v>
      </c>
      <c r="J890" s="9" t="n">
        <v>45903</v>
      </c>
      <c r="K890" s="0" t="s">
        <v>1783</v>
      </c>
      <c r="L890" s="0" t="n">
        <v>21</v>
      </c>
      <c r="M890" s="10" t="n">
        <f aca="false">_xlfn.NUMBERVALUE("" &amp; K890 &amp; "",".",",")</f>
        <v>3.80625416666667</v>
      </c>
      <c r="N890" s="10"/>
      <c r="O890" s="0" t="str">
        <f aca="false">VLOOKUP(C890,statusdetails!$A:$D,4,0)</f>
        <v>READY</v>
      </c>
    </row>
    <row r="891" customFormat="false" ht="12.8" hidden="true" customHeight="false" outlineLevel="0" collapsed="false">
      <c r="A891" s="0" t="n">
        <v>467020</v>
      </c>
      <c r="B891" s="0" t="n">
        <v>467020</v>
      </c>
      <c r="C891" s="0" t="n">
        <v>3</v>
      </c>
      <c r="D891" s="0" t="n">
        <v>12</v>
      </c>
      <c r="E891" s="0" t="n">
        <v>1175</v>
      </c>
      <c r="F891" s="0" t="n">
        <v>74</v>
      </c>
      <c r="G891" s="0" t="n">
        <v>0</v>
      </c>
      <c r="H891" s="0" t="s">
        <v>1508</v>
      </c>
      <c r="I891" s="0" t="s">
        <v>1784</v>
      </c>
      <c r="J891" s="9" t="n">
        <v>45903</v>
      </c>
      <c r="K891" s="0" t="s">
        <v>1785</v>
      </c>
      <c r="L891" s="0" t="n">
        <v>21</v>
      </c>
      <c r="M891" s="10" t="n">
        <f aca="false">_xlfn.NUMBERVALUE("" &amp; K891 &amp; "",".",",")</f>
        <v>0.288537166944444</v>
      </c>
      <c r="N891" s="10"/>
      <c r="O891" s="0" t="str">
        <f aca="false">VLOOKUP(C891,statusdetails!$A:$D,4,0)</f>
        <v>STANDBY</v>
      </c>
      <c r="P891" s="0" t="str">
        <f aca="false">VLOOKUP(F891,equipment!$A:$E,4,0)</f>
        <v>CR701</v>
      </c>
      <c r="Q891" s="0" t="str">
        <f aca="false">VLOOKUP(F891,equipment!$A:$E,5,0)</f>
        <v>CR701 - 74</v>
      </c>
    </row>
    <row r="892" customFormat="false" ht="12.8" hidden="true" customHeight="false" outlineLevel="0" collapsed="false">
      <c r="A892" s="0" t="n">
        <v>467021</v>
      </c>
      <c r="B892" s="0" t="n">
        <v>467021</v>
      </c>
      <c r="C892" s="0" t="n">
        <v>3</v>
      </c>
      <c r="D892" s="0" t="n">
        <v>12</v>
      </c>
      <c r="E892" s="0" t="n">
        <v>2504</v>
      </c>
      <c r="F892" s="0" t="n">
        <v>85</v>
      </c>
      <c r="G892" s="0" t="n">
        <v>0</v>
      </c>
      <c r="H892" s="0" t="s">
        <v>1515</v>
      </c>
      <c r="I892" s="0" t="s">
        <v>1786</v>
      </c>
      <c r="J892" s="9" t="n">
        <v>45903</v>
      </c>
      <c r="K892" s="0" t="s">
        <v>1787</v>
      </c>
      <c r="L892" s="0" t="n">
        <v>21</v>
      </c>
      <c r="M892" s="10" t="n">
        <f aca="false">_xlfn.NUMBERVALUE("" &amp; K892 &amp; "",".",",")</f>
        <v>5.57483985305555</v>
      </c>
      <c r="N892" s="10"/>
      <c r="O892" s="0" t="str">
        <f aca="false">VLOOKUP(C892,statusdetails!$A:$D,4,0)</f>
        <v>STANDBY</v>
      </c>
      <c r="P892" s="0" t="str">
        <f aca="false">VLOOKUP(F892,equipment!$A:$E,4,0)</f>
        <v>CM02</v>
      </c>
      <c r="Q892" s="0" t="str">
        <f aca="false">VLOOKUP(F892,equipment!$A:$E,5,0)</f>
        <v>CM02 - 85</v>
      </c>
    </row>
    <row r="893" customFormat="false" ht="12.8" hidden="true" customHeight="false" outlineLevel="0" collapsed="false">
      <c r="A893" s="0" t="n">
        <v>467022</v>
      </c>
      <c r="B893" s="0" t="n">
        <v>466680</v>
      </c>
      <c r="C893" s="0" t="n">
        <v>4</v>
      </c>
      <c r="D893" s="0" t="n">
        <v>16</v>
      </c>
      <c r="E893" s="0" t="n">
        <v>1753</v>
      </c>
      <c r="F893" s="0" t="n">
        <v>91</v>
      </c>
      <c r="G893" s="0" t="n">
        <v>64</v>
      </c>
      <c r="H893" s="11" t="n">
        <v>45902.8003587963</v>
      </c>
      <c r="I893" s="0" t="s">
        <v>1788</v>
      </c>
      <c r="J893" s="9" t="n">
        <v>45902</v>
      </c>
      <c r="K893" s="0" t="s">
        <v>1789</v>
      </c>
      <c r="L893" s="0" t="n">
        <v>19</v>
      </c>
      <c r="M893" s="10" t="n">
        <f aca="false">_xlfn.NUMBERVALUE("" &amp; K893 &amp; "",".",",")</f>
        <v>80.9505085980555</v>
      </c>
      <c r="N893" s="10"/>
      <c r="O893" s="0" t="str">
        <f aca="false">VLOOKUP(C893,statusdetails!$A:$D,4,0)</f>
        <v>MAINT</v>
      </c>
    </row>
    <row r="894" customFormat="false" ht="12.8" hidden="true" customHeight="false" outlineLevel="0" collapsed="false">
      <c r="A894" s="0" t="n">
        <v>467023</v>
      </c>
      <c r="B894" s="0" t="n">
        <v>467023</v>
      </c>
      <c r="C894" s="0" t="n">
        <v>1</v>
      </c>
      <c r="D894" s="0" t="n">
        <v>6</v>
      </c>
      <c r="E894" s="0" t="n">
        <v>2524</v>
      </c>
      <c r="F894" s="0" t="n">
        <v>49</v>
      </c>
      <c r="G894" s="0" t="n">
        <v>42</v>
      </c>
      <c r="H894" s="0" t="s">
        <v>1750</v>
      </c>
      <c r="I894" s="0" t="s">
        <v>1790</v>
      </c>
      <c r="J894" s="9" t="n">
        <v>45903</v>
      </c>
      <c r="K894" s="0" t="s">
        <v>1791</v>
      </c>
      <c r="L894" s="0" t="n">
        <v>21</v>
      </c>
      <c r="M894" s="10" t="n">
        <f aca="false">_xlfn.NUMBERVALUE("" &amp; K894 &amp; "",".",",")</f>
        <v>0.0112009066666667</v>
      </c>
      <c r="N894" s="10"/>
      <c r="O894" s="0" t="str">
        <f aca="false">VLOOKUP(C894,statusdetails!$A:$D,4,0)</f>
        <v>READY</v>
      </c>
    </row>
    <row r="895" customFormat="false" ht="12.8" hidden="true" customHeight="false" outlineLevel="0" collapsed="false">
      <c r="A895" s="0" t="n">
        <v>467024</v>
      </c>
      <c r="B895" s="0" t="n">
        <v>467024</v>
      </c>
      <c r="C895" s="0" t="n">
        <v>3</v>
      </c>
      <c r="D895" s="0" t="n">
        <v>12</v>
      </c>
      <c r="E895" s="0" t="n">
        <v>1175</v>
      </c>
      <c r="F895" s="0" t="n">
        <v>49</v>
      </c>
      <c r="G895" s="0" t="n">
        <v>42</v>
      </c>
      <c r="H895" s="0" t="s">
        <v>1790</v>
      </c>
      <c r="I895" s="0" t="s">
        <v>1792</v>
      </c>
      <c r="J895" s="9" t="n">
        <v>45903</v>
      </c>
      <c r="K895" s="0" t="s">
        <v>1793</v>
      </c>
      <c r="L895" s="0" t="n">
        <v>21</v>
      </c>
      <c r="M895" s="10" t="n">
        <f aca="false">_xlfn.NUMBERVALUE("" &amp; K895 &amp; "",".",",")</f>
        <v>11.7534529783333</v>
      </c>
      <c r="N895" s="10"/>
      <c r="O895" s="0" t="str">
        <f aca="false">VLOOKUP(C895,statusdetails!$A:$D,4,0)</f>
        <v>STANDBY</v>
      </c>
      <c r="P895" s="0" t="str">
        <f aca="false">VLOOKUP(F895,equipment!$A:$E,4,0)</f>
        <v>CR702</v>
      </c>
      <c r="Q895" s="0" t="str">
        <f aca="false">VLOOKUP(F895,equipment!$A:$E,5,0)</f>
        <v>CR702 - 49</v>
      </c>
    </row>
    <row r="896" customFormat="false" ht="12.8" hidden="true" customHeight="false" outlineLevel="0" collapsed="false">
      <c r="A896" s="0" t="n">
        <v>467025</v>
      </c>
      <c r="B896" s="0" t="n">
        <v>467025</v>
      </c>
      <c r="C896" s="0" t="n">
        <v>1</v>
      </c>
      <c r="D896" s="0" t="n">
        <v>6</v>
      </c>
      <c r="E896" s="0" t="n">
        <v>2524</v>
      </c>
      <c r="F896" s="0" t="n">
        <v>74</v>
      </c>
      <c r="G896" s="0" t="n">
        <v>0</v>
      </c>
      <c r="H896" s="0" t="s">
        <v>1784</v>
      </c>
      <c r="I896" s="0" t="s">
        <v>1794</v>
      </c>
      <c r="J896" s="9" t="n">
        <v>45903</v>
      </c>
      <c r="K896" s="0" t="s">
        <v>1795</v>
      </c>
      <c r="L896" s="0" t="n">
        <v>21</v>
      </c>
      <c r="M896" s="10" t="n">
        <f aca="false">_xlfn.NUMBERVALUE("" &amp; K896 &amp; "",".",",")</f>
        <v>1.76811559444444</v>
      </c>
      <c r="N896" s="10"/>
      <c r="O896" s="0" t="str">
        <f aca="false">VLOOKUP(C896,statusdetails!$A:$D,4,0)</f>
        <v>READY</v>
      </c>
    </row>
    <row r="897" customFormat="false" ht="12.8" hidden="true" customHeight="false" outlineLevel="0" collapsed="false">
      <c r="A897" s="0" t="n">
        <v>467026</v>
      </c>
      <c r="B897" s="0" t="n">
        <v>467026</v>
      </c>
      <c r="C897" s="0" t="n">
        <v>3</v>
      </c>
      <c r="D897" s="0" t="n">
        <v>14</v>
      </c>
      <c r="E897" s="0" t="n">
        <v>1143</v>
      </c>
      <c r="F897" s="0" t="n">
        <v>45</v>
      </c>
      <c r="G897" s="0" t="n">
        <v>133</v>
      </c>
      <c r="H897" s="0" t="s">
        <v>1778</v>
      </c>
      <c r="I897" s="0" t="s">
        <v>1796</v>
      </c>
      <c r="J897" s="9" t="n">
        <v>45903</v>
      </c>
      <c r="K897" s="0" t="s">
        <v>1797</v>
      </c>
      <c r="L897" s="0" t="n">
        <v>22</v>
      </c>
      <c r="M897" s="10" t="n">
        <f aca="false">_xlfn.NUMBERVALUE("" &amp; K897 &amp; "",".",",")</f>
        <v>1.0984339925</v>
      </c>
      <c r="N897" s="10"/>
      <c r="O897" s="0" t="str">
        <f aca="false">VLOOKUP(C897,statusdetails!$A:$D,4,0)</f>
        <v>STANDBY</v>
      </c>
      <c r="P897" s="0" t="str">
        <f aca="false">VLOOKUP(F897,equipment!$A:$E,4,0)</f>
        <v>EX501</v>
      </c>
      <c r="Q897" s="0" t="str">
        <f aca="false">VLOOKUP(F897,equipment!$A:$E,5,0)</f>
        <v>EX501 - 45</v>
      </c>
    </row>
    <row r="898" customFormat="false" ht="12.8" hidden="true" customHeight="false" outlineLevel="0" collapsed="false">
      <c r="A898" s="0" t="n">
        <v>467027</v>
      </c>
      <c r="B898" s="0" t="n">
        <v>467027</v>
      </c>
      <c r="C898" s="0" t="n">
        <v>3</v>
      </c>
      <c r="D898" s="0" t="n">
        <v>12</v>
      </c>
      <c r="E898" s="0" t="n">
        <v>167</v>
      </c>
      <c r="F898" s="0" t="n">
        <v>45</v>
      </c>
      <c r="G898" s="0" t="n">
        <v>133</v>
      </c>
      <c r="H898" s="0" t="s">
        <v>1796</v>
      </c>
      <c r="I898" s="0" t="s">
        <v>1798</v>
      </c>
      <c r="J898" s="9" t="n">
        <v>45903</v>
      </c>
      <c r="K898" s="0" t="s">
        <v>1799</v>
      </c>
      <c r="L898" s="0" t="n">
        <v>23</v>
      </c>
      <c r="M898" s="10" t="n">
        <f aca="false">_xlfn.NUMBERVALUE("" &amp; K898 &amp; "",".",",")</f>
        <v>4.35453743361111</v>
      </c>
      <c r="N898" s="10"/>
      <c r="O898" s="0" t="str">
        <f aca="false">VLOOKUP(C898,statusdetails!$A:$D,4,0)</f>
        <v>STANDBY</v>
      </c>
      <c r="P898" s="0" t="str">
        <f aca="false">VLOOKUP(F898,equipment!$A:$E,4,0)</f>
        <v>EX501</v>
      </c>
      <c r="Q898" s="0" t="str">
        <f aca="false">VLOOKUP(F898,equipment!$A:$E,5,0)</f>
        <v>EX501 - 45</v>
      </c>
    </row>
    <row r="899" customFormat="false" ht="12.8" hidden="true" customHeight="false" outlineLevel="0" collapsed="false">
      <c r="A899" s="0" t="n">
        <v>467028</v>
      </c>
      <c r="B899" s="0" t="n">
        <v>467028</v>
      </c>
      <c r="C899" s="0" t="n">
        <v>3</v>
      </c>
      <c r="D899" s="0" t="n">
        <v>12</v>
      </c>
      <c r="E899" s="0" t="n">
        <v>1175</v>
      </c>
      <c r="F899" s="0" t="n">
        <v>74</v>
      </c>
      <c r="G899" s="0" t="n">
        <v>42</v>
      </c>
      <c r="H899" s="0" t="s">
        <v>1794</v>
      </c>
      <c r="I899" s="0" t="s">
        <v>1800</v>
      </c>
      <c r="J899" s="9" t="n">
        <v>45903</v>
      </c>
      <c r="K899" s="0" t="s">
        <v>1801</v>
      </c>
      <c r="L899" s="0" t="n">
        <v>23</v>
      </c>
      <c r="M899" s="10" t="n">
        <f aca="false">_xlfn.NUMBERVALUE("" &amp; K899 &amp; "",".",",")</f>
        <v>4.80171472222222</v>
      </c>
      <c r="N899" s="10"/>
      <c r="O899" s="0" t="str">
        <f aca="false">VLOOKUP(C899,statusdetails!$A:$D,4,0)</f>
        <v>STANDBY</v>
      </c>
      <c r="P899" s="0" t="str">
        <f aca="false">VLOOKUP(F899,equipment!$A:$E,4,0)</f>
        <v>CR701</v>
      </c>
      <c r="Q899" s="0" t="str">
        <f aca="false">VLOOKUP(F899,equipment!$A:$E,5,0)</f>
        <v>CR701 - 74</v>
      </c>
    </row>
    <row r="900" customFormat="false" ht="12.8" hidden="true" customHeight="false" outlineLevel="0" collapsed="false">
      <c r="A900" s="0" t="n">
        <v>467029</v>
      </c>
      <c r="B900" s="0" t="n">
        <v>467029</v>
      </c>
      <c r="C900" s="0" t="n">
        <v>3</v>
      </c>
      <c r="D900" s="0" t="n">
        <v>14</v>
      </c>
      <c r="E900" s="0" t="n">
        <v>1142</v>
      </c>
      <c r="F900" s="0" t="n">
        <v>33</v>
      </c>
      <c r="G900" s="0" t="n">
        <v>7</v>
      </c>
      <c r="H900" s="0" t="s">
        <v>1736</v>
      </c>
      <c r="I900" s="11" t="n">
        <v>45904.0283564815</v>
      </c>
      <c r="J900" s="9" t="n">
        <v>45903</v>
      </c>
      <c r="K900" s="0" t="s">
        <v>1802</v>
      </c>
      <c r="L900" s="0" t="n">
        <v>23</v>
      </c>
      <c r="M900" s="10" t="n">
        <f aca="false">_xlfn.NUMBERVALUE("" &amp; K900 &amp; "",".",",")</f>
        <v>1.08685203138889</v>
      </c>
      <c r="N900" s="10"/>
      <c r="O900" s="0" t="str">
        <f aca="false">VLOOKUP(C900,statusdetails!$A:$D,4,0)</f>
        <v>STANDBY</v>
      </c>
      <c r="P900" s="0" t="str">
        <f aca="false">VLOOKUP(F900,equipment!$A:$E,4,0)</f>
        <v>CM406</v>
      </c>
      <c r="Q900" s="0" t="str">
        <f aca="false">VLOOKUP(F900,equipment!$A:$E,5,0)</f>
        <v>CM406 - 33</v>
      </c>
    </row>
    <row r="901" customFormat="false" ht="12.8" hidden="true" customHeight="false" outlineLevel="0" collapsed="false">
      <c r="A901" s="0" t="n">
        <v>467030</v>
      </c>
      <c r="B901" s="0" t="n">
        <v>467030</v>
      </c>
      <c r="C901" s="0" t="n">
        <v>3</v>
      </c>
      <c r="D901" s="0" t="n">
        <v>14</v>
      </c>
      <c r="E901" s="0" t="n">
        <v>2555</v>
      </c>
      <c r="F901" s="0" t="n">
        <v>87</v>
      </c>
      <c r="G901" s="0" t="n">
        <v>147</v>
      </c>
      <c r="H901" s="0" t="s">
        <v>1740</v>
      </c>
      <c r="I901" s="0" t="s">
        <v>1803</v>
      </c>
      <c r="J901" s="9" t="n">
        <v>45903</v>
      </c>
      <c r="K901" s="0" t="s">
        <v>1804</v>
      </c>
      <c r="L901" s="0" t="n">
        <v>0</v>
      </c>
      <c r="M901" s="10" t="n">
        <f aca="false">_xlfn.NUMBERVALUE("" &amp; K901 &amp; "",".",",")</f>
        <v>0.0502706336111111</v>
      </c>
      <c r="N901" s="10"/>
      <c r="O901" s="0" t="str">
        <f aca="false">VLOOKUP(C901,statusdetails!$A:$D,4,0)</f>
        <v>STANDBY</v>
      </c>
      <c r="P901" s="0" t="str">
        <f aca="false">VLOOKUP(F901,equipment!$A:$E,4,0)</f>
        <v>CM04</v>
      </c>
      <c r="Q901" s="0" t="str">
        <f aca="false">VLOOKUP(F901,equipment!$A:$E,5,0)</f>
        <v>CM04 - 87</v>
      </c>
    </row>
    <row r="902" customFormat="false" ht="12.8" hidden="true" customHeight="false" outlineLevel="0" collapsed="false">
      <c r="A902" s="0" t="n">
        <v>467031</v>
      </c>
      <c r="B902" s="0" t="n">
        <v>467031</v>
      </c>
      <c r="C902" s="0" t="n">
        <v>1</v>
      </c>
      <c r="D902" s="0" t="n">
        <v>6</v>
      </c>
      <c r="E902" s="0" t="n">
        <v>2404</v>
      </c>
      <c r="F902" s="0" t="n">
        <v>87</v>
      </c>
      <c r="G902" s="0" t="n">
        <v>147</v>
      </c>
      <c r="H902" s="0" t="s">
        <v>1803</v>
      </c>
      <c r="I902" s="0" t="s">
        <v>1805</v>
      </c>
      <c r="J902" s="9" t="n">
        <v>45903</v>
      </c>
      <c r="K902" s="0" t="s">
        <v>1806</v>
      </c>
      <c r="L902" s="0" t="n">
        <v>0</v>
      </c>
      <c r="M902" s="10" t="n">
        <f aca="false">_xlfn.NUMBERVALUE("" &amp; K902 &amp; "",".",",")</f>
        <v>2.60169453916667</v>
      </c>
      <c r="N902" s="10"/>
      <c r="O902" s="0" t="str">
        <f aca="false">VLOOKUP(C902,statusdetails!$A:$D,4,0)</f>
        <v>READY</v>
      </c>
    </row>
    <row r="903" customFormat="false" ht="12.8" hidden="true" customHeight="false" outlineLevel="0" collapsed="false">
      <c r="A903" s="0" t="n">
        <v>467032</v>
      </c>
      <c r="B903" s="0" t="n">
        <v>467032</v>
      </c>
      <c r="C903" s="0" t="n">
        <v>3</v>
      </c>
      <c r="D903" s="0" t="n">
        <v>12</v>
      </c>
      <c r="E903" s="0" t="n">
        <v>394</v>
      </c>
      <c r="F903" s="0" t="n">
        <v>37</v>
      </c>
      <c r="G903" s="0" t="n">
        <v>54</v>
      </c>
      <c r="H903" s="0" t="s">
        <v>1764</v>
      </c>
      <c r="I903" s="0" t="s">
        <v>1807</v>
      </c>
      <c r="J903" s="9" t="n">
        <v>45903</v>
      </c>
      <c r="K903" s="0" t="s">
        <v>1808</v>
      </c>
      <c r="L903" s="0" t="n">
        <v>0</v>
      </c>
      <c r="M903" s="10" t="n">
        <f aca="false">_xlfn.NUMBERVALUE("" &amp; K903 &amp; "",".",",")</f>
        <v>0.852839548333333</v>
      </c>
      <c r="N903" s="10"/>
      <c r="O903" s="0" t="str">
        <f aca="false">VLOOKUP(C903,statusdetails!$A:$D,4,0)</f>
        <v>STANDBY</v>
      </c>
      <c r="P903" s="0" t="str">
        <f aca="false">VLOOKUP(F903,equipment!$A:$E,4,0)</f>
        <v>DZ201</v>
      </c>
      <c r="Q903" s="0" t="str">
        <f aca="false">VLOOKUP(F903,equipment!$A:$E,5,0)</f>
        <v>DZ201 - 37</v>
      </c>
    </row>
    <row r="904" customFormat="false" ht="12.8" hidden="true" customHeight="false" outlineLevel="0" collapsed="false">
      <c r="A904" s="0" t="n">
        <v>467034</v>
      </c>
      <c r="B904" s="0" t="n">
        <v>467033</v>
      </c>
      <c r="C904" s="0" t="n">
        <v>3</v>
      </c>
      <c r="D904" s="0" t="n">
        <v>12</v>
      </c>
      <c r="E904" s="0" t="n">
        <v>289</v>
      </c>
      <c r="F904" s="0" t="n">
        <v>33</v>
      </c>
      <c r="G904" s="0" t="n">
        <v>7</v>
      </c>
      <c r="H904" s="11" t="n">
        <v>45904.0283564815</v>
      </c>
      <c r="I904" s="0" t="s">
        <v>1809</v>
      </c>
      <c r="J904" s="9" t="n">
        <v>45903</v>
      </c>
      <c r="K904" s="0" t="s">
        <v>1810</v>
      </c>
      <c r="L904" s="0" t="n">
        <v>0</v>
      </c>
      <c r="M904" s="10" t="n">
        <f aca="false">_xlfn.NUMBERVALUE("" &amp; K904 &amp; "",".",",")</f>
        <v>1.35148166361111</v>
      </c>
      <c r="N904" s="10"/>
      <c r="O904" s="0" t="str">
        <f aca="false">VLOOKUP(C904,statusdetails!$A:$D,4,0)</f>
        <v>STANDBY</v>
      </c>
      <c r="P904" s="0" t="str">
        <f aca="false">VLOOKUP(F904,equipment!$A:$E,4,0)</f>
        <v>CM406</v>
      </c>
      <c r="Q904" s="0" t="str">
        <f aca="false">VLOOKUP(F904,equipment!$A:$E,5,0)</f>
        <v>CM406 - 33</v>
      </c>
    </row>
    <row r="905" customFormat="false" ht="12.8" hidden="true" customHeight="false" outlineLevel="0" collapsed="false">
      <c r="A905" s="0" t="n">
        <v>467035</v>
      </c>
      <c r="B905" s="0" t="n">
        <v>467035</v>
      </c>
      <c r="C905" s="0" t="n">
        <v>3</v>
      </c>
      <c r="D905" s="0" t="n">
        <v>14</v>
      </c>
      <c r="E905" s="0" t="n">
        <v>1139</v>
      </c>
      <c r="F905" s="0" t="n">
        <v>42</v>
      </c>
      <c r="G905" s="0" t="n">
        <v>16</v>
      </c>
      <c r="H905" s="0" t="s">
        <v>1782</v>
      </c>
      <c r="I905" s="0" t="s">
        <v>1811</v>
      </c>
      <c r="J905" s="9" t="n">
        <v>45903</v>
      </c>
      <c r="K905" s="0" t="s">
        <v>1812</v>
      </c>
      <c r="L905" s="0" t="n">
        <v>1</v>
      </c>
      <c r="M905" s="10" t="n">
        <f aca="false">_xlfn.NUMBERVALUE("" &amp; K905 &amp; "",".",",")</f>
        <v>2.00358833333333</v>
      </c>
      <c r="N905" s="10"/>
      <c r="O905" s="0" t="str">
        <f aca="false">VLOOKUP(C905,statusdetails!$A:$D,4,0)</f>
        <v>STANDBY</v>
      </c>
      <c r="P905" s="0" t="str">
        <f aca="false">VLOOKUP(F905,equipment!$A:$E,4,0)</f>
        <v>PE301</v>
      </c>
      <c r="Q905" s="0" t="str">
        <f aca="false">VLOOKUP(F905,equipment!$A:$E,5,0)</f>
        <v>PE301 - 42</v>
      </c>
    </row>
    <row r="906" customFormat="false" ht="12.8" hidden="true" customHeight="false" outlineLevel="0" collapsed="false">
      <c r="A906" s="0" t="n">
        <v>467036</v>
      </c>
      <c r="B906" s="0" t="n">
        <v>467036</v>
      </c>
      <c r="C906" s="0" t="n">
        <v>1</v>
      </c>
      <c r="D906" s="0" t="n">
        <v>6</v>
      </c>
      <c r="E906" s="0" t="n">
        <v>372</v>
      </c>
      <c r="F906" s="0" t="n">
        <v>37</v>
      </c>
      <c r="G906" s="0" t="n">
        <v>54</v>
      </c>
      <c r="H906" s="0" t="s">
        <v>1807</v>
      </c>
      <c r="I906" s="0" t="s">
        <v>1813</v>
      </c>
      <c r="J906" s="9" t="n">
        <v>45903</v>
      </c>
      <c r="K906" s="0" t="s">
        <v>1814</v>
      </c>
      <c r="L906" s="0" t="n">
        <v>1</v>
      </c>
      <c r="M906" s="10" t="n">
        <f aca="false">_xlfn.NUMBERVALUE("" &amp; K906 &amp; "",".",",")</f>
        <v>1.69570583333333</v>
      </c>
      <c r="N906" s="10"/>
      <c r="O906" s="0" t="str">
        <f aca="false">VLOOKUP(C906,statusdetails!$A:$D,4,0)</f>
        <v>READY</v>
      </c>
    </row>
    <row r="907" customFormat="false" ht="12.8" hidden="true" customHeight="false" outlineLevel="0" collapsed="false">
      <c r="A907" s="0" t="n">
        <v>467038</v>
      </c>
      <c r="B907" s="0" t="n">
        <v>466952</v>
      </c>
      <c r="C907" s="0" t="n">
        <v>3</v>
      </c>
      <c r="D907" s="0" t="n">
        <v>14</v>
      </c>
      <c r="E907" s="0" t="n">
        <v>1788</v>
      </c>
      <c r="F907" s="0" t="n">
        <v>41</v>
      </c>
      <c r="G907" s="0" t="n">
        <v>58</v>
      </c>
      <c r="H907" s="12" t="n">
        <v>45903.7879282407</v>
      </c>
      <c r="I907" s="12" t="n">
        <v>45903.7917708333</v>
      </c>
      <c r="J907" s="9" t="n">
        <v>45903</v>
      </c>
      <c r="K907" s="0" t="s">
        <v>1815</v>
      </c>
      <c r="L907" s="0" t="n">
        <v>18</v>
      </c>
      <c r="M907" s="10" t="n">
        <f aca="false">_xlfn.NUMBERVALUE("" &amp; K907 &amp; "",".",",")</f>
        <v>0.0922222222222222</v>
      </c>
      <c r="N907" s="10"/>
      <c r="O907" s="0" t="str">
        <f aca="false">VLOOKUP(C907,statusdetails!$A:$D,4,0)</f>
        <v>STANDBY</v>
      </c>
      <c r="P907" s="0" t="str">
        <f aca="false">VLOOKUP(F907,equipment!$A:$E,4,0)</f>
        <v>MO102</v>
      </c>
      <c r="Q907" s="0" t="str">
        <f aca="false">VLOOKUP(F907,equipment!$A:$E,5,0)</f>
        <v>MO102 - 41</v>
      </c>
    </row>
    <row r="908" customFormat="false" ht="12.8" hidden="false" customHeight="false" outlineLevel="0" collapsed="false">
      <c r="A908" s="0" t="n">
        <v>467040</v>
      </c>
      <c r="B908" s="0" t="n">
        <v>467039</v>
      </c>
      <c r="C908" s="0" t="n">
        <v>1</v>
      </c>
      <c r="D908" s="0" t="n">
        <v>6</v>
      </c>
      <c r="E908" s="0" t="n">
        <v>586</v>
      </c>
      <c r="F908" s="0" t="n">
        <v>41</v>
      </c>
      <c r="G908" s="0" t="n">
        <v>118</v>
      </c>
      <c r="H908" s="12" t="n">
        <v>45903.7917708333</v>
      </c>
      <c r="I908" s="12" t="n">
        <v>45903.9886805556</v>
      </c>
      <c r="J908" s="9" t="n">
        <v>45903</v>
      </c>
      <c r="K908" s="0" t="s">
        <v>1816</v>
      </c>
      <c r="L908" s="0" t="n">
        <v>19</v>
      </c>
      <c r="M908" s="10" t="n">
        <f aca="false">_xlfn.NUMBERVALUE("" &amp; K908 &amp; "",".",",")</f>
        <v>4.72583333333333</v>
      </c>
      <c r="N908" s="10"/>
      <c r="O908" s="0" t="str">
        <f aca="false">VLOOKUP(C908,statusdetails!$A:$D,4,0)</f>
        <v>READY</v>
      </c>
    </row>
    <row r="909" customFormat="false" ht="12.8" hidden="true" customHeight="false" outlineLevel="0" collapsed="false">
      <c r="A909" s="0" t="n">
        <v>467041</v>
      </c>
      <c r="B909" s="0" t="n">
        <v>467041</v>
      </c>
      <c r="C909" s="0" t="n">
        <v>3</v>
      </c>
      <c r="D909" s="0" t="n">
        <v>12</v>
      </c>
      <c r="E909" s="0" t="n">
        <v>608</v>
      </c>
      <c r="F909" s="0" t="n">
        <v>41</v>
      </c>
      <c r="G909" s="0" t="n">
        <v>118</v>
      </c>
      <c r="H909" s="11" t="n">
        <v>45903.9886805556</v>
      </c>
      <c r="I909" s="11" t="n">
        <v>45904.0004861111</v>
      </c>
      <c r="J909" s="9" t="n">
        <v>45903</v>
      </c>
      <c r="K909" s="0" t="s">
        <v>1817</v>
      </c>
      <c r="L909" s="0" t="n">
        <v>23</v>
      </c>
      <c r="M909" s="10" t="n">
        <f aca="false">_xlfn.NUMBERVALUE("" &amp; K909 &amp; "",".",",")</f>
        <v>0.283333333333333</v>
      </c>
      <c r="N909" s="10"/>
      <c r="O909" s="0" t="str">
        <f aca="false">VLOOKUP(C909,statusdetails!$A:$D,4,0)</f>
        <v>STANDBY</v>
      </c>
      <c r="P909" s="0" t="str">
        <f aca="false">VLOOKUP(F909,equipment!$A:$E,4,0)</f>
        <v>MO102</v>
      </c>
      <c r="Q909" s="0" t="str">
        <f aca="false">VLOOKUP(F909,equipment!$A:$E,5,0)</f>
        <v>MO102 - 41</v>
      </c>
    </row>
    <row r="910" customFormat="false" ht="12.8" hidden="true" customHeight="false" outlineLevel="0" collapsed="false">
      <c r="A910" s="0" t="n">
        <v>467042</v>
      </c>
      <c r="B910" s="0" t="n">
        <v>467042</v>
      </c>
      <c r="C910" s="0" t="n">
        <v>1</v>
      </c>
      <c r="D910" s="0" t="n">
        <v>6</v>
      </c>
      <c r="E910" s="0" t="n">
        <v>586</v>
      </c>
      <c r="F910" s="0" t="n">
        <v>41</v>
      </c>
      <c r="G910" s="0" t="n">
        <v>61</v>
      </c>
      <c r="H910" s="11" t="n">
        <v>45904.0004861111</v>
      </c>
      <c r="I910" s="0" t="s">
        <v>1818</v>
      </c>
      <c r="J910" s="9" t="n">
        <v>45903</v>
      </c>
      <c r="K910" s="0" t="s">
        <v>1819</v>
      </c>
      <c r="L910" s="0" t="n">
        <v>0</v>
      </c>
      <c r="M910" s="10" t="n">
        <f aca="false">_xlfn.NUMBERVALUE("" &amp; K910 &amp; "",".",",")</f>
        <v>1.73813188694444</v>
      </c>
      <c r="N910" s="10"/>
      <c r="O910" s="0" t="str">
        <f aca="false">VLOOKUP(C910,statusdetails!$A:$D,4,0)</f>
        <v>READY</v>
      </c>
    </row>
    <row r="911" customFormat="false" ht="12.8" hidden="true" customHeight="false" outlineLevel="0" collapsed="false">
      <c r="A911" s="0" t="n">
        <v>467043</v>
      </c>
      <c r="B911" s="0" t="n">
        <v>467043</v>
      </c>
      <c r="C911" s="0" t="n">
        <v>3</v>
      </c>
      <c r="D911" s="0" t="n">
        <v>12</v>
      </c>
      <c r="E911" s="0" t="n">
        <v>608</v>
      </c>
      <c r="F911" s="0" t="n">
        <v>41</v>
      </c>
      <c r="G911" s="0" t="n">
        <v>118</v>
      </c>
      <c r="H911" s="0" t="s">
        <v>1818</v>
      </c>
      <c r="I911" s="0" t="s">
        <v>1820</v>
      </c>
      <c r="J911" s="9" t="n">
        <v>45903</v>
      </c>
      <c r="K911" s="0" t="s">
        <v>1821</v>
      </c>
      <c r="L911" s="0" t="n">
        <v>1</v>
      </c>
      <c r="M911" s="10" t="n">
        <f aca="false">_xlfn.NUMBERVALUE("" &amp; K911 &amp; "",".",",")</f>
        <v>2.91265518444444</v>
      </c>
      <c r="N911" s="10"/>
      <c r="O911" s="0" t="str">
        <f aca="false">VLOOKUP(C911,statusdetails!$A:$D,4,0)</f>
        <v>STANDBY</v>
      </c>
      <c r="P911" s="0" t="str">
        <f aca="false">VLOOKUP(F911,equipment!$A:$E,4,0)</f>
        <v>MO102</v>
      </c>
      <c r="Q911" s="0" t="str">
        <f aca="false">VLOOKUP(F911,equipment!$A:$E,5,0)</f>
        <v>MO102 - 41</v>
      </c>
    </row>
    <row r="912" customFormat="false" ht="12.8" hidden="true" customHeight="false" outlineLevel="0" collapsed="false">
      <c r="A912" s="0" t="n">
        <v>467044</v>
      </c>
      <c r="B912" s="0" t="n">
        <v>467044</v>
      </c>
      <c r="C912" s="0" t="n">
        <v>2</v>
      </c>
      <c r="D912" s="0" t="n">
        <v>7</v>
      </c>
      <c r="E912" s="0" t="n">
        <v>2385</v>
      </c>
      <c r="F912" s="0" t="n">
        <v>82</v>
      </c>
      <c r="G912" s="0" t="n">
        <v>42</v>
      </c>
      <c r="H912" s="0" t="s">
        <v>1768</v>
      </c>
      <c r="I912" s="0" t="s">
        <v>1822</v>
      </c>
      <c r="J912" s="9" t="n">
        <v>45903</v>
      </c>
      <c r="K912" s="0" t="s">
        <v>1823</v>
      </c>
      <c r="L912" s="0" t="n">
        <v>1</v>
      </c>
      <c r="M912" s="3" t="n">
        <f aca="false">_xlfn.NUMBERVALUE("" &amp; K912 &amp; "",".",",")</f>
        <v>0.2058149475</v>
      </c>
      <c r="O912" s="0" t="str">
        <f aca="false">VLOOKUP(C912,statusdetails!$A:$D,4,0)</f>
        <v>DELAY</v>
      </c>
    </row>
    <row r="913" customFormat="false" ht="12.8" hidden="true" customHeight="false" outlineLevel="0" collapsed="false">
      <c r="A913" s="0" t="n">
        <v>467045</v>
      </c>
      <c r="B913" s="0" t="n">
        <v>467045</v>
      </c>
      <c r="C913" s="0" t="n">
        <v>2</v>
      </c>
      <c r="D913" s="0" t="n">
        <v>7</v>
      </c>
      <c r="E913" s="0" t="n">
        <v>1026</v>
      </c>
      <c r="F913" s="0" t="n">
        <v>66</v>
      </c>
      <c r="G913" s="0" t="n">
        <v>66</v>
      </c>
      <c r="H913" s="0" t="s">
        <v>1726</v>
      </c>
      <c r="I913" s="0" t="s">
        <v>1824</v>
      </c>
      <c r="J913" s="9" t="n">
        <v>45903</v>
      </c>
      <c r="K913" s="0" t="s">
        <v>1825</v>
      </c>
      <c r="L913" s="0" t="n">
        <v>1</v>
      </c>
      <c r="M913" s="3" t="n">
        <f aca="false">_xlfn.NUMBERVALUE("" &amp; K913 &amp; "",".",",")</f>
        <v>0.209912725</v>
      </c>
      <c r="O913" s="0" t="str">
        <f aca="false">VLOOKUP(C913,statusdetails!$A:$D,4,0)</f>
        <v>DELAY</v>
      </c>
    </row>
    <row r="914" customFormat="false" ht="12.8" hidden="true" customHeight="false" outlineLevel="0" collapsed="false">
      <c r="A914" s="0" t="n">
        <v>467046</v>
      </c>
      <c r="B914" s="0" t="n">
        <v>467046</v>
      </c>
      <c r="C914" s="0" t="n">
        <v>2</v>
      </c>
      <c r="D914" s="0" t="n">
        <v>7</v>
      </c>
      <c r="E914" s="0" t="n">
        <v>1026</v>
      </c>
      <c r="F914" s="0" t="n">
        <v>35</v>
      </c>
      <c r="G914" s="0" t="n">
        <v>118</v>
      </c>
      <c r="H914" s="0" t="s">
        <v>1752</v>
      </c>
      <c r="I914" s="0" t="s">
        <v>1826</v>
      </c>
      <c r="J914" s="9" t="n">
        <v>45903</v>
      </c>
      <c r="K914" s="0" t="s">
        <v>1827</v>
      </c>
      <c r="L914" s="0" t="n">
        <v>1</v>
      </c>
      <c r="M914" s="3" t="n">
        <f aca="false">_xlfn.NUMBERVALUE("" &amp; K914 &amp; "",".",",")</f>
        <v>0.171051301944444</v>
      </c>
      <c r="O914" s="0" t="str">
        <f aca="false">VLOOKUP(C914,statusdetails!$A:$D,4,0)</f>
        <v>DELAY</v>
      </c>
    </row>
    <row r="915" customFormat="false" ht="12.8" hidden="true" customHeight="false" outlineLevel="0" collapsed="false">
      <c r="A915" s="0" t="n">
        <v>467047</v>
      </c>
      <c r="B915" s="0" t="n">
        <v>467047</v>
      </c>
      <c r="C915" s="0" t="n">
        <v>3</v>
      </c>
      <c r="D915" s="0" t="n">
        <v>12</v>
      </c>
      <c r="E915" s="0" t="n">
        <v>2076</v>
      </c>
      <c r="F915" s="0" t="n">
        <v>47</v>
      </c>
      <c r="G915" s="0" t="n">
        <v>103</v>
      </c>
      <c r="H915" s="0" t="s">
        <v>1776</v>
      </c>
      <c r="I915" s="0" t="s">
        <v>1828</v>
      </c>
      <c r="J915" s="9" t="n">
        <v>45903</v>
      </c>
      <c r="K915" s="0" t="s">
        <v>1829</v>
      </c>
      <c r="L915" s="0" t="n">
        <v>1</v>
      </c>
      <c r="M915" s="10" t="n">
        <f aca="false">_xlfn.NUMBERVALUE("" &amp; K915 &amp; "",".",",")</f>
        <v>1.07952289722222</v>
      </c>
      <c r="N915" s="10"/>
      <c r="O915" s="0" t="str">
        <f aca="false">VLOOKUP(C915,statusdetails!$A:$D,4,0)</f>
        <v>STANDBY</v>
      </c>
      <c r="P915" s="0" t="str">
        <f aca="false">VLOOKUP(F915,equipment!$A:$E,4,0)</f>
        <v>Ch1</v>
      </c>
      <c r="Q915" s="0" t="str">
        <f aca="false">VLOOKUP(F915,equipment!$A:$E,5,0)</f>
        <v>Ch1 - 47</v>
      </c>
    </row>
    <row r="916" customFormat="false" ht="12.8" hidden="true" customHeight="false" outlineLevel="0" collapsed="false">
      <c r="A916" s="0" t="n">
        <v>467048</v>
      </c>
      <c r="B916" s="0" t="n">
        <v>467048</v>
      </c>
      <c r="C916" s="0" t="n">
        <v>1</v>
      </c>
      <c r="D916" s="0" t="n">
        <v>6</v>
      </c>
      <c r="E916" s="0" t="n">
        <v>260</v>
      </c>
      <c r="F916" s="0" t="n">
        <v>35</v>
      </c>
      <c r="G916" s="0" t="n">
        <v>118</v>
      </c>
      <c r="H916" s="0" t="s">
        <v>1826</v>
      </c>
      <c r="I916" s="0" t="s">
        <v>1830</v>
      </c>
      <c r="J916" s="9" t="n">
        <v>45903</v>
      </c>
      <c r="K916" s="0" t="s">
        <v>1831</v>
      </c>
      <c r="L916" s="0" t="n">
        <v>1</v>
      </c>
      <c r="M916" s="10" t="n">
        <f aca="false">_xlfn.NUMBERVALUE("" &amp; K916 &amp; "",".",",")</f>
        <v>0.723798151111111</v>
      </c>
      <c r="N916" s="10"/>
      <c r="O916" s="0" t="str">
        <f aca="false">VLOOKUP(C916,statusdetails!$A:$D,4,0)</f>
        <v>READY</v>
      </c>
    </row>
    <row r="917" customFormat="false" ht="12.8" hidden="true" customHeight="false" outlineLevel="0" collapsed="false">
      <c r="A917" s="0" t="n">
        <v>467049</v>
      </c>
      <c r="B917" s="0" t="n">
        <v>467049</v>
      </c>
      <c r="C917" s="0" t="n">
        <v>1</v>
      </c>
      <c r="D917" s="0" t="n">
        <v>6</v>
      </c>
      <c r="E917" s="0" t="n">
        <v>2518</v>
      </c>
      <c r="F917" s="0" t="n">
        <v>82</v>
      </c>
      <c r="G917" s="0" t="n">
        <v>107</v>
      </c>
      <c r="H917" s="0" t="s">
        <v>1822</v>
      </c>
      <c r="I917" s="0" t="s">
        <v>1832</v>
      </c>
      <c r="J917" s="9" t="n">
        <v>45903</v>
      </c>
      <c r="K917" s="0" t="s">
        <v>1833</v>
      </c>
      <c r="L917" s="0" t="n">
        <v>1</v>
      </c>
      <c r="M917" s="10" t="n">
        <f aca="false">_xlfn.NUMBERVALUE("" &amp; K917 &amp; "",".",",")</f>
        <v>0.72386681</v>
      </c>
      <c r="N917" s="10"/>
      <c r="O917" s="0" t="str">
        <f aca="false">VLOOKUP(C917,statusdetails!$A:$D,4,0)</f>
        <v>READY</v>
      </c>
    </row>
    <row r="918" customFormat="false" ht="12.8" hidden="true" customHeight="false" outlineLevel="0" collapsed="false">
      <c r="A918" s="0" t="n">
        <v>467050</v>
      </c>
      <c r="B918" s="0" t="n">
        <v>467050</v>
      </c>
      <c r="C918" s="0" t="n">
        <v>1</v>
      </c>
      <c r="D918" s="0" t="n">
        <v>6</v>
      </c>
      <c r="E918" s="0" t="n">
        <v>260</v>
      </c>
      <c r="F918" s="0" t="n">
        <v>66</v>
      </c>
      <c r="G918" s="0" t="n">
        <v>66</v>
      </c>
      <c r="H918" s="0" t="s">
        <v>1824</v>
      </c>
      <c r="I918" s="0" t="s">
        <v>1834</v>
      </c>
      <c r="J918" s="9" t="n">
        <v>45903</v>
      </c>
      <c r="K918" s="0" t="s">
        <v>1835</v>
      </c>
      <c r="L918" s="0" t="n">
        <v>1</v>
      </c>
      <c r="M918" s="10" t="n">
        <f aca="false">_xlfn.NUMBERVALUE("" &amp; K918 &amp; "",".",",")</f>
        <v>0.809390421944444</v>
      </c>
      <c r="N918" s="10"/>
      <c r="O918" s="0" t="str">
        <f aca="false">VLOOKUP(C918,statusdetails!$A:$D,4,0)</f>
        <v>READY</v>
      </c>
    </row>
    <row r="919" customFormat="false" ht="12.8" hidden="true" customHeight="false" outlineLevel="0" collapsed="false">
      <c r="A919" s="0" t="n">
        <v>467051</v>
      </c>
      <c r="B919" s="0" t="n">
        <v>467051</v>
      </c>
      <c r="C919" s="0" t="n">
        <v>1</v>
      </c>
      <c r="D919" s="0" t="n">
        <v>6</v>
      </c>
      <c r="E919" s="0" t="n">
        <v>260</v>
      </c>
      <c r="F919" s="0" t="n">
        <v>33</v>
      </c>
      <c r="G919" s="0" t="n">
        <v>42</v>
      </c>
      <c r="H919" s="0" t="s">
        <v>1809</v>
      </c>
      <c r="I919" s="0" t="s">
        <v>1836</v>
      </c>
      <c r="J919" s="9" t="n">
        <v>45903</v>
      </c>
      <c r="K919" s="0" t="s">
        <v>1837</v>
      </c>
      <c r="L919" s="0" t="n">
        <v>2</v>
      </c>
      <c r="M919" s="10" t="n">
        <f aca="false">_xlfn.NUMBERVALUE("" &amp; K919 &amp; "",".",",")</f>
        <v>0.734598737222222</v>
      </c>
      <c r="N919" s="10"/>
      <c r="O919" s="0" t="str">
        <f aca="false">VLOOKUP(C919,statusdetails!$A:$D,4,0)</f>
        <v>READY</v>
      </c>
    </row>
    <row r="920" customFormat="false" ht="12.8" hidden="true" customHeight="false" outlineLevel="0" collapsed="false">
      <c r="A920" s="0" t="n">
        <v>467052</v>
      </c>
      <c r="B920" s="0" t="n">
        <v>467052</v>
      </c>
      <c r="C920" s="0" t="n">
        <v>3</v>
      </c>
      <c r="D920" s="0" t="n">
        <v>14</v>
      </c>
      <c r="E920" s="0" t="n">
        <v>2555</v>
      </c>
      <c r="F920" s="0" t="n">
        <v>86</v>
      </c>
      <c r="G920" s="0" t="n">
        <v>149</v>
      </c>
      <c r="H920" s="0" t="s">
        <v>1762</v>
      </c>
      <c r="I920" s="0" t="s">
        <v>1838</v>
      </c>
      <c r="J920" s="9" t="n">
        <v>45903</v>
      </c>
      <c r="K920" s="0" t="s">
        <v>1839</v>
      </c>
      <c r="L920" s="0" t="n">
        <v>2</v>
      </c>
      <c r="M920" s="10" t="n">
        <f aca="false">_xlfn.NUMBERVALUE("" &amp; K920 &amp; "",".",",")</f>
        <v>0.0605883458333333</v>
      </c>
      <c r="N920" s="10"/>
      <c r="O920" s="0" t="str">
        <f aca="false">VLOOKUP(C920,statusdetails!$A:$D,4,0)</f>
        <v>STANDBY</v>
      </c>
      <c r="P920" s="0" t="str">
        <f aca="false">VLOOKUP(F920,equipment!$A:$E,4,0)</f>
        <v>CM03</v>
      </c>
      <c r="Q920" s="0" t="str">
        <f aca="false">VLOOKUP(F920,equipment!$A:$E,5,0)</f>
        <v>CM03 - 86</v>
      </c>
    </row>
    <row r="921" customFormat="false" ht="12.8" hidden="true" customHeight="false" outlineLevel="0" collapsed="false">
      <c r="A921" s="0" t="n">
        <v>467053</v>
      </c>
      <c r="B921" s="0" t="n">
        <v>467053</v>
      </c>
      <c r="C921" s="0" t="n">
        <v>1</v>
      </c>
      <c r="D921" s="0" t="n">
        <v>6</v>
      </c>
      <c r="E921" s="0" t="n">
        <v>2404</v>
      </c>
      <c r="F921" s="0" t="n">
        <v>86</v>
      </c>
      <c r="G921" s="0" t="n">
        <v>61</v>
      </c>
      <c r="H921" s="0" t="s">
        <v>1838</v>
      </c>
      <c r="I921" s="0" t="s">
        <v>1840</v>
      </c>
      <c r="J921" s="9" t="n">
        <v>45903</v>
      </c>
      <c r="K921" s="0" t="s">
        <v>1841</v>
      </c>
      <c r="L921" s="0" t="n">
        <v>2</v>
      </c>
      <c r="M921" s="10" t="n">
        <f aca="false">_xlfn.NUMBERVALUE("" &amp; K921 &amp; "",".",",")</f>
        <v>0.848166098611111</v>
      </c>
      <c r="N921" s="10"/>
      <c r="O921" s="0" t="str">
        <f aca="false">VLOOKUP(C921,statusdetails!$A:$D,4,0)</f>
        <v>READY</v>
      </c>
    </row>
    <row r="922" customFormat="false" ht="12.8" hidden="true" customHeight="false" outlineLevel="0" collapsed="false">
      <c r="A922" s="0" t="n">
        <v>467054</v>
      </c>
      <c r="B922" s="0" t="n">
        <v>467054</v>
      </c>
      <c r="C922" s="0" t="n">
        <v>2</v>
      </c>
      <c r="D922" s="0" t="n">
        <v>7</v>
      </c>
      <c r="E922" s="0" t="n">
        <v>1026</v>
      </c>
      <c r="F922" s="0" t="n">
        <v>35</v>
      </c>
      <c r="G922" s="0" t="n">
        <v>118</v>
      </c>
      <c r="H922" s="0" t="s">
        <v>1830</v>
      </c>
      <c r="I922" s="0" t="s">
        <v>1842</v>
      </c>
      <c r="J922" s="9" t="n">
        <v>45903</v>
      </c>
      <c r="K922" s="0" t="s">
        <v>1843</v>
      </c>
      <c r="L922" s="0" t="n">
        <v>2</v>
      </c>
      <c r="M922" s="3" t="n">
        <f aca="false">_xlfn.NUMBERVALUE("" &amp; K922 &amp; "",".",",")</f>
        <v>0.148210522222222</v>
      </c>
      <c r="O922" s="0" t="str">
        <f aca="false">VLOOKUP(C922,statusdetails!$A:$D,4,0)</f>
        <v>DELAY</v>
      </c>
    </row>
    <row r="923" customFormat="false" ht="12.8" hidden="true" customHeight="false" outlineLevel="0" collapsed="false">
      <c r="A923" s="0" t="n">
        <v>467055</v>
      </c>
      <c r="B923" s="0" t="n">
        <v>467055</v>
      </c>
      <c r="C923" s="0" t="n">
        <v>2</v>
      </c>
      <c r="D923" s="0" t="n">
        <v>7</v>
      </c>
      <c r="E923" s="0" t="n">
        <v>2385</v>
      </c>
      <c r="F923" s="0" t="n">
        <v>82</v>
      </c>
      <c r="G923" s="0" t="n">
        <v>107</v>
      </c>
      <c r="H923" s="0" t="s">
        <v>1832</v>
      </c>
      <c r="I923" s="11" t="n">
        <v>45904.1186574074</v>
      </c>
      <c r="J923" s="9" t="n">
        <v>45903</v>
      </c>
      <c r="K923" s="0" t="s">
        <v>1844</v>
      </c>
      <c r="L923" s="0" t="n">
        <v>2</v>
      </c>
      <c r="M923" s="3" t="n">
        <f aca="false">_xlfn.NUMBERVALUE("" &amp; K923 &amp; "",".",",")</f>
        <v>0.159869312222222</v>
      </c>
      <c r="O923" s="0" t="str">
        <f aca="false">VLOOKUP(C923,statusdetails!$A:$D,4,0)</f>
        <v>DELAY</v>
      </c>
    </row>
    <row r="924" customFormat="false" ht="12.8" hidden="true" customHeight="false" outlineLevel="0" collapsed="false">
      <c r="A924" s="0" t="n">
        <v>467056</v>
      </c>
      <c r="B924" s="0" t="n">
        <v>467056</v>
      </c>
      <c r="C924" s="0" t="n">
        <v>2</v>
      </c>
      <c r="D924" s="0" t="n">
        <v>7</v>
      </c>
      <c r="E924" s="0" t="n">
        <v>1026</v>
      </c>
      <c r="F924" s="0" t="n">
        <v>33</v>
      </c>
      <c r="G924" s="0" t="n">
        <v>42</v>
      </c>
      <c r="H924" s="0" t="s">
        <v>1836</v>
      </c>
      <c r="I924" s="0" t="s">
        <v>1845</v>
      </c>
      <c r="J924" s="9" t="n">
        <v>45903</v>
      </c>
      <c r="K924" s="0" t="s">
        <v>1846</v>
      </c>
      <c r="L924" s="0" t="n">
        <v>2</v>
      </c>
      <c r="M924" s="3" t="n">
        <f aca="false">_xlfn.NUMBERVALUE("" &amp; K924 &amp; "",".",",")</f>
        <v>0.0670534194444444</v>
      </c>
      <c r="O924" s="0" t="str">
        <f aca="false">VLOOKUP(C924,statusdetails!$A:$D,4,0)</f>
        <v>DELAY</v>
      </c>
    </row>
    <row r="925" customFormat="false" ht="12.8" hidden="true" customHeight="false" outlineLevel="0" collapsed="false">
      <c r="A925" s="0" t="n">
        <v>467057</v>
      </c>
      <c r="B925" s="0" t="n">
        <v>467057</v>
      </c>
      <c r="C925" s="0" t="n">
        <v>2</v>
      </c>
      <c r="D925" s="0" t="n">
        <v>7</v>
      </c>
      <c r="E925" s="0" t="n">
        <v>1026</v>
      </c>
      <c r="F925" s="0" t="n">
        <v>66</v>
      </c>
      <c r="G925" s="0" t="n">
        <v>66</v>
      </c>
      <c r="H925" s="0" t="s">
        <v>1834</v>
      </c>
      <c r="I925" s="0" t="s">
        <v>1847</v>
      </c>
      <c r="J925" s="9" t="n">
        <v>45903</v>
      </c>
      <c r="K925" s="0" t="s">
        <v>1848</v>
      </c>
      <c r="L925" s="0" t="n">
        <v>2</v>
      </c>
      <c r="M925" s="3" t="n">
        <f aca="false">_xlfn.NUMBERVALUE("" &amp; K925 &amp; "",".",",")</f>
        <v>0.0805305430555556</v>
      </c>
      <c r="O925" s="0" t="str">
        <f aca="false">VLOOKUP(C925,statusdetails!$A:$D,4,0)</f>
        <v>DELAY</v>
      </c>
    </row>
    <row r="926" customFormat="false" ht="12.8" hidden="true" customHeight="false" outlineLevel="0" collapsed="false">
      <c r="A926" s="0" t="n">
        <v>467058</v>
      </c>
      <c r="B926" s="0" t="n">
        <v>467058</v>
      </c>
      <c r="C926" s="0" t="n">
        <v>1</v>
      </c>
      <c r="D926" s="0" t="n">
        <v>6</v>
      </c>
      <c r="E926" s="0" t="n">
        <v>260</v>
      </c>
      <c r="F926" s="0" t="n">
        <v>35</v>
      </c>
      <c r="G926" s="0" t="n">
        <v>118</v>
      </c>
      <c r="H926" s="0" t="s">
        <v>1842</v>
      </c>
      <c r="I926" s="0" t="s">
        <v>1849</v>
      </c>
      <c r="J926" s="9" t="n">
        <v>45903</v>
      </c>
      <c r="K926" s="0" t="s">
        <v>1850</v>
      </c>
      <c r="L926" s="0" t="n">
        <v>2</v>
      </c>
      <c r="M926" s="10" t="n">
        <f aca="false">_xlfn.NUMBERVALUE("" &amp; K926 &amp; "",".",",")</f>
        <v>1.20685448083333</v>
      </c>
      <c r="N926" s="10"/>
      <c r="O926" s="0" t="str">
        <f aca="false">VLOOKUP(C926,statusdetails!$A:$D,4,0)</f>
        <v>READY</v>
      </c>
    </row>
    <row r="927" customFormat="false" ht="12.8" hidden="true" customHeight="false" outlineLevel="0" collapsed="false">
      <c r="A927" s="0" t="n">
        <v>467059</v>
      </c>
      <c r="B927" s="0" t="n">
        <v>467059</v>
      </c>
      <c r="C927" s="0" t="n">
        <v>1</v>
      </c>
      <c r="D927" s="0" t="n">
        <v>6</v>
      </c>
      <c r="E927" s="0" t="n">
        <v>260</v>
      </c>
      <c r="F927" s="0" t="n">
        <v>33</v>
      </c>
      <c r="G927" s="0" t="n">
        <v>42</v>
      </c>
      <c r="H927" s="0" t="s">
        <v>1845</v>
      </c>
      <c r="I927" s="0" t="s">
        <v>1851</v>
      </c>
      <c r="J927" s="9" t="n">
        <v>45903</v>
      </c>
      <c r="K927" s="0" t="s">
        <v>1852</v>
      </c>
      <c r="L927" s="0" t="n">
        <v>2</v>
      </c>
      <c r="M927" s="10" t="n">
        <f aca="false">_xlfn.NUMBERVALUE("" &amp; K927 &amp; "",".",",")</f>
        <v>1.48282137416667</v>
      </c>
      <c r="N927" s="10"/>
      <c r="O927" s="0" t="str">
        <f aca="false">VLOOKUP(C927,statusdetails!$A:$D,4,0)</f>
        <v>READY</v>
      </c>
    </row>
    <row r="928" customFormat="false" ht="12.8" hidden="true" customHeight="false" outlineLevel="0" collapsed="false">
      <c r="A928" s="0" t="n">
        <v>467061</v>
      </c>
      <c r="B928" s="0" t="n">
        <v>467060</v>
      </c>
      <c r="C928" s="0" t="n">
        <v>1</v>
      </c>
      <c r="D928" s="0" t="n">
        <v>6</v>
      </c>
      <c r="E928" s="0" t="n">
        <v>2518</v>
      </c>
      <c r="F928" s="0" t="n">
        <v>82</v>
      </c>
      <c r="G928" s="0" t="n">
        <v>107</v>
      </c>
      <c r="H928" s="11" t="n">
        <v>45904.1186574074</v>
      </c>
      <c r="I928" s="0" t="s">
        <v>1853</v>
      </c>
      <c r="J928" s="9" t="n">
        <v>45903</v>
      </c>
      <c r="K928" s="0" t="s">
        <v>1854</v>
      </c>
      <c r="L928" s="0" t="n">
        <v>2</v>
      </c>
      <c r="M928" s="10" t="n">
        <f aca="false">_xlfn.NUMBERVALUE("" &amp; K928 &amp; "",".",",")</f>
        <v>4.17988373055556</v>
      </c>
      <c r="N928" s="10"/>
      <c r="O928" s="0" t="str">
        <f aca="false">VLOOKUP(C928,statusdetails!$A:$D,4,0)</f>
        <v>READY</v>
      </c>
    </row>
    <row r="929" customFormat="false" ht="12.8" hidden="true" customHeight="false" outlineLevel="0" collapsed="false">
      <c r="A929" s="0" t="n">
        <v>467062</v>
      </c>
      <c r="B929" s="0" t="n">
        <v>467062</v>
      </c>
      <c r="C929" s="0" t="n">
        <v>1</v>
      </c>
      <c r="D929" s="0" t="n">
        <v>6</v>
      </c>
      <c r="E929" s="0" t="n">
        <v>260</v>
      </c>
      <c r="F929" s="0" t="n">
        <v>66</v>
      </c>
      <c r="G929" s="0" t="n">
        <v>66</v>
      </c>
      <c r="H929" s="0" t="s">
        <v>1847</v>
      </c>
      <c r="I929" s="0" t="s">
        <v>1855</v>
      </c>
      <c r="J929" s="9" t="n">
        <v>45903</v>
      </c>
      <c r="K929" s="0" t="s">
        <v>1856</v>
      </c>
      <c r="L929" s="0" t="n">
        <v>2</v>
      </c>
      <c r="M929" s="10" t="n">
        <f aca="false">_xlfn.NUMBERVALUE("" &amp; K929 &amp; "",".",",")</f>
        <v>1.33711061333333</v>
      </c>
      <c r="N929" s="10"/>
      <c r="O929" s="0" t="str">
        <f aca="false">VLOOKUP(C929,statusdetails!$A:$D,4,0)</f>
        <v>READY</v>
      </c>
    </row>
    <row r="930" customFormat="false" ht="12.8" hidden="true" customHeight="false" outlineLevel="0" collapsed="false">
      <c r="A930" s="0" t="n">
        <v>467063</v>
      </c>
      <c r="B930" s="0" t="n">
        <v>467063</v>
      </c>
      <c r="C930" s="0" t="n">
        <v>2</v>
      </c>
      <c r="D930" s="0" t="n">
        <v>9</v>
      </c>
      <c r="E930" s="0" t="n">
        <v>2448</v>
      </c>
      <c r="F930" s="0" t="n">
        <v>88</v>
      </c>
      <c r="G930" s="0" t="n">
        <v>157</v>
      </c>
      <c r="H930" s="0" t="s">
        <v>1697</v>
      </c>
      <c r="I930" s="0" t="s">
        <v>1857</v>
      </c>
      <c r="J930" s="9" t="n">
        <v>45903</v>
      </c>
      <c r="K930" s="0" t="s">
        <v>1858</v>
      </c>
      <c r="L930" s="0" t="n">
        <v>2</v>
      </c>
      <c r="M930" s="3" t="n">
        <f aca="false">_xlfn.NUMBERVALUE("" &amp; K930 &amp; "",".",",")</f>
        <v>0.243731399722222</v>
      </c>
      <c r="O930" s="0" t="str">
        <f aca="false">VLOOKUP(C930,statusdetails!$A:$D,4,0)</f>
        <v>DELAY</v>
      </c>
    </row>
    <row r="931" customFormat="false" ht="12.8" hidden="true" customHeight="false" outlineLevel="0" collapsed="false">
      <c r="A931" s="0" t="n">
        <v>467064</v>
      </c>
      <c r="B931" s="0" t="n">
        <v>467064</v>
      </c>
      <c r="C931" s="0" t="n">
        <v>3</v>
      </c>
      <c r="D931" s="0" t="n">
        <v>14</v>
      </c>
      <c r="E931" s="0" t="n">
        <v>2387</v>
      </c>
      <c r="F931" s="0" t="n">
        <v>96</v>
      </c>
      <c r="G931" s="0" t="n">
        <v>89</v>
      </c>
      <c r="H931" s="0" t="s">
        <v>1695</v>
      </c>
      <c r="I931" s="0" t="s">
        <v>1859</v>
      </c>
      <c r="J931" s="9" t="n">
        <v>45903</v>
      </c>
      <c r="K931" s="0" t="s">
        <v>1860</v>
      </c>
      <c r="L931" s="0" t="n">
        <v>2</v>
      </c>
      <c r="M931" s="10" t="n">
        <f aca="false">_xlfn.NUMBERVALUE("" &amp; K931 &amp; "",".",",")</f>
        <v>0.185763465555556</v>
      </c>
      <c r="N931" s="10"/>
      <c r="O931" s="0" t="str">
        <f aca="false">VLOOKUP(C931,statusdetails!$A:$D,4,0)</f>
        <v>STANDBY</v>
      </c>
      <c r="P931" s="0" t="str">
        <f aca="false">VLOOKUP(F931,equipment!$A:$E,4,0)</f>
        <v>EX503</v>
      </c>
      <c r="Q931" s="0" t="str">
        <f aca="false">VLOOKUP(F931,equipment!$A:$E,5,0)</f>
        <v>EX503 - 96</v>
      </c>
    </row>
    <row r="932" customFormat="false" ht="12.8" hidden="true" customHeight="false" outlineLevel="0" collapsed="false">
      <c r="A932" s="0" t="n">
        <v>467065</v>
      </c>
      <c r="B932" s="0" t="n">
        <v>467065</v>
      </c>
      <c r="C932" s="0" t="n">
        <v>1</v>
      </c>
      <c r="D932" s="0" t="n">
        <v>6</v>
      </c>
      <c r="E932" s="0" t="n">
        <v>1040</v>
      </c>
      <c r="F932" s="0" t="n">
        <v>47</v>
      </c>
      <c r="G932" s="0" t="n">
        <v>103</v>
      </c>
      <c r="H932" s="0" t="s">
        <v>1828</v>
      </c>
      <c r="I932" s="0" t="s">
        <v>1861</v>
      </c>
      <c r="J932" s="9" t="n">
        <v>45903</v>
      </c>
      <c r="K932" s="0" t="s">
        <v>1862</v>
      </c>
      <c r="L932" s="0" t="n">
        <v>2</v>
      </c>
      <c r="M932" s="10" t="n">
        <f aca="false">_xlfn.NUMBERVALUE("" &amp; K932 &amp; "",".",",")</f>
        <v>4.6107077475</v>
      </c>
      <c r="N932" s="10"/>
      <c r="O932" s="0" t="str">
        <f aca="false">VLOOKUP(C932,statusdetails!$A:$D,4,0)</f>
        <v>READY</v>
      </c>
    </row>
    <row r="933" customFormat="false" ht="12.8" hidden="true" customHeight="false" outlineLevel="0" collapsed="false">
      <c r="A933" s="0" t="n">
        <v>467066</v>
      </c>
      <c r="B933" s="0" t="n">
        <v>467066</v>
      </c>
      <c r="C933" s="0" t="n">
        <v>2</v>
      </c>
      <c r="D933" s="0" t="n">
        <v>9</v>
      </c>
      <c r="E933" s="0" t="n">
        <v>2448</v>
      </c>
      <c r="F933" s="0" t="n">
        <v>86</v>
      </c>
      <c r="G933" s="0" t="n">
        <v>62</v>
      </c>
      <c r="H933" s="0" t="s">
        <v>1840</v>
      </c>
      <c r="I933" s="0" t="s">
        <v>1863</v>
      </c>
      <c r="J933" s="9" t="n">
        <v>45903</v>
      </c>
      <c r="K933" s="0" t="s">
        <v>1864</v>
      </c>
      <c r="L933" s="0" t="n">
        <v>3</v>
      </c>
      <c r="M933" s="3" t="n">
        <f aca="false">_xlfn.NUMBERVALUE("" &amp; K933 &amp; "",".",",")</f>
        <v>0.137812130277778</v>
      </c>
      <c r="O933" s="0" t="str">
        <f aca="false">VLOOKUP(C933,statusdetails!$A:$D,4,0)</f>
        <v>DELAY</v>
      </c>
    </row>
    <row r="934" customFormat="false" ht="12.8" hidden="true" customHeight="false" outlineLevel="0" collapsed="false">
      <c r="A934" s="0" t="n">
        <v>467067</v>
      </c>
      <c r="B934" s="0" t="n">
        <v>467067</v>
      </c>
      <c r="C934" s="0" t="n">
        <v>2</v>
      </c>
      <c r="D934" s="0" t="n">
        <v>9</v>
      </c>
      <c r="E934" s="0" t="n">
        <v>2448</v>
      </c>
      <c r="F934" s="0" t="n">
        <v>87</v>
      </c>
      <c r="G934" s="0" t="n">
        <v>67</v>
      </c>
      <c r="H934" s="0" t="s">
        <v>1805</v>
      </c>
      <c r="I934" s="0" t="s">
        <v>1865</v>
      </c>
      <c r="J934" s="9" t="n">
        <v>45903</v>
      </c>
      <c r="K934" s="0" t="s">
        <v>1866</v>
      </c>
      <c r="L934" s="0" t="n">
        <v>3</v>
      </c>
      <c r="M934" s="3" t="n">
        <f aca="false">_xlfn.NUMBERVALUE("" &amp; K934 &amp; "",".",",")</f>
        <v>0.0893989038888889</v>
      </c>
      <c r="O934" s="0" t="str">
        <f aca="false">VLOOKUP(C934,statusdetails!$A:$D,4,0)</f>
        <v>DELAY</v>
      </c>
    </row>
    <row r="935" customFormat="false" ht="12.8" hidden="true" customHeight="false" outlineLevel="0" collapsed="false">
      <c r="A935" s="0" t="n">
        <v>467068</v>
      </c>
      <c r="B935" s="0" t="n">
        <v>467068</v>
      </c>
      <c r="C935" s="0" t="n">
        <v>2</v>
      </c>
      <c r="D935" s="0" t="n">
        <v>9</v>
      </c>
      <c r="E935" s="0" t="n">
        <v>2448</v>
      </c>
      <c r="F935" s="0" t="n">
        <v>84</v>
      </c>
      <c r="G935" s="0" t="n">
        <v>133</v>
      </c>
      <c r="H935" s="0" t="s">
        <v>1701</v>
      </c>
      <c r="I935" s="0" t="s">
        <v>1867</v>
      </c>
      <c r="J935" s="9" t="n">
        <v>45903</v>
      </c>
      <c r="K935" s="0" t="s">
        <v>1868</v>
      </c>
      <c r="L935" s="0" t="n">
        <v>3</v>
      </c>
      <c r="M935" s="3" t="n">
        <f aca="false">_xlfn.NUMBERVALUE("" &amp; K935 &amp; "",".",",")</f>
        <v>0.101816952222222</v>
      </c>
      <c r="O935" s="0" t="str">
        <f aca="false">VLOOKUP(C935,statusdetails!$A:$D,4,0)</f>
        <v>DELAY</v>
      </c>
    </row>
    <row r="936" customFormat="false" ht="12.8" hidden="true" customHeight="false" outlineLevel="0" collapsed="false">
      <c r="A936" s="0" t="n">
        <v>467069</v>
      </c>
      <c r="B936" s="0" t="n">
        <v>467069</v>
      </c>
      <c r="C936" s="0" t="n">
        <v>2</v>
      </c>
      <c r="D936" s="0" t="n">
        <v>9</v>
      </c>
      <c r="E936" s="0" t="n">
        <v>2448</v>
      </c>
      <c r="F936" s="0" t="n">
        <v>89</v>
      </c>
      <c r="G936" s="0" t="n">
        <v>150</v>
      </c>
      <c r="H936" s="0" t="s">
        <v>1703</v>
      </c>
      <c r="I936" s="0" t="s">
        <v>1869</v>
      </c>
      <c r="J936" s="9" t="n">
        <v>45903</v>
      </c>
      <c r="K936" s="0" t="s">
        <v>1870</v>
      </c>
      <c r="L936" s="0" t="n">
        <v>3</v>
      </c>
      <c r="M936" s="3" t="n">
        <f aca="false">_xlfn.NUMBERVALUE("" &amp; K936 &amp; "",".",",")</f>
        <v>0.0955364208333333</v>
      </c>
      <c r="O936" s="0" t="str">
        <f aca="false">VLOOKUP(C936,statusdetails!$A:$D,4,0)</f>
        <v>DELAY</v>
      </c>
    </row>
    <row r="937" customFormat="false" ht="12.8" hidden="true" customHeight="false" outlineLevel="0" collapsed="false">
      <c r="A937" s="0" t="n">
        <v>467070</v>
      </c>
      <c r="B937" s="0" t="n">
        <v>467070</v>
      </c>
      <c r="C937" s="0" t="n">
        <v>1</v>
      </c>
      <c r="D937" s="0" t="n">
        <v>6</v>
      </c>
      <c r="E937" s="0" t="n">
        <v>2518</v>
      </c>
      <c r="F937" s="0" t="n">
        <v>96</v>
      </c>
      <c r="G937" s="0" t="n">
        <v>89</v>
      </c>
      <c r="H937" s="0" t="s">
        <v>1859</v>
      </c>
      <c r="I937" s="0" t="s">
        <v>1871</v>
      </c>
      <c r="J937" s="9" t="n">
        <v>45903</v>
      </c>
      <c r="K937" s="0" t="s">
        <v>1872</v>
      </c>
      <c r="L937" s="0" t="n">
        <v>3</v>
      </c>
      <c r="M937" s="10" t="n">
        <f aca="false">_xlfn.NUMBERVALUE("" &amp; K937 &amp; "",".",",")</f>
        <v>3.72641870444444</v>
      </c>
      <c r="N937" s="10"/>
      <c r="O937" s="0" t="str">
        <f aca="false">VLOOKUP(C937,statusdetails!$A:$D,4,0)</f>
        <v>READY</v>
      </c>
    </row>
    <row r="938" customFormat="false" ht="12.8" hidden="true" customHeight="false" outlineLevel="0" collapsed="false">
      <c r="A938" s="0" t="n">
        <v>467071</v>
      </c>
      <c r="B938" s="0" t="n">
        <v>467071</v>
      </c>
      <c r="C938" s="0" t="n">
        <v>4</v>
      </c>
      <c r="D938" s="0" t="n">
        <v>16</v>
      </c>
      <c r="E938" s="0" t="n">
        <v>2461</v>
      </c>
      <c r="F938" s="0" t="n">
        <v>87</v>
      </c>
      <c r="G938" s="0" t="n">
        <v>67</v>
      </c>
      <c r="H938" s="0" t="s">
        <v>1865</v>
      </c>
      <c r="I938" s="0" t="s">
        <v>1873</v>
      </c>
      <c r="J938" s="9" t="n">
        <v>45903</v>
      </c>
      <c r="K938" s="0" t="s">
        <v>1874</v>
      </c>
      <c r="L938" s="0" t="n">
        <v>3</v>
      </c>
      <c r="M938" s="10" t="n">
        <f aca="false">_xlfn.NUMBERVALUE("" &amp; K938 &amp; "",".",",")</f>
        <v>1.31537357611111</v>
      </c>
      <c r="N938" s="10"/>
      <c r="O938" s="0" t="str">
        <f aca="false">VLOOKUP(C938,statusdetails!$A:$D,4,0)</f>
        <v>MAINT</v>
      </c>
    </row>
    <row r="939" customFormat="false" ht="12.8" hidden="true" customHeight="false" outlineLevel="0" collapsed="false">
      <c r="A939" s="0" t="n">
        <v>467072</v>
      </c>
      <c r="B939" s="0" t="n">
        <v>467072</v>
      </c>
      <c r="C939" s="0" t="n">
        <v>2</v>
      </c>
      <c r="D939" s="0" t="n">
        <v>7</v>
      </c>
      <c r="E939" s="0" t="n">
        <v>2405</v>
      </c>
      <c r="F939" s="0" t="n">
        <v>85</v>
      </c>
      <c r="G939" s="0" t="n">
        <v>0</v>
      </c>
      <c r="H939" s="0" t="s">
        <v>1786</v>
      </c>
      <c r="I939" s="0" t="s">
        <v>1875</v>
      </c>
      <c r="J939" s="9" t="n">
        <v>45903</v>
      </c>
      <c r="K939" s="0" t="s">
        <v>1876</v>
      </c>
      <c r="L939" s="0" t="n">
        <v>3</v>
      </c>
      <c r="M939" s="3" t="n">
        <f aca="false">_xlfn.NUMBERVALUE("" &amp; K939 &amp; "",".",",")</f>
        <v>0.167277044166667</v>
      </c>
      <c r="O939" s="0" t="str">
        <f aca="false">VLOOKUP(C939,statusdetails!$A:$D,4,0)</f>
        <v>DELAY</v>
      </c>
    </row>
    <row r="940" customFormat="false" ht="12.8" hidden="true" customHeight="false" outlineLevel="0" collapsed="false">
      <c r="A940" s="0" t="n">
        <v>467073</v>
      </c>
      <c r="B940" s="0" t="n">
        <v>467073</v>
      </c>
      <c r="C940" s="0" t="n">
        <v>1</v>
      </c>
      <c r="D940" s="0" t="n">
        <v>6</v>
      </c>
      <c r="E940" s="0" t="n">
        <v>2404</v>
      </c>
      <c r="F940" s="0" t="n">
        <v>88</v>
      </c>
      <c r="G940" s="0" t="n">
        <v>157</v>
      </c>
      <c r="H940" s="0" t="s">
        <v>1857</v>
      </c>
      <c r="I940" s="0" t="s">
        <v>1877</v>
      </c>
      <c r="J940" s="9" t="n">
        <v>45903</v>
      </c>
      <c r="K940" s="0" t="s">
        <v>1878</v>
      </c>
      <c r="L940" s="0" t="n">
        <v>3</v>
      </c>
      <c r="M940" s="10" t="n">
        <f aca="false">_xlfn.NUMBERVALUE("" &amp; K940 &amp; "",".",",")</f>
        <v>1.67729915583333</v>
      </c>
      <c r="N940" s="10"/>
      <c r="O940" s="0" t="str">
        <f aca="false">VLOOKUP(C940,statusdetails!$A:$D,4,0)</f>
        <v>READY</v>
      </c>
    </row>
    <row r="941" customFormat="false" ht="12.8" hidden="true" customHeight="false" outlineLevel="0" collapsed="false">
      <c r="A941" s="0" t="n">
        <v>467074</v>
      </c>
      <c r="B941" s="0" t="n">
        <v>467074</v>
      </c>
      <c r="C941" s="0" t="n">
        <v>1</v>
      </c>
      <c r="D941" s="0" t="n">
        <v>6</v>
      </c>
      <c r="E941" s="0" t="n">
        <v>2404</v>
      </c>
      <c r="F941" s="0" t="n">
        <v>84</v>
      </c>
      <c r="G941" s="0" t="n">
        <v>133</v>
      </c>
      <c r="H941" s="0" t="s">
        <v>1867</v>
      </c>
      <c r="I941" s="0" t="s">
        <v>1879</v>
      </c>
      <c r="J941" s="9" t="n">
        <v>45903</v>
      </c>
      <c r="K941" s="0" t="s">
        <v>1880</v>
      </c>
      <c r="L941" s="0" t="n">
        <v>3</v>
      </c>
      <c r="M941" s="10" t="n">
        <f aca="false">_xlfn.NUMBERVALUE("" &amp; K941 &amp; "",".",",")</f>
        <v>0.618349663611111</v>
      </c>
      <c r="N941" s="10"/>
      <c r="O941" s="0" t="str">
        <f aca="false">VLOOKUP(C941,statusdetails!$A:$D,4,0)</f>
        <v>READY</v>
      </c>
    </row>
    <row r="942" customFormat="false" ht="12.8" hidden="true" customHeight="false" outlineLevel="0" collapsed="false">
      <c r="A942" s="0" t="n">
        <v>467075</v>
      </c>
      <c r="B942" s="0" t="n">
        <v>467075</v>
      </c>
      <c r="C942" s="0" t="n">
        <v>1</v>
      </c>
      <c r="D942" s="0" t="n">
        <v>6</v>
      </c>
      <c r="E942" s="0" t="n">
        <v>2404</v>
      </c>
      <c r="F942" s="0" t="n">
        <v>89</v>
      </c>
      <c r="G942" s="0" t="n">
        <v>150</v>
      </c>
      <c r="H942" s="0" t="s">
        <v>1869</v>
      </c>
      <c r="I942" s="0" t="s">
        <v>1881</v>
      </c>
      <c r="J942" s="9" t="n">
        <v>45903</v>
      </c>
      <c r="K942" s="0" t="s">
        <v>1882</v>
      </c>
      <c r="L942" s="0" t="n">
        <v>3</v>
      </c>
      <c r="M942" s="10" t="n">
        <f aca="false">_xlfn.NUMBERVALUE("" &amp; K942 &amp; "",".",",")</f>
        <v>1.51713211083333</v>
      </c>
      <c r="N942" s="10"/>
      <c r="O942" s="0" t="str">
        <f aca="false">VLOOKUP(C942,statusdetails!$A:$D,4,0)</f>
        <v>READY</v>
      </c>
    </row>
    <row r="943" customFormat="false" ht="12.8" hidden="true" customHeight="false" outlineLevel="0" collapsed="false">
      <c r="A943" s="0" t="n">
        <v>467076</v>
      </c>
      <c r="B943" s="0" t="n">
        <v>467076</v>
      </c>
      <c r="C943" s="0" t="n">
        <v>1</v>
      </c>
      <c r="D943" s="0" t="n">
        <v>6</v>
      </c>
      <c r="E943" s="0" t="n">
        <v>2404</v>
      </c>
      <c r="F943" s="0" t="n">
        <v>86</v>
      </c>
      <c r="G943" s="0" t="n">
        <v>62</v>
      </c>
      <c r="H943" s="0" t="s">
        <v>1863</v>
      </c>
      <c r="I943" s="0" t="s">
        <v>1883</v>
      </c>
      <c r="J943" s="9" t="n">
        <v>45903</v>
      </c>
      <c r="K943" s="0" t="s">
        <v>1884</v>
      </c>
      <c r="L943" s="0" t="n">
        <v>3</v>
      </c>
      <c r="M943" s="10" t="n">
        <f aca="false">_xlfn.NUMBERVALUE("" &amp; K943 &amp; "",".",",")</f>
        <v>0.924718980833333</v>
      </c>
      <c r="N943" s="10"/>
      <c r="O943" s="0" t="str">
        <f aca="false">VLOOKUP(C943,statusdetails!$A:$D,4,0)</f>
        <v>READY</v>
      </c>
    </row>
    <row r="944" customFormat="false" ht="12.8" hidden="true" customHeight="false" outlineLevel="0" collapsed="false">
      <c r="A944" s="0" t="n">
        <v>467077</v>
      </c>
      <c r="B944" s="0" t="n">
        <v>467077</v>
      </c>
      <c r="C944" s="0" t="n">
        <v>3</v>
      </c>
      <c r="D944" s="0" t="n">
        <v>14</v>
      </c>
      <c r="E944" s="0" t="n">
        <v>2555</v>
      </c>
      <c r="F944" s="0" t="n">
        <v>85</v>
      </c>
      <c r="G944" s="0" t="n">
        <v>7</v>
      </c>
      <c r="H944" s="0" t="s">
        <v>1875</v>
      </c>
      <c r="I944" s="0" t="s">
        <v>1885</v>
      </c>
      <c r="J944" s="9" t="n">
        <v>45903</v>
      </c>
      <c r="K944" s="0" t="s">
        <v>1886</v>
      </c>
      <c r="L944" s="0" t="n">
        <v>3</v>
      </c>
      <c r="M944" s="10" t="n">
        <f aca="false">_xlfn.NUMBERVALUE("" &amp; K944 &amp; "",".",",")</f>
        <v>0.0957166063888889</v>
      </c>
      <c r="N944" s="10"/>
      <c r="O944" s="0" t="str">
        <f aca="false">VLOOKUP(C944,statusdetails!$A:$D,4,0)</f>
        <v>STANDBY</v>
      </c>
      <c r="P944" s="0" t="str">
        <f aca="false">VLOOKUP(F944,equipment!$A:$E,4,0)</f>
        <v>CM02</v>
      </c>
      <c r="Q944" s="0" t="str">
        <f aca="false">VLOOKUP(F944,equipment!$A:$E,5,0)</f>
        <v>CM02 - 85</v>
      </c>
    </row>
    <row r="945" customFormat="false" ht="12.8" hidden="true" customHeight="false" outlineLevel="0" collapsed="false">
      <c r="A945" s="0" t="n">
        <v>467078</v>
      </c>
      <c r="B945" s="0" t="n">
        <v>467078</v>
      </c>
      <c r="C945" s="0" t="n">
        <v>3</v>
      </c>
      <c r="D945" s="0" t="n">
        <v>14</v>
      </c>
      <c r="E945" s="0" t="n">
        <v>1157</v>
      </c>
      <c r="F945" s="0" t="n">
        <v>37</v>
      </c>
      <c r="G945" s="0" t="n">
        <v>54</v>
      </c>
      <c r="H945" s="0" t="s">
        <v>1813</v>
      </c>
      <c r="I945" s="0" t="s">
        <v>1887</v>
      </c>
      <c r="J945" s="9" t="n">
        <v>45903</v>
      </c>
      <c r="K945" s="0" t="s">
        <v>1888</v>
      </c>
      <c r="L945" s="0" t="n">
        <v>3</v>
      </c>
      <c r="M945" s="10" t="n">
        <f aca="false">_xlfn.NUMBERVALUE("" &amp; K945 &amp; "",".",",")</f>
        <v>0.0607508333333333</v>
      </c>
      <c r="N945" s="10"/>
      <c r="O945" s="0" t="str">
        <f aca="false">VLOOKUP(C945,statusdetails!$A:$D,4,0)</f>
        <v>STANDBY</v>
      </c>
      <c r="P945" s="0" t="str">
        <f aca="false">VLOOKUP(F945,equipment!$A:$E,4,0)</f>
        <v>DZ201</v>
      </c>
      <c r="Q945" s="0" t="str">
        <f aca="false">VLOOKUP(F945,equipment!$A:$E,5,0)</f>
        <v>DZ201 - 37</v>
      </c>
    </row>
    <row r="946" customFormat="false" ht="12.8" hidden="true" customHeight="false" outlineLevel="0" collapsed="false">
      <c r="A946" s="0" t="n">
        <v>467079</v>
      </c>
      <c r="B946" s="0" t="n">
        <v>467079</v>
      </c>
      <c r="C946" s="0" t="n">
        <v>1</v>
      </c>
      <c r="D946" s="0" t="n">
        <v>6</v>
      </c>
      <c r="E946" s="0" t="n">
        <v>811</v>
      </c>
      <c r="F946" s="0" t="n">
        <v>42</v>
      </c>
      <c r="G946" s="0" t="n">
        <v>16</v>
      </c>
      <c r="H946" s="0" t="s">
        <v>1811</v>
      </c>
      <c r="I946" s="0" t="s">
        <v>1889</v>
      </c>
      <c r="J946" s="9" t="n">
        <v>45903</v>
      </c>
      <c r="K946" s="0" t="s">
        <v>1890</v>
      </c>
      <c r="L946" s="0" t="n">
        <v>3</v>
      </c>
      <c r="M946" s="10" t="n">
        <f aca="false">_xlfn.NUMBERVALUE("" &amp; K946 &amp; "",".",",")</f>
        <v>5.02702527777778</v>
      </c>
      <c r="N946" s="10"/>
      <c r="O946" s="0" t="str">
        <f aca="false">VLOOKUP(C946,statusdetails!$A:$D,4,0)</f>
        <v>READY</v>
      </c>
    </row>
    <row r="947" customFormat="false" ht="12.8" hidden="true" customHeight="false" outlineLevel="0" collapsed="false">
      <c r="A947" s="0" t="n">
        <v>467080</v>
      </c>
      <c r="B947" s="0" t="n">
        <v>467080</v>
      </c>
      <c r="C947" s="0" t="n">
        <v>1</v>
      </c>
      <c r="D947" s="0" t="n">
        <v>6</v>
      </c>
      <c r="E947" s="0" t="n">
        <v>372</v>
      </c>
      <c r="F947" s="0" t="n">
        <v>37</v>
      </c>
      <c r="G947" s="0" t="n">
        <v>54</v>
      </c>
      <c r="H947" s="0" t="s">
        <v>1887</v>
      </c>
      <c r="I947" s="0" t="s">
        <v>1891</v>
      </c>
      <c r="J947" s="9" t="n">
        <v>45903</v>
      </c>
      <c r="K947" s="0" t="s">
        <v>1892</v>
      </c>
      <c r="L947" s="0" t="n">
        <v>3</v>
      </c>
      <c r="M947" s="10" t="n">
        <f aca="false">_xlfn.NUMBERVALUE("" &amp; K947 &amp; "",".",",")</f>
        <v>3.53387201833333</v>
      </c>
      <c r="N947" s="10"/>
      <c r="O947" s="0" t="str">
        <f aca="false">VLOOKUP(C947,statusdetails!$A:$D,4,0)</f>
        <v>READY</v>
      </c>
    </row>
    <row r="948" customFormat="false" ht="12.8" hidden="true" customHeight="false" outlineLevel="0" collapsed="false">
      <c r="A948" s="0" t="n">
        <v>467081</v>
      </c>
      <c r="B948" s="0" t="n">
        <v>467081</v>
      </c>
      <c r="C948" s="0" t="n">
        <v>1</v>
      </c>
      <c r="D948" s="0" t="n">
        <v>6</v>
      </c>
      <c r="E948" s="0" t="n">
        <v>2404</v>
      </c>
      <c r="F948" s="0" t="n">
        <v>85</v>
      </c>
      <c r="G948" s="0" t="n">
        <v>7</v>
      </c>
      <c r="H948" s="0" t="s">
        <v>1885</v>
      </c>
      <c r="I948" s="0" t="s">
        <v>1893</v>
      </c>
      <c r="J948" s="9" t="n">
        <v>45903</v>
      </c>
      <c r="K948" s="0" t="s">
        <v>1894</v>
      </c>
      <c r="L948" s="0" t="n">
        <v>3</v>
      </c>
      <c r="M948" s="10" t="n">
        <f aca="false">_xlfn.NUMBERVALUE("" &amp; K948 &amp; "",".",",")</f>
        <v>1.91441912722222</v>
      </c>
      <c r="N948" s="10"/>
      <c r="O948" s="0" t="str">
        <f aca="false">VLOOKUP(C948,statusdetails!$A:$D,4,0)</f>
        <v>READY</v>
      </c>
    </row>
    <row r="949" customFormat="false" ht="12.8" hidden="true" customHeight="false" outlineLevel="0" collapsed="false">
      <c r="A949" s="0" t="n">
        <v>467082</v>
      </c>
      <c r="B949" s="0" t="n">
        <v>467082</v>
      </c>
      <c r="C949" s="0" t="n">
        <v>1</v>
      </c>
      <c r="D949" s="0" t="n">
        <v>2303</v>
      </c>
      <c r="E949" s="0" t="n">
        <v>969</v>
      </c>
      <c r="F949" s="0" t="n">
        <v>45</v>
      </c>
      <c r="G949" s="0" t="n">
        <v>0</v>
      </c>
      <c r="H949" s="0" t="s">
        <v>1798</v>
      </c>
      <c r="I949" s="0" t="s">
        <v>1895</v>
      </c>
      <c r="J949" s="9" t="n">
        <v>45903</v>
      </c>
      <c r="K949" s="0" t="s">
        <v>1896</v>
      </c>
      <c r="L949" s="0" t="n">
        <v>3</v>
      </c>
      <c r="M949" s="10" t="n">
        <f aca="false">_xlfn.NUMBERVALUE("" &amp; K949 &amp; "",".",",")</f>
        <v>0.802216805</v>
      </c>
      <c r="N949" s="10"/>
      <c r="O949" s="0" t="str">
        <f aca="false">VLOOKUP(C949,statusdetails!$A:$D,4,0)</f>
        <v>READY</v>
      </c>
    </row>
    <row r="950" customFormat="false" ht="12.8" hidden="true" customHeight="false" outlineLevel="0" collapsed="false">
      <c r="A950" s="0" t="n">
        <v>467083</v>
      </c>
      <c r="B950" s="0" t="n">
        <v>467083</v>
      </c>
      <c r="C950" s="0" t="n">
        <v>3</v>
      </c>
      <c r="D950" s="0" t="n">
        <v>14</v>
      </c>
      <c r="E950" s="0" t="n">
        <v>2555</v>
      </c>
      <c r="F950" s="0" t="n">
        <v>84</v>
      </c>
      <c r="G950" s="0" t="n">
        <v>82</v>
      </c>
      <c r="H950" s="0" t="s">
        <v>1879</v>
      </c>
      <c r="I950" s="0" t="s">
        <v>1897</v>
      </c>
      <c r="J950" s="9" t="n">
        <v>45903</v>
      </c>
      <c r="K950" s="0" t="s">
        <v>1898</v>
      </c>
      <c r="L950" s="0" t="n">
        <v>3</v>
      </c>
      <c r="M950" s="10" t="n">
        <f aca="false">_xlfn.NUMBERVALUE("" &amp; K950 &amp; "",".",",")</f>
        <v>0.0722999016666667</v>
      </c>
      <c r="N950" s="10"/>
      <c r="O950" s="0" t="str">
        <f aca="false">VLOOKUP(C950,statusdetails!$A:$D,4,0)</f>
        <v>STANDBY</v>
      </c>
      <c r="P950" s="0" t="str">
        <f aca="false">VLOOKUP(F950,equipment!$A:$E,4,0)</f>
        <v>CM01</v>
      </c>
      <c r="Q950" s="0" t="str">
        <f aca="false">VLOOKUP(F950,equipment!$A:$E,5,0)</f>
        <v>CM01 - 84</v>
      </c>
    </row>
    <row r="951" customFormat="false" ht="12.8" hidden="true" customHeight="false" outlineLevel="0" collapsed="false">
      <c r="A951" s="0" t="n">
        <v>467086</v>
      </c>
      <c r="B951" s="0" t="n">
        <v>467086</v>
      </c>
      <c r="C951" s="0" t="n">
        <v>1</v>
      </c>
      <c r="D951" s="0" t="n">
        <v>6</v>
      </c>
      <c r="E951" s="0" t="n">
        <v>2404</v>
      </c>
      <c r="F951" s="0" t="n">
        <v>84</v>
      </c>
      <c r="G951" s="0" t="n">
        <v>82</v>
      </c>
      <c r="H951" s="0" t="s">
        <v>1897</v>
      </c>
      <c r="I951" s="0" t="s">
        <v>1899</v>
      </c>
      <c r="J951" s="9" t="n">
        <v>45903</v>
      </c>
      <c r="K951" s="0" t="s">
        <v>1900</v>
      </c>
      <c r="L951" s="0" t="n">
        <v>3</v>
      </c>
      <c r="M951" s="10" t="n">
        <f aca="false">_xlfn.NUMBERVALUE("" &amp; K951 &amp; "",".",",")</f>
        <v>1.0709025</v>
      </c>
      <c r="N951" s="10"/>
      <c r="O951" s="0" t="str">
        <f aca="false">VLOOKUP(C951,statusdetails!$A:$D,4,0)</f>
        <v>READY</v>
      </c>
    </row>
    <row r="952" customFormat="false" ht="12.8" hidden="true" customHeight="false" outlineLevel="0" collapsed="false">
      <c r="A952" s="0" t="n">
        <v>467088</v>
      </c>
      <c r="B952" s="0" t="n">
        <v>467088</v>
      </c>
      <c r="C952" s="0" t="n">
        <v>3</v>
      </c>
      <c r="D952" s="0" t="n">
        <v>14</v>
      </c>
      <c r="E952" s="0" t="n">
        <v>1162</v>
      </c>
      <c r="F952" s="0" t="n">
        <v>35</v>
      </c>
      <c r="G952" s="0" t="n">
        <v>62</v>
      </c>
      <c r="H952" s="0" t="s">
        <v>1849</v>
      </c>
      <c r="I952" s="0" t="s">
        <v>1901</v>
      </c>
      <c r="J952" s="9" t="n">
        <v>45903</v>
      </c>
      <c r="K952" s="0" t="s">
        <v>1902</v>
      </c>
      <c r="L952" s="0" t="n">
        <v>4</v>
      </c>
      <c r="M952" s="10" t="n">
        <f aca="false">_xlfn.NUMBERVALUE("" &amp; K952 &amp; "",".",",")</f>
        <v>0.121457510277778</v>
      </c>
      <c r="N952" s="10"/>
      <c r="O952" s="0" t="str">
        <f aca="false">VLOOKUP(C952,statusdetails!$A:$D,4,0)</f>
        <v>STANDBY</v>
      </c>
      <c r="P952" s="0" t="str">
        <f aca="false">VLOOKUP(F952,equipment!$A:$E,4,0)</f>
        <v>CM405</v>
      </c>
      <c r="Q952" s="0" t="str">
        <f aca="false">VLOOKUP(F952,equipment!$A:$E,5,0)</f>
        <v>CM405 - 35</v>
      </c>
    </row>
    <row r="953" customFormat="false" ht="12.8" hidden="true" customHeight="false" outlineLevel="0" collapsed="false">
      <c r="A953" s="0" t="n">
        <v>467089</v>
      </c>
      <c r="B953" s="0" t="n">
        <v>467089</v>
      </c>
      <c r="C953" s="0" t="n">
        <v>2</v>
      </c>
      <c r="D953" s="0" t="n">
        <v>9</v>
      </c>
      <c r="E953" s="0" t="n">
        <v>2515</v>
      </c>
      <c r="F953" s="0" t="n">
        <v>86</v>
      </c>
      <c r="G953" s="0" t="n">
        <v>149</v>
      </c>
      <c r="H953" s="0" t="s">
        <v>1883</v>
      </c>
      <c r="I953" s="0" t="s">
        <v>1903</v>
      </c>
      <c r="J953" s="9" t="n">
        <v>45903</v>
      </c>
      <c r="K953" s="0" t="s">
        <v>1904</v>
      </c>
      <c r="L953" s="0" t="n">
        <v>4</v>
      </c>
      <c r="M953" s="3" t="n">
        <f aca="false">_xlfn.NUMBERVALUE("" &amp; K953 &amp; "",".",",")</f>
        <v>0.0226830555555556</v>
      </c>
      <c r="O953" s="0" t="str">
        <f aca="false">VLOOKUP(C953,statusdetails!$A:$D,4,0)</f>
        <v>DELAY</v>
      </c>
    </row>
    <row r="954" customFormat="false" ht="12.8" hidden="true" customHeight="false" outlineLevel="0" collapsed="false">
      <c r="A954" s="0" t="n">
        <v>467090</v>
      </c>
      <c r="B954" s="0" t="n">
        <v>467090</v>
      </c>
      <c r="C954" s="0" t="n">
        <v>1</v>
      </c>
      <c r="D954" s="0" t="n">
        <v>6</v>
      </c>
      <c r="E954" s="0" t="n">
        <v>2404</v>
      </c>
      <c r="F954" s="0" t="n">
        <v>86</v>
      </c>
      <c r="G954" s="0" t="n">
        <v>149</v>
      </c>
      <c r="H954" s="0" t="s">
        <v>1903</v>
      </c>
      <c r="I954" s="0" t="s">
        <v>1905</v>
      </c>
      <c r="J954" s="9" t="n">
        <v>45903</v>
      </c>
      <c r="K954" s="0" t="s">
        <v>1906</v>
      </c>
      <c r="L954" s="0" t="n">
        <v>4</v>
      </c>
      <c r="M954" s="10" t="n">
        <f aca="false">_xlfn.NUMBERVALUE("" &amp; K954 &amp; "",".",",")</f>
        <v>0.871587777777778</v>
      </c>
      <c r="N954" s="10"/>
      <c r="O954" s="0" t="str">
        <f aca="false">VLOOKUP(C954,statusdetails!$A:$D,4,0)</f>
        <v>READY</v>
      </c>
    </row>
    <row r="955" customFormat="false" ht="12.8" hidden="true" customHeight="false" outlineLevel="0" collapsed="false">
      <c r="A955" s="0" t="n">
        <v>467091</v>
      </c>
      <c r="B955" s="0" t="n">
        <v>467091</v>
      </c>
      <c r="C955" s="0" t="n">
        <v>1</v>
      </c>
      <c r="D955" s="0" t="n">
        <v>6</v>
      </c>
      <c r="E955" s="0" t="n">
        <v>260</v>
      </c>
      <c r="F955" s="0" t="n">
        <v>35</v>
      </c>
      <c r="G955" s="0" t="n">
        <v>62</v>
      </c>
      <c r="H955" s="0" t="s">
        <v>1901</v>
      </c>
      <c r="I955" s="0" t="s">
        <v>1907</v>
      </c>
      <c r="J955" s="9" t="n">
        <v>45903</v>
      </c>
      <c r="K955" s="0" t="s">
        <v>1908</v>
      </c>
      <c r="L955" s="0" t="n">
        <v>4</v>
      </c>
      <c r="M955" s="10" t="n">
        <f aca="false">_xlfn.NUMBERVALUE("" &amp; K955 &amp; "",".",",")</f>
        <v>3.08043870916667</v>
      </c>
      <c r="N955" s="10"/>
      <c r="O955" s="0" t="str">
        <f aca="false">VLOOKUP(C955,statusdetails!$A:$D,4,0)</f>
        <v>READY</v>
      </c>
    </row>
    <row r="956" customFormat="false" ht="12.8" hidden="true" customHeight="false" outlineLevel="0" collapsed="false">
      <c r="A956" s="0" t="n">
        <v>467092</v>
      </c>
      <c r="B956" s="0" t="n">
        <v>467092</v>
      </c>
      <c r="C956" s="0" t="n">
        <v>3</v>
      </c>
      <c r="D956" s="0" t="n">
        <v>14</v>
      </c>
      <c r="E956" s="0" t="n">
        <v>1162</v>
      </c>
      <c r="F956" s="0" t="n">
        <v>66</v>
      </c>
      <c r="G956" s="0" t="n">
        <v>66</v>
      </c>
      <c r="H956" s="0" t="s">
        <v>1855</v>
      </c>
      <c r="I956" s="0" t="s">
        <v>1909</v>
      </c>
      <c r="J956" s="9" t="n">
        <v>45903</v>
      </c>
      <c r="K956" s="0" t="s">
        <v>1910</v>
      </c>
      <c r="L956" s="0" t="n">
        <v>4</v>
      </c>
      <c r="M956" s="10" t="n">
        <f aca="false">_xlfn.NUMBERVALUE("" &amp; K956 &amp; "",".",",")</f>
        <v>0.119277482222222</v>
      </c>
      <c r="N956" s="10"/>
      <c r="O956" s="0" t="str">
        <f aca="false">VLOOKUP(C956,statusdetails!$A:$D,4,0)</f>
        <v>STANDBY</v>
      </c>
      <c r="P956" s="0" t="str">
        <f aca="false">VLOOKUP(F956,equipment!$A:$E,4,0)</f>
        <v>CM407</v>
      </c>
      <c r="Q956" s="0" t="str">
        <f aca="false">VLOOKUP(F956,equipment!$A:$E,5,0)</f>
        <v>CM407 - 66</v>
      </c>
    </row>
    <row r="957" customFormat="false" ht="12.8" hidden="true" customHeight="false" outlineLevel="0" collapsed="false">
      <c r="A957" s="0" t="n">
        <v>467093</v>
      </c>
      <c r="B957" s="0" t="n">
        <v>467093</v>
      </c>
      <c r="C957" s="0" t="n">
        <v>3</v>
      </c>
      <c r="D957" s="0" t="n">
        <v>14</v>
      </c>
      <c r="E957" s="0" t="n">
        <v>1162</v>
      </c>
      <c r="F957" s="0" t="n">
        <v>33</v>
      </c>
      <c r="G957" s="0" t="n">
        <v>42</v>
      </c>
      <c r="H957" s="0" t="s">
        <v>1851</v>
      </c>
      <c r="I957" s="0" t="s">
        <v>1911</v>
      </c>
      <c r="J957" s="9" t="n">
        <v>45903</v>
      </c>
      <c r="K957" s="0" t="s">
        <v>1912</v>
      </c>
      <c r="L957" s="0" t="n">
        <v>4</v>
      </c>
      <c r="M957" s="10" t="n">
        <f aca="false">_xlfn.NUMBERVALUE("" &amp; K957 &amp; "",".",",")</f>
        <v>0.127082583333333</v>
      </c>
      <c r="N957" s="10"/>
      <c r="O957" s="0" t="str">
        <f aca="false">VLOOKUP(C957,statusdetails!$A:$D,4,0)</f>
        <v>STANDBY</v>
      </c>
      <c r="P957" s="0" t="str">
        <f aca="false">VLOOKUP(F957,equipment!$A:$E,4,0)</f>
        <v>CM406</v>
      </c>
      <c r="Q957" s="0" t="str">
        <f aca="false">VLOOKUP(F957,equipment!$A:$E,5,0)</f>
        <v>CM406 - 33</v>
      </c>
    </row>
    <row r="958" customFormat="false" ht="12.8" hidden="true" customHeight="false" outlineLevel="0" collapsed="false">
      <c r="A958" s="0" t="n">
        <v>467094</v>
      </c>
      <c r="B958" s="0" t="n">
        <v>467094</v>
      </c>
      <c r="C958" s="0" t="n">
        <v>1</v>
      </c>
      <c r="D958" s="0" t="n">
        <v>6</v>
      </c>
      <c r="E958" s="0" t="n">
        <v>260</v>
      </c>
      <c r="F958" s="0" t="n">
        <v>66</v>
      </c>
      <c r="G958" s="0" t="n">
        <v>66</v>
      </c>
      <c r="H958" s="0" t="s">
        <v>1909</v>
      </c>
      <c r="I958" s="0" t="s">
        <v>1913</v>
      </c>
      <c r="J958" s="9" t="n">
        <v>45903</v>
      </c>
      <c r="K958" s="0" t="s">
        <v>1914</v>
      </c>
      <c r="L958" s="0" t="n">
        <v>4</v>
      </c>
      <c r="M958" s="10" t="n">
        <f aca="false">_xlfn.NUMBERVALUE("" &amp; K958 &amp; "",".",",")</f>
        <v>2.53592495805556</v>
      </c>
      <c r="N958" s="10"/>
      <c r="O958" s="0" t="str">
        <f aca="false">VLOOKUP(C958,statusdetails!$A:$D,4,0)</f>
        <v>READY</v>
      </c>
    </row>
    <row r="959" customFormat="false" ht="12.8" hidden="true" customHeight="false" outlineLevel="0" collapsed="false">
      <c r="A959" s="0" t="n">
        <v>467095</v>
      </c>
      <c r="B959" s="0" t="n">
        <v>467095</v>
      </c>
      <c r="C959" s="0" t="n">
        <v>1</v>
      </c>
      <c r="D959" s="0" t="n">
        <v>6</v>
      </c>
      <c r="E959" s="0" t="n">
        <v>2524</v>
      </c>
      <c r="F959" s="0" t="n">
        <v>74</v>
      </c>
      <c r="G959" s="0" t="n">
        <v>0</v>
      </c>
      <c r="H959" s="0" t="s">
        <v>1800</v>
      </c>
      <c r="I959" s="0" t="s">
        <v>1915</v>
      </c>
      <c r="J959" s="9" t="n">
        <v>45903</v>
      </c>
      <c r="K959" s="0" t="s">
        <v>1916</v>
      </c>
      <c r="L959" s="0" t="n">
        <v>4</v>
      </c>
      <c r="M959" s="10" t="n">
        <f aca="false">_xlfn.NUMBERVALUE("" &amp; K959 &amp; "",".",",")</f>
        <v>2.49987660527778</v>
      </c>
      <c r="N959" s="10"/>
      <c r="O959" s="0" t="str">
        <f aca="false">VLOOKUP(C959,statusdetails!$A:$D,4,0)</f>
        <v>READY</v>
      </c>
    </row>
    <row r="960" customFormat="false" ht="12.8" hidden="true" customHeight="false" outlineLevel="0" collapsed="false">
      <c r="A960" s="0" t="n">
        <v>467096</v>
      </c>
      <c r="B960" s="0" t="n">
        <v>467096</v>
      </c>
      <c r="C960" s="0" t="n">
        <v>1</v>
      </c>
      <c r="D960" s="0" t="n">
        <v>6</v>
      </c>
      <c r="E960" s="0" t="n">
        <v>260</v>
      </c>
      <c r="F960" s="0" t="n">
        <v>33</v>
      </c>
      <c r="G960" s="0" t="n">
        <v>42</v>
      </c>
      <c r="H960" s="0" t="s">
        <v>1911</v>
      </c>
      <c r="I960" s="0" t="s">
        <v>1917</v>
      </c>
      <c r="J960" s="9" t="n">
        <v>45903</v>
      </c>
      <c r="K960" s="0" t="s">
        <v>1918</v>
      </c>
      <c r="L960" s="0" t="n">
        <v>4</v>
      </c>
      <c r="M960" s="10" t="n">
        <f aca="false">_xlfn.NUMBERVALUE("" &amp; K960 &amp; "",".",",")</f>
        <v>2.61382388444444</v>
      </c>
      <c r="N960" s="10"/>
      <c r="O960" s="0" t="str">
        <f aca="false">VLOOKUP(C960,statusdetails!$A:$D,4,0)</f>
        <v>READY</v>
      </c>
    </row>
    <row r="961" customFormat="false" ht="12.8" hidden="true" customHeight="false" outlineLevel="0" collapsed="false">
      <c r="A961" s="0" t="n">
        <v>467097</v>
      </c>
      <c r="B961" s="0" t="n">
        <v>467097</v>
      </c>
      <c r="C961" s="0" t="n">
        <v>1</v>
      </c>
      <c r="D961" s="0" t="n">
        <v>6</v>
      </c>
      <c r="E961" s="0" t="n">
        <v>2404</v>
      </c>
      <c r="F961" s="0" t="n">
        <v>87</v>
      </c>
      <c r="G961" s="0" t="n">
        <v>147</v>
      </c>
      <c r="H961" s="0" t="s">
        <v>1873</v>
      </c>
      <c r="I961" s="0" t="s">
        <v>1919</v>
      </c>
      <c r="J961" s="9" t="n">
        <v>45903</v>
      </c>
      <c r="K961" s="0" t="s">
        <v>1920</v>
      </c>
      <c r="L961" s="0" t="n">
        <v>4</v>
      </c>
      <c r="M961" s="10" t="n">
        <f aca="false">_xlfn.NUMBERVALUE("" &amp; K961 &amp; "",".",",")</f>
        <v>0.691171623611111</v>
      </c>
      <c r="N961" s="10"/>
      <c r="O961" s="0" t="str">
        <f aca="false">VLOOKUP(C961,statusdetails!$A:$D,4,0)</f>
        <v>READY</v>
      </c>
    </row>
    <row r="962" customFormat="false" ht="12.8" hidden="true" customHeight="false" outlineLevel="0" collapsed="false">
      <c r="A962" s="0" t="n">
        <v>467098</v>
      </c>
      <c r="B962" s="0" t="n">
        <v>467098</v>
      </c>
      <c r="C962" s="0" t="n">
        <v>1</v>
      </c>
      <c r="D962" s="0" t="n">
        <v>6</v>
      </c>
      <c r="E962" s="0" t="n">
        <v>138</v>
      </c>
      <c r="F962" s="0" t="n">
        <v>45</v>
      </c>
      <c r="G962" s="0" t="n">
        <v>133</v>
      </c>
      <c r="H962" s="0" t="s">
        <v>1895</v>
      </c>
      <c r="I962" s="0" t="s">
        <v>1921</v>
      </c>
      <c r="J962" s="9" t="n">
        <v>45903</v>
      </c>
      <c r="K962" s="0" t="s">
        <v>1922</v>
      </c>
      <c r="L962" s="0" t="n">
        <v>4</v>
      </c>
      <c r="M962" s="10" t="n">
        <f aca="false">_xlfn.NUMBERVALUE("" &amp; K962 &amp; "",".",",")</f>
        <v>2.20962460527778</v>
      </c>
      <c r="N962" s="10"/>
      <c r="O962" s="0" t="str">
        <f aca="false">VLOOKUP(C962,statusdetails!$A:$D,4,0)</f>
        <v>READY</v>
      </c>
    </row>
    <row r="963" customFormat="false" ht="12.8" hidden="true" customHeight="false" outlineLevel="0" collapsed="false">
      <c r="A963" s="0" t="n">
        <v>467099</v>
      </c>
      <c r="B963" s="0" t="n">
        <v>467099</v>
      </c>
      <c r="C963" s="0" t="n">
        <v>1</v>
      </c>
      <c r="D963" s="0" t="n">
        <v>6</v>
      </c>
      <c r="E963" s="0" t="n">
        <v>586</v>
      </c>
      <c r="F963" s="0" t="n">
        <v>41</v>
      </c>
      <c r="G963" s="0" t="n">
        <v>0</v>
      </c>
      <c r="H963" s="0" t="s">
        <v>1820</v>
      </c>
      <c r="I963" s="0" t="s">
        <v>1923</v>
      </c>
      <c r="J963" s="9" t="n">
        <v>45903</v>
      </c>
      <c r="K963" s="0" t="s">
        <v>1924</v>
      </c>
      <c r="L963" s="0" t="n">
        <v>4</v>
      </c>
      <c r="M963" s="10" t="n">
        <f aca="false">_xlfn.NUMBERVALUE("" &amp; K963 &amp; "",".",",")</f>
        <v>2.20823774333333</v>
      </c>
      <c r="N963" s="10"/>
      <c r="O963" s="0" t="str">
        <f aca="false">VLOOKUP(C963,statusdetails!$A:$D,4,0)</f>
        <v>READY</v>
      </c>
    </row>
    <row r="964" customFormat="false" ht="12.8" hidden="true" customHeight="false" outlineLevel="0" collapsed="false">
      <c r="A964" s="0" t="n">
        <v>467100</v>
      </c>
      <c r="B964" s="0" t="n">
        <v>467100</v>
      </c>
      <c r="C964" s="0" t="n">
        <v>3</v>
      </c>
      <c r="D964" s="0" t="n">
        <v>14</v>
      </c>
      <c r="E964" s="0" t="n">
        <v>2503</v>
      </c>
      <c r="F964" s="0" t="n">
        <v>89</v>
      </c>
      <c r="G964" s="0" t="n">
        <v>150</v>
      </c>
      <c r="H964" s="0" t="s">
        <v>1881</v>
      </c>
      <c r="I964" s="0" t="s">
        <v>1925</v>
      </c>
      <c r="J964" s="9" t="n">
        <v>45903</v>
      </c>
      <c r="K964" s="0" t="s">
        <v>1926</v>
      </c>
      <c r="L964" s="0" t="n">
        <v>4</v>
      </c>
      <c r="M964" s="10" t="n">
        <f aca="false">_xlfn.NUMBERVALUE("" &amp; K964 &amp; "",".",",")</f>
        <v>0.0712576080555556</v>
      </c>
      <c r="N964" s="10"/>
      <c r="O964" s="0" t="str">
        <f aca="false">VLOOKUP(C964,statusdetails!$A:$D,4,0)</f>
        <v>STANDBY</v>
      </c>
      <c r="P964" s="0" t="str">
        <f aca="false">VLOOKUP(F964,equipment!$A:$E,4,0)</f>
        <v>CM06</v>
      </c>
      <c r="Q964" s="0" t="str">
        <f aca="false">VLOOKUP(F964,equipment!$A:$E,5,0)</f>
        <v>CM06 - 89</v>
      </c>
    </row>
    <row r="965" customFormat="false" ht="12.8" hidden="true" customHeight="false" outlineLevel="0" collapsed="false">
      <c r="A965" s="0" t="n">
        <v>467101</v>
      </c>
      <c r="B965" s="0" t="n">
        <v>467101</v>
      </c>
      <c r="C965" s="0" t="n">
        <v>1</v>
      </c>
      <c r="D965" s="0" t="n">
        <v>6</v>
      </c>
      <c r="E965" s="0" t="n">
        <v>2404</v>
      </c>
      <c r="F965" s="0" t="n">
        <v>89</v>
      </c>
      <c r="G965" s="0" t="n">
        <v>150</v>
      </c>
      <c r="H965" s="0" t="s">
        <v>1925</v>
      </c>
      <c r="I965" s="0" t="s">
        <v>1927</v>
      </c>
      <c r="J965" s="9" t="n">
        <v>45903</v>
      </c>
      <c r="K965" s="0" t="s">
        <v>1928</v>
      </c>
      <c r="L965" s="0" t="n">
        <v>4</v>
      </c>
      <c r="M965" s="10" t="n">
        <f aca="false">_xlfn.NUMBERVALUE("" &amp; K965 &amp; "",".",",")</f>
        <v>2.08357169722222</v>
      </c>
      <c r="N965" s="10"/>
      <c r="O965" s="0" t="str">
        <f aca="false">VLOOKUP(C965,statusdetails!$A:$D,4,0)</f>
        <v>READY</v>
      </c>
    </row>
    <row r="966" customFormat="false" ht="12.8" hidden="true" customHeight="false" outlineLevel="0" collapsed="false">
      <c r="A966" s="0" t="n">
        <v>467102</v>
      </c>
      <c r="B966" s="0" t="n">
        <v>467102</v>
      </c>
      <c r="C966" s="0" t="n">
        <v>3</v>
      </c>
      <c r="D966" s="0" t="n">
        <v>14</v>
      </c>
      <c r="E966" s="0" t="n">
        <v>2503</v>
      </c>
      <c r="F966" s="0" t="n">
        <v>88</v>
      </c>
      <c r="G966" s="0" t="n">
        <v>148</v>
      </c>
      <c r="H966" s="0" t="s">
        <v>1877</v>
      </c>
      <c r="I966" s="0" t="s">
        <v>1929</v>
      </c>
      <c r="J966" s="9" t="n">
        <v>45903</v>
      </c>
      <c r="K966" s="0" t="s">
        <v>1930</v>
      </c>
      <c r="L966" s="0" t="n">
        <v>4</v>
      </c>
      <c r="M966" s="10" t="n">
        <f aca="false">_xlfn.NUMBERVALUE("" &amp; K966 &amp; "",".",",")</f>
        <v>0.0382494444444444</v>
      </c>
      <c r="N966" s="10"/>
      <c r="O966" s="0" t="str">
        <f aca="false">VLOOKUP(C966,statusdetails!$A:$D,4,0)</f>
        <v>STANDBY</v>
      </c>
      <c r="P966" s="0" t="str">
        <f aca="false">VLOOKUP(F966,equipment!$A:$E,4,0)</f>
        <v>CM05</v>
      </c>
      <c r="Q966" s="0" t="str">
        <f aca="false">VLOOKUP(F966,equipment!$A:$E,5,0)</f>
        <v>CM05 - 88</v>
      </c>
    </row>
    <row r="967" customFormat="false" ht="12.8" hidden="true" customHeight="false" outlineLevel="0" collapsed="false">
      <c r="A967" s="0" t="n">
        <v>467103</v>
      </c>
      <c r="B967" s="0" t="n">
        <v>467103</v>
      </c>
      <c r="C967" s="0" t="n">
        <v>1</v>
      </c>
      <c r="D967" s="0" t="n">
        <v>6</v>
      </c>
      <c r="E967" s="0" t="n">
        <v>2404</v>
      </c>
      <c r="F967" s="0" t="n">
        <v>88</v>
      </c>
      <c r="G967" s="0" t="n">
        <v>148</v>
      </c>
      <c r="H967" s="0" t="s">
        <v>1929</v>
      </c>
      <c r="I967" s="0" t="s">
        <v>1931</v>
      </c>
      <c r="J967" s="9" t="n">
        <v>45903</v>
      </c>
      <c r="K967" s="0" t="s">
        <v>1932</v>
      </c>
      <c r="L967" s="0" t="n">
        <v>4</v>
      </c>
      <c r="M967" s="10" t="n">
        <f aca="false">_xlfn.NUMBERVALUE("" &amp; K967 &amp; "",".",",")</f>
        <v>1.98929035888889</v>
      </c>
      <c r="N967" s="10"/>
      <c r="O967" s="0" t="str">
        <f aca="false">VLOOKUP(C967,statusdetails!$A:$D,4,0)</f>
        <v>READY</v>
      </c>
    </row>
    <row r="968" customFormat="false" ht="12.8" hidden="true" customHeight="false" outlineLevel="0" collapsed="false">
      <c r="A968" s="0" t="n">
        <v>467104</v>
      </c>
      <c r="B968" s="0" t="n">
        <v>467104</v>
      </c>
      <c r="C968" s="0" t="n">
        <v>3</v>
      </c>
      <c r="D968" s="0" t="n">
        <v>14</v>
      </c>
      <c r="E968" s="0" t="n">
        <v>2503</v>
      </c>
      <c r="F968" s="0" t="n">
        <v>84</v>
      </c>
      <c r="G968" s="0" t="n">
        <v>82</v>
      </c>
      <c r="H968" s="0" t="s">
        <v>1899</v>
      </c>
      <c r="I968" s="0" t="s">
        <v>1933</v>
      </c>
      <c r="J968" s="9" t="n">
        <v>45903</v>
      </c>
      <c r="K968" s="0" t="s">
        <v>1934</v>
      </c>
      <c r="L968" s="0" t="n">
        <v>4</v>
      </c>
      <c r="M968" s="10" t="n">
        <f aca="false">_xlfn.NUMBERVALUE("" &amp; K968 &amp; "",".",",")</f>
        <v>0.0392794444444444</v>
      </c>
      <c r="N968" s="10"/>
      <c r="O968" s="0" t="str">
        <f aca="false">VLOOKUP(C968,statusdetails!$A:$D,4,0)</f>
        <v>STANDBY</v>
      </c>
      <c r="P968" s="0" t="str">
        <f aca="false">VLOOKUP(F968,equipment!$A:$E,4,0)</f>
        <v>CM01</v>
      </c>
      <c r="Q968" s="0" t="str">
        <f aca="false">VLOOKUP(F968,equipment!$A:$E,5,0)</f>
        <v>CM01 - 84</v>
      </c>
    </row>
    <row r="969" customFormat="false" ht="12.8" hidden="true" customHeight="false" outlineLevel="0" collapsed="false">
      <c r="A969" s="0" t="n">
        <v>467105</v>
      </c>
      <c r="B969" s="0" t="n">
        <v>467105</v>
      </c>
      <c r="C969" s="0" t="n">
        <v>1</v>
      </c>
      <c r="D969" s="0" t="n">
        <v>6</v>
      </c>
      <c r="E969" s="0" t="n">
        <v>2404</v>
      </c>
      <c r="F969" s="0" t="n">
        <v>84</v>
      </c>
      <c r="G969" s="0" t="n">
        <v>82</v>
      </c>
      <c r="H969" s="0" t="s">
        <v>1933</v>
      </c>
      <c r="I969" s="0" t="s">
        <v>1935</v>
      </c>
      <c r="J969" s="9" t="n">
        <v>45903</v>
      </c>
      <c r="K969" s="0" t="s">
        <v>1936</v>
      </c>
      <c r="L969" s="0" t="n">
        <v>4</v>
      </c>
      <c r="M969" s="10" t="n">
        <f aca="false">_xlfn.NUMBERVALUE("" &amp; K969 &amp; "",".",",")</f>
        <v>1.85035861111111</v>
      </c>
      <c r="N969" s="10"/>
      <c r="O969" s="0" t="str">
        <f aca="false">VLOOKUP(C969,statusdetails!$A:$D,4,0)</f>
        <v>READY</v>
      </c>
    </row>
    <row r="970" customFormat="false" ht="12.8" hidden="true" customHeight="false" outlineLevel="0" collapsed="false">
      <c r="A970" s="0" t="n">
        <v>467106</v>
      </c>
      <c r="B970" s="0" t="n">
        <v>467106</v>
      </c>
      <c r="C970" s="0" t="n">
        <v>3</v>
      </c>
      <c r="D970" s="0" t="n">
        <v>14</v>
      </c>
      <c r="E970" s="0" t="n">
        <v>2503</v>
      </c>
      <c r="F970" s="0" t="n">
        <v>86</v>
      </c>
      <c r="G970" s="0" t="n">
        <v>149</v>
      </c>
      <c r="H970" s="0" t="s">
        <v>1905</v>
      </c>
      <c r="I970" s="0" t="s">
        <v>1937</v>
      </c>
      <c r="J970" s="9" t="n">
        <v>45903</v>
      </c>
      <c r="K970" s="0" t="s">
        <v>1938</v>
      </c>
      <c r="L970" s="0" t="n">
        <v>4</v>
      </c>
      <c r="M970" s="10" t="n">
        <f aca="false">_xlfn.NUMBERVALUE("" &amp; K970 &amp; "",".",",")</f>
        <v>0.0599819444444444</v>
      </c>
      <c r="N970" s="10"/>
      <c r="O970" s="0" t="str">
        <f aca="false">VLOOKUP(C970,statusdetails!$A:$D,4,0)</f>
        <v>STANDBY</v>
      </c>
      <c r="P970" s="0" t="str">
        <f aca="false">VLOOKUP(F970,equipment!$A:$E,4,0)</f>
        <v>CM03</v>
      </c>
      <c r="Q970" s="0" t="str">
        <f aca="false">VLOOKUP(F970,equipment!$A:$E,5,0)</f>
        <v>CM03 - 86</v>
      </c>
    </row>
    <row r="971" customFormat="false" ht="12.8" hidden="true" customHeight="false" outlineLevel="0" collapsed="false">
      <c r="A971" s="0" t="n">
        <v>467107</v>
      </c>
      <c r="B971" s="0" t="n">
        <v>467107</v>
      </c>
      <c r="C971" s="0" t="n">
        <v>1</v>
      </c>
      <c r="D971" s="0" t="n">
        <v>6</v>
      </c>
      <c r="E971" s="0" t="n">
        <v>2404</v>
      </c>
      <c r="F971" s="0" t="n">
        <v>86</v>
      </c>
      <c r="G971" s="0" t="n">
        <v>149</v>
      </c>
      <c r="H971" s="0" t="s">
        <v>1937</v>
      </c>
      <c r="I971" s="0" t="s">
        <v>1939</v>
      </c>
      <c r="J971" s="9" t="n">
        <v>45903</v>
      </c>
      <c r="K971" s="0" t="s">
        <v>1940</v>
      </c>
      <c r="L971" s="0" t="n">
        <v>5</v>
      </c>
      <c r="M971" s="10" t="n">
        <f aca="false">_xlfn.NUMBERVALUE("" &amp; K971 &amp; "",".",",")</f>
        <v>1.81547279416667</v>
      </c>
      <c r="N971" s="10"/>
      <c r="O971" s="0" t="str">
        <f aca="false">VLOOKUP(C971,statusdetails!$A:$D,4,0)</f>
        <v>READY</v>
      </c>
    </row>
    <row r="972" customFormat="false" ht="12.8" hidden="true" customHeight="false" outlineLevel="0" collapsed="false">
      <c r="A972" s="0" t="n">
        <v>467108</v>
      </c>
      <c r="B972" s="0" t="n">
        <v>467108</v>
      </c>
      <c r="C972" s="0" t="n">
        <v>3</v>
      </c>
      <c r="D972" s="0" t="n">
        <v>14</v>
      </c>
      <c r="E972" s="0" t="n">
        <v>2503</v>
      </c>
      <c r="F972" s="0" t="n">
        <v>87</v>
      </c>
      <c r="G972" s="0" t="n">
        <v>147</v>
      </c>
      <c r="H972" s="0" t="s">
        <v>1919</v>
      </c>
      <c r="I972" s="0" t="s">
        <v>1941</v>
      </c>
      <c r="J972" s="9" t="n">
        <v>45903</v>
      </c>
      <c r="K972" s="0" t="s">
        <v>1942</v>
      </c>
      <c r="L972" s="0" t="n">
        <v>5</v>
      </c>
      <c r="M972" s="10" t="n">
        <f aca="false">_xlfn.NUMBERVALUE("" &amp; K972 &amp; "",".",",")</f>
        <v>0.0771564102777778</v>
      </c>
      <c r="N972" s="10"/>
      <c r="O972" s="0" t="str">
        <f aca="false">VLOOKUP(C972,statusdetails!$A:$D,4,0)</f>
        <v>STANDBY</v>
      </c>
      <c r="P972" s="0" t="str">
        <f aca="false">VLOOKUP(F972,equipment!$A:$E,4,0)</f>
        <v>CM04</v>
      </c>
      <c r="Q972" s="0" t="str">
        <f aca="false">VLOOKUP(F972,equipment!$A:$E,5,0)</f>
        <v>CM04 - 87</v>
      </c>
    </row>
    <row r="973" customFormat="false" ht="12.8" hidden="true" customHeight="false" outlineLevel="0" collapsed="false">
      <c r="A973" s="0" t="n">
        <v>467109</v>
      </c>
      <c r="B973" s="0" t="n">
        <v>467109</v>
      </c>
      <c r="C973" s="0" t="n">
        <v>1</v>
      </c>
      <c r="D973" s="0" t="n">
        <v>6</v>
      </c>
      <c r="E973" s="0" t="n">
        <v>2404</v>
      </c>
      <c r="F973" s="0" t="n">
        <v>87</v>
      </c>
      <c r="G973" s="0" t="n">
        <v>147</v>
      </c>
      <c r="H973" s="0" t="s">
        <v>1941</v>
      </c>
      <c r="I973" s="0" t="s">
        <v>1943</v>
      </c>
      <c r="J973" s="9" t="n">
        <v>45903</v>
      </c>
      <c r="K973" s="0" t="s">
        <v>1944</v>
      </c>
      <c r="L973" s="0" t="n">
        <v>5</v>
      </c>
      <c r="M973" s="10" t="n">
        <f aca="false">_xlfn.NUMBERVALUE("" &amp; K973 &amp; "",".",",")</f>
        <v>1.55109305694444</v>
      </c>
      <c r="N973" s="10"/>
      <c r="O973" s="0" t="str">
        <f aca="false">VLOOKUP(C973,statusdetails!$A:$D,4,0)</f>
        <v>READY</v>
      </c>
    </row>
    <row r="974" customFormat="false" ht="12.8" hidden="true" customHeight="false" outlineLevel="0" collapsed="false">
      <c r="A974" s="0" t="n">
        <v>467110</v>
      </c>
      <c r="B974" s="0" t="n">
        <v>467110</v>
      </c>
      <c r="C974" s="0" t="n">
        <v>3</v>
      </c>
      <c r="D974" s="0" t="n">
        <v>14</v>
      </c>
      <c r="E974" s="0" t="n">
        <v>2503</v>
      </c>
      <c r="F974" s="0" t="n">
        <v>85</v>
      </c>
      <c r="G974" s="0" t="n">
        <v>67</v>
      </c>
      <c r="H974" s="0" t="s">
        <v>1893</v>
      </c>
      <c r="I974" s="0" t="s">
        <v>1945</v>
      </c>
      <c r="J974" s="9" t="n">
        <v>45903</v>
      </c>
      <c r="K974" s="0" t="s">
        <v>1946</v>
      </c>
      <c r="L974" s="0" t="n">
        <v>5</v>
      </c>
      <c r="M974" s="10" t="n">
        <f aca="false">_xlfn.NUMBERVALUE("" &amp; K974 &amp; "",".",",")</f>
        <v>0.0605897463888889</v>
      </c>
      <c r="N974" s="10"/>
      <c r="O974" s="0" t="str">
        <f aca="false">VLOOKUP(C974,statusdetails!$A:$D,4,0)</f>
        <v>STANDBY</v>
      </c>
      <c r="P974" s="0" t="str">
        <f aca="false">VLOOKUP(F974,equipment!$A:$E,4,0)</f>
        <v>CM02</v>
      </c>
      <c r="Q974" s="0" t="str">
        <f aca="false">VLOOKUP(F974,equipment!$A:$E,5,0)</f>
        <v>CM02 - 85</v>
      </c>
    </row>
    <row r="975" customFormat="false" ht="12.8" hidden="true" customHeight="false" outlineLevel="0" collapsed="false">
      <c r="A975" s="0" t="n">
        <v>467111</v>
      </c>
      <c r="B975" s="0" t="n">
        <v>467111</v>
      </c>
      <c r="C975" s="0" t="n">
        <v>1</v>
      </c>
      <c r="D975" s="0" t="n">
        <v>6</v>
      </c>
      <c r="E975" s="0" t="n">
        <v>2404</v>
      </c>
      <c r="F975" s="0" t="n">
        <v>85</v>
      </c>
      <c r="G975" s="0" t="n">
        <v>67</v>
      </c>
      <c r="H975" s="0" t="s">
        <v>1945</v>
      </c>
      <c r="I975" s="0" t="s">
        <v>1947</v>
      </c>
      <c r="J975" s="9" t="n">
        <v>45903</v>
      </c>
      <c r="K975" s="0" t="s">
        <v>1948</v>
      </c>
      <c r="L975" s="0" t="n">
        <v>5</v>
      </c>
      <c r="M975" s="10" t="n">
        <f aca="false">_xlfn.NUMBERVALUE("" &amp; K975 &amp; "",".",",")</f>
        <v>1.51742386472222</v>
      </c>
      <c r="N975" s="10"/>
      <c r="O975" s="0" t="str">
        <f aca="false">VLOOKUP(C975,statusdetails!$A:$D,4,0)</f>
        <v>READY</v>
      </c>
    </row>
    <row r="976" customFormat="false" ht="12.8" hidden="true" customHeight="false" outlineLevel="0" collapsed="false">
      <c r="A976" s="0" t="n">
        <v>467112</v>
      </c>
      <c r="B976" s="0" t="n">
        <v>467112</v>
      </c>
      <c r="C976" s="0" t="n">
        <v>4</v>
      </c>
      <c r="D976" s="0" t="n">
        <v>16</v>
      </c>
      <c r="E976" s="0" t="n">
        <v>239</v>
      </c>
      <c r="F976" s="0" t="n">
        <v>45</v>
      </c>
      <c r="G976" s="0" t="n">
        <v>133</v>
      </c>
      <c r="H976" s="0" t="s">
        <v>1921</v>
      </c>
      <c r="I976" s="0" t="s">
        <v>1949</v>
      </c>
      <c r="J976" s="9" t="n">
        <v>45903</v>
      </c>
      <c r="K976" s="0" t="s">
        <v>1950</v>
      </c>
      <c r="L976" s="0" t="n">
        <v>6</v>
      </c>
      <c r="M976" s="10" t="n">
        <f aca="false">_xlfn.NUMBERVALUE("" &amp; K976 &amp; "",".",",")</f>
        <v>3.77901662305556</v>
      </c>
      <c r="N976" s="10"/>
      <c r="O976" s="0" t="str">
        <f aca="false">VLOOKUP(C976,statusdetails!$A:$D,4,0)</f>
        <v>MAINT</v>
      </c>
    </row>
    <row r="977" customFormat="false" ht="12.8" hidden="true" customHeight="false" outlineLevel="0" collapsed="false">
      <c r="A977" s="0" t="n">
        <v>467113</v>
      </c>
      <c r="B977" s="0" t="n">
        <v>467113</v>
      </c>
      <c r="C977" s="0" t="n">
        <v>3</v>
      </c>
      <c r="D977" s="0" t="n">
        <v>12</v>
      </c>
      <c r="E977" s="0" t="n">
        <v>2422</v>
      </c>
      <c r="F977" s="0" t="n">
        <v>87</v>
      </c>
      <c r="G977" s="0" t="n">
        <v>147</v>
      </c>
      <c r="H977" s="0" t="s">
        <v>1943</v>
      </c>
      <c r="I977" s="0" t="s">
        <v>1951</v>
      </c>
      <c r="J977" s="9" t="n">
        <v>45903</v>
      </c>
      <c r="K977" s="0" t="s">
        <v>1952</v>
      </c>
      <c r="L977" s="0" t="n">
        <v>6</v>
      </c>
      <c r="M977" s="10" t="n">
        <f aca="false">_xlfn.NUMBERVALUE("" &amp; K977 &amp; "",".",",")</f>
        <v>0.212269698888889</v>
      </c>
      <c r="N977" s="10"/>
      <c r="O977" s="0" t="str">
        <f aca="false">VLOOKUP(C977,statusdetails!$A:$D,4,0)</f>
        <v>STANDBY</v>
      </c>
      <c r="P977" s="0" t="str">
        <f aca="false">VLOOKUP(F977,equipment!$A:$E,4,0)</f>
        <v>CM04</v>
      </c>
      <c r="Q977" s="0" t="str">
        <f aca="false">VLOOKUP(F977,equipment!$A:$E,5,0)</f>
        <v>CM04 - 87</v>
      </c>
    </row>
    <row r="978" customFormat="false" ht="12.8" hidden="true" customHeight="false" outlineLevel="0" collapsed="false">
      <c r="A978" s="0" t="n">
        <v>467116</v>
      </c>
      <c r="B978" s="0" t="n">
        <v>467116</v>
      </c>
      <c r="C978" s="0" t="n">
        <v>3</v>
      </c>
      <c r="D978" s="0" t="n">
        <v>14</v>
      </c>
      <c r="E978" s="0" t="n">
        <v>2406</v>
      </c>
      <c r="F978" s="0" t="n">
        <v>84</v>
      </c>
      <c r="G978" s="0" t="n">
        <v>82</v>
      </c>
      <c r="H978" s="0" t="s">
        <v>1935</v>
      </c>
      <c r="I978" s="0" t="s">
        <v>1953</v>
      </c>
      <c r="J978" s="9" t="n">
        <v>45903</v>
      </c>
      <c r="K978" s="0" t="s">
        <v>1954</v>
      </c>
      <c r="L978" s="0" t="n">
        <v>6</v>
      </c>
      <c r="M978" s="10" t="n">
        <f aca="false">_xlfn.NUMBERVALUE("" &amp; K978 &amp; "",".",",")</f>
        <v>0.168488135</v>
      </c>
      <c r="N978" s="10"/>
      <c r="O978" s="0" t="str">
        <f aca="false">VLOOKUP(C978,statusdetails!$A:$D,4,0)</f>
        <v>STANDBY</v>
      </c>
      <c r="P978" s="0" t="str">
        <f aca="false">VLOOKUP(F978,equipment!$A:$E,4,0)</f>
        <v>CM01</v>
      </c>
      <c r="Q978" s="0" t="str">
        <f aca="false">VLOOKUP(F978,equipment!$A:$E,5,0)</f>
        <v>CM01 - 84</v>
      </c>
    </row>
    <row r="979" customFormat="false" ht="12.8" hidden="true" customHeight="false" outlineLevel="0" collapsed="false">
      <c r="A979" s="0" t="n">
        <v>467117</v>
      </c>
      <c r="B979" s="0" t="n">
        <v>467117</v>
      </c>
      <c r="C979" s="0" t="n">
        <v>3</v>
      </c>
      <c r="D979" s="0" t="n">
        <v>14</v>
      </c>
      <c r="E979" s="0" t="n">
        <v>2406</v>
      </c>
      <c r="F979" s="0" t="n">
        <v>89</v>
      </c>
      <c r="G979" s="0" t="n">
        <v>150</v>
      </c>
      <c r="H979" s="0" t="s">
        <v>1927</v>
      </c>
      <c r="I979" s="0" t="s">
        <v>1955</v>
      </c>
      <c r="J979" s="9" t="n">
        <v>45903</v>
      </c>
      <c r="K979" s="0" t="s">
        <v>1956</v>
      </c>
      <c r="L979" s="0" t="n">
        <v>6</v>
      </c>
      <c r="M979" s="10" t="n">
        <f aca="false">_xlfn.NUMBERVALUE("" &amp; K979 &amp; "",".",",")</f>
        <v>0.121543274166667</v>
      </c>
      <c r="N979" s="10"/>
      <c r="O979" s="0" t="str">
        <f aca="false">VLOOKUP(C979,statusdetails!$A:$D,4,0)</f>
        <v>STANDBY</v>
      </c>
      <c r="P979" s="0" t="str">
        <f aca="false">VLOOKUP(F979,equipment!$A:$E,4,0)</f>
        <v>CM06</v>
      </c>
      <c r="Q979" s="0" t="str">
        <f aca="false">VLOOKUP(F979,equipment!$A:$E,5,0)</f>
        <v>CM06 - 89</v>
      </c>
    </row>
    <row r="980" customFormat="false" ht="12.8" hidden="true" customHeight="false" outlineLevel="0" collapsed="false">
      <c r="A980" s="0" t="n">
        <v>467118</v>
      </c>
      <c r="B980" s="0" t="n">
        <v>467118</v>
      </c>
      <c r="C980" s="0" t="n">
        <v>3</v>
      </c>
      <c r="D980" s="0" t="n">
        <v>14</v>
      </c>
      <c r="E980" s="0" t="n">
        <v>2406</v>
      </c>
      <c r="F980" s="0" t="n">
        <v>85</v>
      </c>
      <c r="G980" s="0" t="n">
        <v>67</v>
      </c>
      <c r="H980" s="0" t="s">
        <v>1947</v>
      </c>
      <c r="I980" s="0" t="s">
        <v>1957</v>
      </c>
      <c r="J980" s="9" t="n">
        <v>45903</v>
      </c>
      <c r="K980" s="0" t="s">
        <v>1958</v>
      </c>
      <c r="L980" s="0" t="n">
        <v>6</v>
      </c>
      <c r="M980" s="10" t="n">
        <f aca="false">_xlfn.NUMBERVALUE("" &amp; K980 &amp; "",".",",")</f>
        <v>0.1007725</v>
      </c>
      <c r="N980" s="10"/>
      <c r="O980" s="0" t="str">
        <f aca="false">VLOOKUP(C980,statusdetails!$A:$D,4,0)</f>
        <v>STANDBY</v>
      </c>
      <c r="P980" s="0" t="str">
        <f aca="false">VLOOKUP(F980,equipment!$A:$E,4,0)</f>
        <v>CM02</v>
      </c>
      <c r="Q980" s="0" t="str">
        <f aca="false">VLOOKUP(F980,equipment!$A:$E,5,0)</f>
        <v>CM02 - 85</v>
      </c>
    </row>
    <row r="981" customFormat="false" ht="12.8" hidden="true" customHeight="false" outlineLevel="0" collapsed="false">
      <c r="A981" s="0" t="n">
        <v>467119</v>
      </c>
      <c r="B981" s="0" t="n">
        <v>467119</v>
      </c>
      <c r="C981" s="0" t="n">
        <v>3</v>
      </c>
      <c r="D981" s="0" t="n">
        <v>12</v>
      </c>
      <c r="E981" s="0" t="n">
        <v>1011</v>
      </c>
      <c r="F981" s="0" t="n">
        <v>66</v>
      </c>
      <c r="G981" s="0" t="n">
        <v>66</v>
      </c>
      <c r="H981" s="0" t="s">
        <v>1913</v>
      </c>
      <c r="I981" s="0" t="s">
        <v>1959</v>
      </c>
      <c r="J981" s="9" t="n">
        <v>45903</v>
      </c>
      <c r="K981" s="0" t="s">
        <v>1960</v>
      </c>
      <c r="L981" s="0" t="n">
        <v>6</v>
      </c>
      <c r="M981" s="10" t="n">
        <f aca="false">_xlfn.NUMBERVALUE("" &amp; K981 &amp; "",".",",")</f>
        <v>0.211541594166667</v>
      </c>
      <c r="N981" s="10"/>
      <c r="O981" s="0" t="str">
        <f aca="false">VLOOKUP(C981,statusdetails!$A:$D,4,0)</f>
        <v>STANDBY</v>
      </c>
      <c r="P981" s="0" t="str">
        <f aca="false">VLOOKUP(F981,equipment!$A:$E,4,0)</f>
        <v>CM407</v>
      </c>
      <c r="Q981" s="0" t="str">
        <f aca="false">VLOOKUP(F981,equipment!$A:$E,5,0)</f>
        <v>CM407 - 66</v>
      </c>
    </row>
    <row r="982" customFormat="false" ht="12.8" hidden="true" customHeight="false" outlineLevel="0" collapsed="false">
      <c r="A982" s="0" t="n">
        <v>467120</v>
      </c>
      <c r="B982" s="0" t="n">
        <v>467120</v>
      </c>
      <c r="C982" s="0" t="n">
        <v>3</v>
      </c>
      <c r="D982" s="0" t="n">
        <v>14</v>
      </c>
      <c r="E982" s="0" t="n">
        <v>2392</v>
      </c>
      <c r="F982" s="0" t="n">
        <v>96</v>
      </c>
      <c r="G982" s="0" t="n">
        <v>89</v>
      </c>
      <c r="H982" s="0" t="s">
        <v>1871</v>
      </c>
      <c r="I982" s="11" t="n">
        <v>45904.2904861111</v>
      </c>
      <c r="J982" s="9" t="n">
        <v>45903</v>
      </c>
      <c r="K982" s="0" t="s">
        <v>1961</v>
      </c>
      <c r="L982" s="0" t="n">
        <v>6</v>
      </c>
      <c r="M982" s="10" t="n">
        <f aca="false">_xlfn.NUMBERVALUE("" &amp; K982 &amp; "",".",",")</f>
        <v>0.115463379722222</v>
      </c>
      <c r="N982" s="10"/>
      <c r="O982" s="0" t="str">
        <f aca="false">VLOOKUP(C982,statusdetails!$A:$D,4,0)</f>
        <v>STANDBY</v>
      </c>
      <c r="P982" s="0" t="str">
        <f aca="false">VLOOKUP(F982,equipment!$A:$E,4,0)</f>
        <v>EX503</v>
      </c>
      <c r="Q982" s="0" t="str">
        <f aca="false">VLOOKUP(F982,equipment!$A:$E,5,0)</f>
        <v>EX503 - 96</v>
      </c>
    </row>
    <row r="983" customFormat="false" ht="12.8" hidden="true" customHeight="false" outlineLevel="0" collapsed="false">
      <c r="A983" s="0" t="n">
        <v>467121</v>
      </c>
      <c r="B983" s="0" t="n">
        <v>467121</v>
      </c>
      <c r="C983" s="0" t="n">
        <v>3</v>
      </c>
      <c r="D983" s="0" t="n">
        <v>14</v>
      </c>
      <c r="E983" s="0" t="n">
        <v>2406</v>
      </c>
      <c r="F983" s="0" t="n">
        <v>86</v>
      </c>
      <c r="G983" s="0" t="n">
        <v>149</v>
      </c>
      <c r="H983" s="0" t="s">
        <v>1939</v>
      </c>
      <c r="I983" s="0" t="s">
        <v>1962</v>
      </c>
      <c r="J983" s="9" t="n">
        <v>45903</v>
      </c>
      <c r="K983" s="0" t="s">
        <v>1963</v>
      </c>
      <c r="L983" s="0" t="n">
        <v>6</v>
      </c>
      <c r="M983" s="10" t="n">
        <f aca="false">_xlfn.NUMBERVALUE("" &amp; K983 &amp; "",".",",")</f>
        <v>0.125135433611111</v>
      </c>
      <c r="N983" s="10"/>
      <c r="O983" s="0" t="str">
        <f aca="false">VLOOKUP(C983,statusdetails!$A:$D,4,0)</f>
        <v>STANDBY</v>
      </c>
      <c r="P983" s="0" t="str">
        <f aca="false">VLOOKUP(F983,equipment!$A:$E,4,0)</f>
        <v>CM03</v>
      </c>
      <c r="Q983" s="0" t="str">
        <f aca="false">VLOOKUP(F983,equipment!$A:$E,5,0)</f>
        <v>CM03 - 86</v>
      </c>
    </row>
    <row r="984" customFormat="false" ht="12.8" hidden="true" customHeight="false" outlineLevel="0" collapsed="false">
      <c r="A984" s="0" t="n">
        <v>467122</v>
      </c>
      <c r="B984" s="0" t="n">
        <v>467122</v>
      </c>
      <c r="C984" s="0" t="n">
        <v>3</v>
      </c>
      <c r="D984" s="0" t="n">
        <v>14</v>
      </c>
      <c r="E984" s="0" t="n">
        <v>2406</v>
      </c>
      <c r="F984" s="0" t="n">
        <v>88</v>
      </c>
      <c r="G984" s="0" t="n">
        <v>148</v>
      </c>
      <c r="H984" s="0" t="s">
        <v>1931</v>
      </c>
      <c r="I984" s="0" t="s">
        <v>1964</v>
      </c>
      <c r="J984" s="9" t="n">
        <v>45903</v>
      </c>
      <c r="K984" s="0" t="s">
        <v>1965</v>
      </c>
      <c r="L984" s="0" t="n">
        <v>6</v>
      </c>
      <c r="M984" s="10" t="n">
        <f aca="false">_xlfn.NUMBERVALUE("" &amp; K984 &amp; "",".",",")</f>
        <v>0.12197853</v>
      </c>
      <c r="N984" s="10"/>
      <c r="O984" s="0" t="str">
        <f aca="false">VLOOKUP(C984,statusdetails!$A:$D,4,0)</f>
        <v>STANDBY</v>
      </c>
      <c r="P984" s="0" t="str">
        <f aca="false">VLOOKUP(F984,equipment!$A:$E,4,0)</f>
        <v>CM05</v>
      </c>
      <c r="Q984" s="0" t="str">
        <f aca="false">VLOOKUP(F984,equipment!$A:$E,5,0)</f>
        <v>CM05 - 88</v>
      </c>
    </row>
    <row r="985" customFormat="false" ht="12.8" hidden="true" customHeight="false" outlineLevel="0" collapsed="false">
      <c r="A985" s="0" t="n">
        <v>467123</v>
      </c>
      <c r="B985" s="0" t="n">
        <v>467123</v>
      </c>
      <c r="C985" s="0" t="n">
        <v>3</v>
      </c>
      <c r="D985" s="0" t="n">
        <v>14</v>
      </c>
      <c r="E985" s="0" t="n">
        <v>1785</v>
      </c>
      <c r="F985" s="0" t="n">
        <v>37</v>
      </c>
      <c r="G985" s="0" t="n">
        <v>54</v>
      </c>
      <c r="H985" s="0" t="s">
        <v>1891</v>
      </c>
      <c r="I985" s="0" t="s">
        <v>1966</v>
      </c>
      <c r="J985" s="9" t="n">
        <v>45903</v>
      </c>
      <c r="K985" s="0" t="s">
        <v>1967</v>
      </c>
      <c r="L985" s="0" t="n">
        <v>6</v>
      </c>
      <c r="M985" s="10" t="n">
        <f aca="false">_xlfn.NUMBERVALUE("" &amp; K985 &amp; "",".",",")</f>
        <v>0.361911315</v>
      </c>
      <c r="N985" s="10"/>
      <c r="O985" s="0" t="str">
        <f aca="false">VLOOKUP(C985,statusdetails!$A:$D,4,0)</f>
        <v>STANDBY</v>
      </c>
      <c r="P985" s="0" t="str">
        <f aca="false">VLOOKUP(F985,equipment!$A:$E,4,0)</f>
        <v>DZ201</v>
      </c>
      <c r="Q985" s="0" t="str">
        <f aca="false">VLOOKUP(F985,equipment!$A:$E,5,0)</f>
        <v>DZ201 - 37</v>
      </c>
    </row>
    <row r="986" customFormat="false" ht="12.8" hidden="true" customHeight="false" outlineLevel="0" collapsed="false">
      <c r="A986" s="0" t="n">
        <v>467124</v>
      </c>
      <c r="B986" s="0" t="n">
        <v>467124</v>
      </c>
      <c r="C986" s="0" t="n">
        <v>3</v>
      </c>
      <c r="D986" s="0" t="n">
        <v>12</v>
      </c>
      <c r="E986" s="0" t="n">
        <v>1175</v>
      </c>
      <c r="F986" s="0" t="n">
        <v>74</v>
      </c>
      <c r="G986" s="0" t="n">
        <v>0</v>
      </c>
      <c r="H986" s="0" t="s">
        <v>1915</v>
      </c>
      <c r="I986" s="0" t="s">
        <v>1968</v>
      </c>
      <c r="J986" s="9" t="n">
        <v>45903</v>
      </c>
      <c r="K986" s="0" t="s">
        <v>1969</v>
      </c>
      <c r="L986" s="0" t="n">
        <v>6</v>
      </c>
      <c r="M986" s="10" t="n">
        <f aca="false">_xlfn.NUMBERVALUE("" &amp; K986 &amp; "",".",",")</f>
        <v>0.472066644722222</v>
      </c>
      <c r="N986" s="10"/>
      <c r="O986" s="0" t="str">
        <f aca="false">VLOOKUP(C986,statusdetails!$A:$D,4,0)</f>
        <v>STANDBY</v>
      </c>
      <c r="P986" s="0" t="str">
        <f aca="false">VLOOKUP(F986,equipment!$A:$E,4,0)</f>
        <v>CR701</v>
      </c>
      <c r="Q986" s="0" t="str">
        <f aca="false">VLOOKUP(F986,equipment!$A:$E,5,0)</f>
        <v>CR701 - 74</v>
      </c>
    </row>
    <row r="987" customFormat="false" ht="12.8" hidden="true" customHeight="false" outlineLevel="0" collapsed="false">
      <c r="A987" s="0" t="n">
        <v>467125</v>
      </c>
      <c r="B987" s="0" t="n">
        <v>467125</v>
      </c>
      <c r="C987" s="0" t="n">
        <v>3</v>
      </c>
      <c r="D987" s="0" t="n">
        <v>12</v>
      </c>
      <c r="E987" s="0" t="n">
        <v>608</v>
      </c>
      <c r="F987" s="0" t="n">
        <v>41</v>
      </c>
      <c r="G987" s="0" t="n">
        <v>118</v>
      </c>
      <c r="H987" s="0" t="s">
        <v>1923</v>
      </c>
      <c r="I987" s="11" t="n">
        <v>45904.2940277778</v>
      </c>
      <c r="J987" s="9" t="n">
        <v>45903</v>
      </c>
      <c r="K987" s="0" t="s">
        <v>1970</v>
      </c>
      <c r="L987" s="0" t="n">
        <v>6</v>
      </c>
      <c r="M987" s="10" t="n">
        <f aca="false">_xlfn.NUMBERVALUE("" &amp; K987 &amp; "",".",",")</f>
        <v>0.185975185277778</v>
      </c>
      <c r="N987" s="10"/>
      <c r="O987" s="0" t="str">
        <f aca="false">VLOOKUP(C987,statusdetails!$A:$D,4,0)</f>
        <v>STANDBY</v>
      </c>
      <c r="P987" s="0" t="str">
        <f aca="false">VLOOKUP(F987,equipment!$A:$E,4,0)</f>
        <v>MO102</v>
      </c>
      <c r="Q987" s="0" t="str">
        <f aca="false">VLOOKUP(F987,equipment!$A:$E,5,0)</f>
        <v>MO102 - 41</v>
      </c>
    </row>
    <row r="988" customFormat="false" ht="12.8" hidden="true" customHeight="false" outlineLevel="0" collapsed="false">
      <c r="A988" s="0" t="n">
        <v>467126</v>
      </c>
      <c r="B988" s="0" t="n">
        <v>467126</v>
      </c>
      <c r="C988" s="0" t="n">
        <v>4</v>
      </c>
      <c r="D988" s="0" t="n">
        <v>16</v>
      </c>
      <c r="E988" s="0" t="n">
        <v>2461</v>
      </c>
      <c r="F988" s="0" t="n">
        <v>85</v>
      </c>
      <c r="G988" s="0" t="n">
        <v>47</v>
      </c>
      <c r="H988" s="0" t="s">
        <v>1957</v>
      </c>
      <c r="I988" s="0" t="s">
        <v>1971</v>
      </c>
      <c r="J988" s="9" t="n">
        <v>45903</v>
      </c>
      <c r="K988" s="0" t="s">
        <v>1972</v>
      </c>
      <c r="L988" s="0" t="n">
        <v>6</v>
      </c>
      <c r="M988" s="10" t="n">
        <f aca="false">_xlfn.NUMBERVALUE("" &amp; K988 &amp; "",".",",")</f>
        <v>0.728339444444444</v>
      </c>
      <c r="N988" s="10"/>
      <c r="O988" s="0" t="str">
        <f aca="false">VLOOKUP(C988,statusdetails!$A:$D,4,0)</f>
        <v>MAINT</v>
      </c>
    </row>
    <row r="989" customFormat="false" ht="12.8" hidden="true" customHeight="false" outlineLevel="0" collapsed="false">
      <c r="A989" s="0" t="n">
        <v>467127</v>
      </c>
      <c r="B989" s="0" t="n">
        <v>467127</v>
      </c>
      <c r="C989" s="0" t="n">
        <v>1</v>
      </c>
      <c r="D989" s="0" t="n">
        <v>6</v>
      </c>
      <c r="E989" s="0" t="n">
        <v>2404</v>
      </c>
      <c r="F989" s="0" t="n">
        <v>89</v>
      </c>
      <c r="G989" s="0" t="n">
        <v>153</v>
      </c>
      <c r="H989" s="0" t="s">
        <v>1955</v>
      </c>
      <c r="I989" s="0" t="s">
        <v>1973</v>
      </c>
      <c r="J989" s="9" t="n">
        <v>45903</v>
      </c>
      <c r="K989" s="0" t="s">
        <v>1974</v>
      </c>
      <c r="L989" s="0" t="n">
        <v>6</v>
      </c>
      <c r="M989" s="10" t="n">
        <f aca="false">_xlfn.NUMBERVALUE("" &amp; K989 &amp; "",".",",")</f>
        <v>2.14357577805556</v>
      </c>
      <c r="N989" s="10"/>
      <c r="O989" s="0" t="str">
        <f aca="false">VLOOKUP(C989,statusdetails!$A:$D,4,0)</f>
        <v>READY</v>
      </c>
    </row>
    <row r="990" customFormat="false" ht="12.8" hidden="true" customHeight="false" outlineLevel="0" collapsed="false">
      <c r="A990" s="0" t="n">
        <v>467129</v>
      </c>
      <c r="B990" s="0" t="n">
        <v>467129</v>
      </c>
      <c r="C990" s="0" t="n">
        <v>4</v>
      </c>
      <c r="D990" s="0" t="n">
        <v>16</v>
      </c>
      <c r="E990" s="0" t="n">
        <v>2505</v>
      </c>
      <c r="F990" s="0" t="n">
        <v>84</v>
      </c>
      <c r="G990" s="0" t="n">
        <v>82</v>
      </c>
      <c r="H990" s="0" t="s">
        <v>1953</v>
      </c>
      <c r="I990" s="0" t="s">
        <v>1975</v>
      </c>
      <c r="J990" s="9" t="n">
        <v>45903</v>
      </c>
      <c r="K990" s="0" t="s">
        <v>1976</v>
      </c>
      <c r="L990" s="0" t="n">
        <v>6</v>
      </c>
      <c r="M990" s="10" t="n">
        <f aca="false">_xlfn.NUMBERVALUE("" &amp; K990 &amp; "",".",",")</f>
        <v>2.99726380944444</v>
      </c>
      <c r="N990" s="10"/>
      <c r="O990" s="0" t="str">
        <f aca="false">VLOOKUP(C990,statusdetails!$A:$D,4,0)</f>
        <v>MAINT</v>
      </c>
    </row>
    <row r="991" customFormat="false" ht="12.8" hidden="true" customHeight="false" outlineLevel="0" collapsed="false">
      <c r="A991" s="0" t="n">
        <v>467130</v>
      </c>
      <c r="B991" s="0" t="n">
        <v>467130</v>
      </c>
      <c r="C991" s="0" t="n">
        <v>1</v>
      </c>
      <c r="D991" s="0" t="n">
        <v>6</v>
      </c>
      <c r="E991" s="0" t="n">
        <v>2404</v>
      </c>
      <c r="F991" s="0" t="n">
        <v>86</v>
      </c>
      <c r="G991" s="0" t="n">
        <v>155</v>
      </c>
      <c r="H991" s="0" t="s">
        <v>1962</v>
      </c>
      <c r="I991" s="0" t="s">
        <v>1977</v>
      </c>
      <c r="J991" s="9" t="n">
        <v>45903</v>
      </c>
      <c r="K991" s="0" t="s">
        <v>1978</v>
      </c>
      <c r="L991" s="0" t="n">
        <v>6</v>
      </c>
      <c r="M991" s="10" t="n">
        <f aca="false">_xlfn.NUMBERVALUE("" &amp; K991 &amp; "",".",",")</f>
        <v>2.10243649444444</v>
      </c>
      <c r="N991" s="10"/>
      <c r="O991" s="0" t="str">
        <f aca="false">VLOOKUP(C991,statusdetails!$A:$D,4,0)</f>
        <v>READY</v>
      </c>
    </row>
    <row r="992" customFormat="false" ht="12.8" hidden="true" customHeight="false" outlineLevel="0" collapsed="false">
      <c r="A992" s="0" t="n">
        <v>467131</v>
      </c>
      <c r="B992" s="0" t="n">
        <v>467131</v>
      </c>
      <c r="C992" s="0" t="n">
        <v>1</v>
      </c>
      <c r="D992" s="0" t="n">
        <v>6</v>
      </c>
      <c r="E992" s="0" t="n">
        <v>2404</v>
      </c>
      <c r="F992" s="0" t="n">
        <v>88</v>
      </c>
      <c r="G992" s="0" t="n">
        <v>151</v>
      </c>
      <c r="H992" s="0" t="s">
        <v>1964</v>
      </c>
      <c r="I992" s="0" t="s">
        <v>1979</v>
      </c>
      <c r="J992" s="9" t="n">
        <v>45903</v>
      </c>
      <c r="K992" s="0" t="s">
        <v>1980</v>
      </c>
      <c r="L992" s="0" t="n">
        <v>6</v>
      </c>
      <c r="M992" s="10" t="n">
        <f aca="false">_xlfn.NUMBERVALUE("" &amp; K992 &amp; "",".",",")</f>
        <v>2.53911277777778</v>
      </c>
      <c r="N992" s="10"/>
      <c r="O992" s="0" t="str">
        <f aca="false">VLOOKUP(C992,statusdetails!$A:$D,4,0)</f>
        <v>READY</v>
      </c>
    </row>
    <row r="993" customFormat="false" ht="12.8" hidden="true" customHeight="false" outlineLevel="0" collapsed="false">
      <c r="A993" s="0" t="n">
        <v>467132</v>
      </c>
      <c r="B993" s="0" t="n">
        <v>467132</v>
      </c>
      <c r="C993" s="0" t="n">
        <v>1</v>
      </c>
      <c r="D993" s="0" t="n">
        <v>6</v>
      </c>
      <c r="E993" s="0" t="n">
        <v>2404</v>
      </c>
      <c r="F993" s="0" t="n">
        <v>87</v>
      </c>
      <c r="G993" s="0" t="n">
        <v>147</v>
      </c>
      <c r="H993" s="0" t="s">
        <v>1951</v>
      </c>
      <c r="I993" s="0" t="s">
        <v>1981</v>
      </c>
      <c r="J993" s="9" t="n">
        <v>45903</v>
      </c>
      <c r="K993" s="0" t="s">
        <v>1982</v>
      </c>
      <c r="L993" s="0" t="n">
        <v>6</v>
      </c>
      <c r="M993" s="10" t="n">
        <f aca="false">_xlfn.NUMBERVALUE("" &amp; K993 &amp; "",".",",")</f>
        <v>5.97964412444444</v>
      </c>
      <c r="N993" s="10"/>
      <c r="O993" s="0" t="str">
        <f aca="false">VLOOKUP(C993,statusdetails!$A:$D,4,0)</f>
        <v>READY</v>
      </c>
    </row>
    <row r="994" customFormat="false" ht="12.8" hidden="true" customHeight="false" outlineLevel="0" collapsed="false">
      <c r="A994" s="0" t="n">
        <v>467133</v>
      </c>
      <c r="B994" s="0" t="n">
        <v>467133</v>
      </c>
      <c r="C994" s="0" t="n">
        <v>2</v>
      </c>
      <c r="D994" s="0" t="n">
        <v>7</v>
      </c>
      <c r="E994" s="0" t="n">
        <v>2385</v>
      </c>
      <c r="F994" s="0" t="n">
        <v>82</v>
      </c>
      <c r="G994" s="0" t="n">
        <v>88</v>
      </c>
      <c r="H994" s="0" t="s">
        <v>1853</v>
      </c>
      <c r="I994" s="0" t="s">
        <v>1983</v>
      </c>
      <c r="J994" s="9" t="n">
        <v>45904</v>
      </c>
      <c r="K994" s="0" t="s">
        <v>1984</v>
      </c>
      <c r="L994" s="0" t="n">
        <v>7</v>
      </c>
      <c r="M994" s="3" t="n">
        <f aca="false">_xlfn.NUMBERVALUE("" &amp; K994 &amp; "",".",",")</f>
        <v>0.114392992777778</v>
      </c>
      <c r="O994" s="0" t="str">
        <f aca="false">VLOOKUP(C994,statusdetails!$A:$D,4,0)</f>
        <v>DELAY</v>
      </c>
    </row>
    <row r="995" customFormat="false" ht="12.8" hidden="true" customHeight="false" outlineLevel="0" collapsed="false">
      <c r="A995" s="0" t="n">
        <v>467134</v>
      </c>
      <c r="B995" s="0" t="n">
        <v>467134</v>
      </c>
      <c r="C995" s="0" t="n">
        <v>2</v>
      </c>
      <c r="D995" s="0" t="n">
        <v>7</v>
      </c>
      <c r="E995" s="0" t="n">
        <v>1026</v>
      </c>
      <c r="F995" s="0" t="n">
        <v>33</v>
      </c>
      <c r="G995" s="0" t="n">
        <v>23</v>
      </c>
      <c r="H995" s="0" t="s">
        <v>1917</v>
      </c>
      <c r="I995" s="0" t="s">
        <v>1985</v>
      </c>
      <c r="J995" s="9" t="n">
        <v>45904</v>
      </c>
      <c r="K995" s="0" t="s">
        <v>1986</v>
      </c>
      <c r="L995" s="0" t="n">
        <v>7</v>
      </c>
      <c r="M995" s="3" t="n">
        <f aca="false">_xlfn.NUMBERVALUE("" &amp; K995 &amp; "",".",",")</f>
        <v>0.0907097744444444</v>
      </c>
      <c r="O995" s="0" t="str">
        <f aca="false">VLOOKUP(C995,statusdetails!$A:$D,4,0)</f>
        <v>DELAY</v>
      </c>
    </row>
    <row r="996" customFormat="false" ht="12.8" hidden="true" customHeight="false" outlineLevel="0" collapsed="false">
      <c r="A996" s="0" t="n">
        <v>467135</v>
      </c>
      <c r="B996" s="0" t="n">
        <v>467135</v>
      </c>
      <c r="C996" s="0" t="n">
        <v>1</v>
      </c>
      <c r="D996" s="0" t="n">
        <v>6</v>
      </c>
      <c r="E996" s="0" t="n">
        <v>260</v>
      </c>
      <c r="F996" s="0" t="n">
        <v>66</v>
      </c>
      <c r="G996" s="0" t="n">
        <v>45</v>
      </c>
      <c r="H996" s="0" t="s">
        <v>1959</v>
      </c>
      <c r="I996" s="0" t="s">
        <v>1987</v>
      </c>
      <c r="J996" s="9" t="n">
        <v>45904</v>
      </c>
      <c r="K996" s="0" t="s">
        <v>1988</v>
      </c>
      <c r="L996" s="0" t="n">
        <v>7</v>
      </c>
      <c r="M996" s="10" t="n">
        <f aca="false">_xlfn.NUMBERVALUE("" &amp; K996 &amp; "",".",",")</f>
        <v>1.75825372555556</v>
      </c>
      <c r="N996" s="10"/>
      <c r="O996" s="0" t="str">
        <f aca="false">VLOOKUP(C996,statusdetails!$A:$D,4,0)</f>
        <v>READY</v>
      </c>
    </row>
    <row r="997" customFormat="false" ht="12.8" hidden="true" customHeight="false" outlineLevel="0" collapsed="false">
      <c r="A997" s="0" t="n">
        <v>467136</v>
      </c>
      <c r="B997" s="0" t="n">
        <v>467136</v>
      </c>
      <c r="C997" s="0" t="n">
        <v>1</v>
      </c>
      <c r="D997" s="0" t="n">
        <v>6</v>
      </c>
      <c r="E997" s="0" t="n">
        <v>2518</v>
      </c>
      <c r="F997" s="0" t="n">
        <v>82</v>
      </c>
      <c r="G997" s="0" t="n">
        <v>88</v>
      </c>
      <c r="H997" s="0" t="s">
        <v>1983</v>
      </c>
      <c r="I997" s="0" t="s">
        <v>1989</v>
      </c>
      <c r="J997" s="9" t="n">
        <v>45904</v>
      </c>
      <c r="K997" s="0" t="s">
        <v>1990</v>
      </c>
      <c r="L997" s="0" t="n">
        <v>7</v>
      </c>
      <c r="M997" s="10" t="n">
        <f aca="false">_xlfn.NUMBERVALUE("" &amp; K997 &amp; "",".",",")</f>
        <v>0.08816911</v>
      </c>
      <c r="N997" s="10"/>
      <c r="O997" s="0" t="str">
        <f aca="false">VLOOKUP(C997,statusdetails!$A:$D,4,0)</f>
        <v>READY</v>
      </c>
    </row>
    <row r="998" customFormat="false" ht="12.8" hidden="true" customHeight="false" outlineLevel="0" collapsed="false">
      <c r="A998" s="0" t="n">
        <v>467137</v>
      </c>
      <c r="B998" s="0" t="n">
        <v>467137</v>
      </c>
      <c r="C998" s="0" t="n">
        <v>1</v>
      </c>
      <c r="D998" s="0" t="n">
        <v>6</v>
      </c>
      <c r="E998" s="0" t="n">
        <v>260</v>
      </c>
      <c r="F998" s="0" t="n">
        <v>33</v>
      </c>
      <c r="G998" s="0" t="n">
        <v>23</v>
      </c>
      <c r="H998" s="0" t="s">
        <v>1985</v>
      </c>
      <c r="I998" s="0" t="s">
        <v>1991</v>
      </c>
      <c r="J998" s="9" t="n">
        <v>45904</v>
      </c>
      <c r="K998" s="0" t="s">
        <v>1992</v>
      </c>
      <c r="L998" s="0" t="n">
        <v>7</v>
      </c>
      <c r="M998" s="10" t="n">
        <f aca="false">_xlfn.NUMBERVALUE("" &amp; K998 &amp; "",".",",")</f>
        <v>0.230101341111111</v>
      </c>
      <c r="N998" s="10"/>
      <c r="O998" s="0" t="str">
        <f aca="false">VLOOKUP(C998,statusdetails!$A:$D,4,0)</f>
        <v>READY</v>
      </c>
    </row>
    <row r="999" customFormat="false" ht="12.8" hidden="true" customHeight="false" outlineLevel="0" collapsed="false">
      <c r="A999" s="0" t="n">
        <v>467138</v>
      </c>
      <c r="B999" s="0" t="n">
        <v>467138</v>
      </c>
      <c r="C999" s="0" t="n">
        <v>1</v>
      </c>
      <c r="D999" s="0" t="n">
        <v>6</v>
      </c>
      <c r="E999" s="0" t="n">
        <v>2518</v>
      </c>
      <c r="F999" s="0" t="n">
        <v>82</v>
      </c>
      <c r="G999" s="0" t="n">
        <v>88</v>
      </c>
      <c r="H999" s="0" t="s">
        <v>1989</v>
      </c>
      <c r="I999" s="0" t="s">
        <v>1993</v>
      </c>
      <c r="J999" s="9" t="n">
        <v>45904</v>
      </c>
      <c r="K999" s="0" t="s">
        <v>1994</v>
      </c>
      <c r="L999" s="0" t="n">
        <v>7</v>
      </c>
      <c r="M999" s="10" t="n">
        <f aca="false">_xlfn.NUMBERVALUE("" &amp; K999 &amp; "",".",",")</f>
        <v>0.0100330555555556</v>
      </c>
      <c r="N999" s="10"/>
      <c r="O999" s="0" t="str">
        <f aca="false">VLOOKUP(C999,statusdetails!$A:$D,4,0)</f>
        <v>READY</v>
      </c>
    </row>
    <row r="1000" customFormat="false" ht="12.8" hidden="true" customHeight="false" outlineLevel="0" collapsed="false">
      <c r="A1000" s="0" t="n">
        <v>467139</v>
      </c>
      <c r="B1000" s="0" t="n">
        <v>467139</v>
      </c>
      <c r="C1000" s="0" t="n">
        <v>1</v>
      </c>
      <c r="D1000" s="0" t="n">
        <v>6</v>
      </c>
      <c r="E1000" s="0" t="n">
        <v>372</v>
      </c>
      <c r="F1000" s="0" t="n">
        <v>37</v>
      </c>
      <c r="G1000" s="0" t="n">
        <v>44</v>
      </c>
      <c r="H1000" s="0" t="s">
        <v>1966</v>
      </c>
      <c r="I1000" s="0" t="s">
        <v>1995</v>
      </c>
      <c r="J1000" s="9" t="n">
        <v>45904</v>
      </c>
      <c r="K1000" s="0" t="s">
        <v>1996</v>
      </c>
      <c r="L1000" s="0" t="n">
        <v>7</v>
      </c>
      <c r="M1000" s="10" t="n">
        <f aca="false">_xlfn.NUMBERVALUE("" &amp; K1000 &amp; "",".",",")</f>
        <v>4.53075222222222</v>
      </c>
      <c r="N1000" s="10"/>
      <c r="O1000" s="0" t="str">
        <f aca="false">VLOOKUP(C1000,statusdetails!$A:$D,4,0)</f>
        <v>READY</v>
      </c>
    </row>
    <row r="1001" customFormat="false" ht="12.8" hidden="true" customHeight="false" outlineLevel="0" collapsed="false">
      <c r="A1001" s="0" t="n">
        <v>467140</v>
      </c>
      <c r="B1001" s="0" t="n">
        <v>467140</v>
      </c>
      <c r="C1001" s="0" t="n">
        <v>2</v>
      </c>
      <c r="D1001" s="0" t="n">
        <v>7</v>
      </c>
      <c r="E1001" s="0" t="n">
        <v>2385</v>
      </c>
      <c r="F1001" s="0" t="n">
        <v>82</v>
      </c>
      <c r="G1001" s="0" t="n">
        <v>88</v>
      </c>
      <c r="H1001" s="0" t="s">
        <v>1993</v>
      </c>
      <c r="I1001" s="0" t="s">
        <v>1997</v>
      </c>
      <c r="J1001" s="9" t="n">
        <v>45904</v>
      </c>
      <c r="K1001" s="0" t="s">
        <v>1998</v>
      </c>
      <c r="L1001" s="0" t="n">
        <v>7</v>
      </c>
      <c r="M1001" s="3" t="n">
        <f aca="false">_xlfn.NUMBERVALUE("" &amp; K1001 &amp; "",".",",")</f>
        <v>0.182453683055556</v>
      </c>
      <c r="O1001" s="0" t="str">
        <f aca="false">VLOOKUP(C1001,statusdetails!$A:$D,4,0)</f>
        <v>DELAY</v>
      </c>
    </row>
    <row r="1002" customFormat="false" ht="12.8" hidden="true" customHeight="false" outlineLevel="0" collapsed="false">
      <c r="A1002" s="0" t="n">
        <v>467141</v>
      </c>
      <c r="B1002" s="0" t="n">
        <v>467141</v>
      </c>
      <c r="C1002" s="0" t="n">
        <v>2</v>
      </c>
      <c r="D1002" s="0" t="n">
        <v>7</v>
      </c>
      <c r="E1002" s="0" t="n">
        <v>1026</v>
      </c>
      <c r="F1002" s="0" t="n">
        <v>35</v>
      </c>
      <c r="G1002" s="0" t="n">
        <v>15</v>
      </c>
      <c r="H1002" s="0" t="s">
        <v>1907</v>
      </c>
      <c r="I1002" s="0" t="s">
        <v>1999</v>
      </c>
      <c r="J1002" s="9" t="n">
        <v>45904</v>
      </c>
      <c r="K1002" s="0" t="s">
        <v>2000</v>
      </c>
      <c r="L1002" s="0" t="n">
        <v>7</v>
      </c>
      <c r="M1002" s="3" t="n">
        <f aca="false">_xlfn.NUMBERVALUE("" &amp; K1002 &amp; "",".",",")</f>
        <v>0.187305348611111</v>
      </c>
      <c r="O1002" s="0" t="str">
        <f aca="false">VLOOKUP(C1002,statusdetails!$A:$D,4,0)</f>
        <v>DELAY</v>
      </c>
    </row>
    <row r="1003" customFormat="false" ht="12.8" hidden="true" customHeight="false" outlineLevel="0" collapsed="false">
      <c r="A1003" s="0" t="n">
        <v>467143</v>
      </c>
      <c r="B1003" s="0" t="n">
        <v>467143</v>
      </c>
      <c r="C1003" s="0" t="n">
        <v>1</v>
      </c>
      <c r="D1003" s="0" t="n">
        <v>6</v>
      </c>
      <c r="E1003" s="0" t="n">
        <v>2524</v>
      </c>
      <c r="F1003" s="0" t="n">
        <v>74</v>
      </c>
      <c r="G1003" s="0" t="n">
        <v>0</v>
      </c>
      <c r="H1003" s="0" t="s">
        <v>1968</v>
      </c>
      <c r="I1003" s="0" t="s">
        <v>2001</v>
      </c>
      <c r="J1003" s="9" t="n">
        <v>45904</v>
      </c>
      <c r="K1003" s="0" t="s">
        <v>2002</v>
      </c>
      <c r="L1003" s="0" t="n">
        <v>7</v>
      </c>
      <c r="M1003" s="10" t="n">
        <f aca="false">_xlfn.NUMBERVALUE("" &amp; K1003 &amp; "",".",",")</f>
        <v>2.21153035138889</v>
      </c>
      <c r="N1003" s="10"/>
      <c r="O1003" s="0" t="str">
        <f aca="false">VLOOKUP(C1003,statusdetails!$A:$D,4,0)</f>
        <v>READY</v>
      </c>
    </row>
    <row r="1004" customFormat="false" ht="12.8" hidden="true" customHeight="false" outlineLevel="0" collapsed="false">
      <c r="A1004" s="0" t="n">
        <v>467144</v>
      </c>
      <c r="B1004" s="0" t="n">
        <v>467144</v>
      </c>
      <c r="C1004" s="0" t="n">
        <v>2</v>
      </c>
      <c r="D1004" s="0" t="n">
        <v>7</v>
      </c>
      <c r="E1004" s="0" t="n">
        <v>1026</v>
      </c>
      <c r="F1004" s="0" t="n">
        <v>33</v>
      </c>
      <c r="G1004" s="0" t="n">
        <v>23</v>
      </c>
      <c r="H1004" s="0" t="s">
        <v>1991</v>
      </c>
      <c r="I1004" s="0" t="s">
        <v>2003</v>
      </c>
      <c r="J1004" s="9" t="n">
        <v>45904</v>
      </c>
      <c r="K1004" s="0" t="s">
        <v>2004</v>
      </c>
      <c r="L1004" s="0" t="n">
        <v>7</v>
      </c>
      <c r="M1004" s="3" t="n">
        <f aca="false">_xlfn.NUMBERVALUE("" &amp; K1004 &amp; "",".",",")</f>
        <v>0.0945435666666667</v>
      </c>
      <c r="O1004" s="0" t="str">
        <f aca="false">VLOOKUP(C1004,statusdetails!$A:$D,4,0)</f>
        <v>DELAY</v>
      </c>
    </row>
    <row r="1005" customFormat="false" ht="12.8" hidden="true" customHeight="false" outlineLevel="0" collapsed="false">
      <c r="A1005" s="0" t="n">
        <v>467145</v>
      </c>
      <c r="B1005" s="0" t="n">
        <v>467145</v>
      </c>
      <c r="C1005" s="0" t="n">
        <v>1</v>
      </c>
      <c r="D1005" s="0" t="n">
        <v>6</v>
      </c>
      <c r="E1005" s="0" t="n">
        <v>2518</v>
      </c>
      <c r="F1005" s="0" t="n">
        <v>82</v>
      </c>
      <c r="G1005" s="0" t="n">
        <v>88</v>
      </c>
      <c r="H1005" s="0" t="s">
        <v>1997</v>
      </c>
      <c r="I1005" s="0" t="s">
        <v>2005</v>
      </c>
      <c r="J1005" s="9" t="n">
        <v>45904</v>
      </c>
      <c r="K1005" s="0" t="s">
        <v>2006</v>
      </c>
      <c r="L1005" s="0" t="n">
        <v>7</v>
      </c>
      <c r="M1005" s="10" t="n">
        <f aca="false">_xlfn.NUMBERVALUE("" &amp; K1005 &amp; "",".",",")</f>
        <v>1.39328520583333</v>
      </c>
      <c r="N1005" s="10"/>
      <c r="O1005" s="0" t="str">
        <f aca="false">VLOOKUP(C1005,statusdetails!$A:$D,4,0)</f>
        <v>READY</v>
      </c>
    </row>
    <row r="1006" customFormat="false" ht="12.8" hidden="true" customHeight="false" outlineLevel="0" collapsed="false">
      <c r="A1006" s="0" t="n">
        <v>467146</v>
      </c>
      <c r="B1006" s="0" t="n">
        <v>467146</v>
      </c>
      <c r="C1006" s="0" t="n">
        <v>1</v>
      </c>
      <c r="D1006" s="0" t="n">
        <v>6</v>
      </c>
      <c r="E1006" s="0" t="n">
        <v>260</v>
      </c>
      <c r="F1006" s="0" t="n">
        <v>35</v>
      </c>
      <c r="G1006" s="0" t="n">
        <v>15</v>
      </c>
      <c r="H1006" s="0" t="s">
        <v>1999</v>
      </c>
      <c r="I1006" s="0" t="s">
        <v>2007</v>
      </c>
      <c r="J1006" s="9" t="n">
        <v>45904</v>
      </c>
      <c r="K1006" s="0" t="s">
        <v>2008</v>
      </c>
      <c r="L1006" s="0" t="n">
        <v>7</v>
      </c>
      <c r="M1006" s="10" t="n">
        <f aca="false">_xlfn.NUMBERVALUE("" &amp; K1006 &amp; "",".",",")</f>
        <v>1.44760623194444</v>
      </c>
      <c r="N1006" s="10"/>
      <c r="O1006" s="0" t="str">
        <f aca="false">VLOOKUP(C1006,statusdetails!$A:$D,4,0)</f>
        <v>READY</v>
      </c>
    </row>
    <row r="1007" customFormat="false" ht="12.8" hidden="true" customHeight="false" outlineLevel="0" collapsed="false">
      <c r="A1007" s="0" t="n">
        <v>467147</v>
      </c>
      <c r="B1007" s="0" t="n">
        <v>467147</v>
      </c>
      <c r="C1007" s="0" t="n">
        <v>1</v>
      </c>
      <c r="D1007" s="0" t="n">
        <v>6</v>
      </c>
      <c r="E1007" s="0" t="n">
        <v>260</v>
      </c>
      <c r="F1007" s="0" t="n">
        <v>33</v>
      </c>
      <c r="G1007" s="0" t="n">
        <v>23</v>
      </c>
      <c r="H1007" s="0" t="s">
        <v>2003</v>
      </c>
      <c r="I1007" s="0" t="s">
        <v>2009</v>
      </c>
      <c r="J1007" s="9" t="n">
        <v>45904</v>
      </c>
      <c r="K1007" s="0" t="s">
        <v>2010</v>
      </c>
      <c r="L1007" s="0" t="n">
        <v>7</v>
      </c>
      <c r="M1007" s="10" t="n">
        <f aca="false">_xlfn.NUMBERVALUE("" &amp; K1007 &amp; "",".",",")</f>
        <v>1.49566970138889</v>
      </c>
      <c r="N1007" s="10"/>
      <c r="O1007" s="0" t="str">
        <f aca="false">VLOOKUP(C1007,statusdetails!$A:$D,4,0)</f>
        <v>READY</v>
      </c>
    </row>
    <row r="1008" customFormat="false" ht="12.8" hidden="true" customHeight="false" outlineLevel="0" collapsed="false">
      <c r="A1008" s="0" t="n">
        <v>467148</v>
      </c>
      <c r="B1008" s="0" t="n">
        <v>467148</v>
      </c>
      <c r="C1008" s="0" t="n">
        <v>3</v>
      </c>
      <c r="D1008" s="0" t="n">
        <v>12</v>
      </c>
      <c r="E1008" s="0" t="n">
        <v>2076</v>
      </c>
      <c r="F1008" s="0" t="n">
        <v>47</v>
      </c>
      <c r="G1008" s="0" t="n">
        <v>103</v>
      </c>
      <c r="H1008" s="0" t="s">
        <v>1861</v>
      </c>
      <c r="I1008" s="0" t="s">
        <v>2011</v>
      </c>
      <c r="J1008" s="9" t="n">
        <v>45904</v>
      </c>
      <c r="K1008" s="0" t="s">
        <v>2012</v>
      </c>
      <c r="L1008" s="0" t="n">
        <v>7</v>
      </c>
      <c r="M1008" s="10" t="n">
        <f aca="false">_xlfn.NUMBERVALUE("" &amp; K1008 &amp; "",".",",")</f>
        <v>2.93349180916667</v>
      </c>
      <c r="N1008" s="10"/>
      <c r="O1008" s="0" t="str">
        <f aca="false">VLOOKUP(C1008,statusdetails!$A:$D,4,0)</f>
        <v>STANDBY</v>
      </c>
      <c r="P1008" s="0" t="str">
        <f aca="false">VLOOKUP(F1008,equipment!$A:$E,4,0)</f>
        <v>Ch1</v>
      </c>
      <c r="Q1008" s="0" t="str">
        <f aca="false">VLOOKUP(F1008,equipment!$A:$E,5,0)</f>
        <v>Ch1 - 47</v>
      </c>
    </row>
    <row r="1009" customFormat="false" ht="12.8" hidden="true" customHeight="false" outlineLevel="0" collapsed="false">
      <c r="A1009" s="0" t="n">
        <v>467149</v>
      </c>
      <c r="B1009" s="0" t="n">
        <v>467149</v>
      </c>
      <c r="C1009" s="0" t="n">
        <v>1</v>
      </c>
      <c r="D1009" s="0" t="n">
        <v>6</v>
      </c>
      <c r="E1009" s="0" t="n">
        <v>2404</v>
      </c>
      <c r="F1009" s="0" t="n">
        <v>85</v>
      </c>
      <c r="G1009" s="0" t="n">
        <v>47</v>
      </c>
      <c r="H1009" s="0" t="s">
        <v>1971</v>
      </c>
      <c r="I1009" s="0" t="s">
        <v>2013</v>
      </c>
      <c r="J1009" s="9" t="n">
        <v>45904</v>
      </c>
      <c r="K1009" s="0" t="s">
        <v>2014</v>
      </c>
      <c r="L1009" s="0" t="n">
        <v>7</v>
      </c>
      <c r="M1009" s="10" t="n">
        <f aca="false">_xlfn.NUMBERVALUE("" &amp; K1009 &amp; "",".",",")</f>
        <v>3.50864241333333</v>
      </c>
      <c r="N1009" s="10"/>
      <c r="O1009" s="0" t="str">
        <f aca="false">VLOOKUP(C1009,statusdetails!$A:$D,4,0)</f>
        <v>READY</v>
      </c>
    </row>
    <row r="1010" customFormat="false" ht="12.8" hidden="true" customHeight="false" outlineLevel="0" collapsed="false">
      <c r="A1010" s="0" t="n">
        <v>467150</v>
      </c>
      <c r="B1010" s="0" t="n">
        <v>467128</v>
      </c>
      <c r="C1010" s="0" t="n">
        <v>1</v>
      </c>
      <c r="D1010" s="0" t="n">
        <v>6</v>
      </c>
      <c r="E1010" s="0" t="n">
        <v>2518</v>
      </c>
      <c r="F1010" s="0" t="n">
        <v>96</v>
      </c>
      <c r="G1010" s="0" t="n">
        <v>89</v>
      </c>
      <c r="H1010" s="11" t="n">
        <v>45904.2904861111</v>
      </c>
      <c r="I1010" s="0" t="s">
        <v>2015</v>
      </c>
      <c r="J1010" s="9" t="n">
        <v>45903</v>
      </c>
      <c r="K1010" s="0" t="s">
        <v>2016</v>
      </c>
      <c r="L1010" s="0" t="n">
        <v>6</v>
      </c>
      <c r="M1010" s="10" t="n">
        <f aca="false">_xlfn.NUMBERVALUE("" &amp; K1010 &amp; "",".",",")</f>
        <v>2.12604799638889</v>
      </c>
      <c r="N1010" s="10"/>
      <c r="O1010" s="0" t="str">
        <f aca="false">VLOOKUP(C1010,statusdetails!$A:$D,4,0)</f>
        <v>READY</v>
      </c>
    </row>
    <row r="1011" customFormat="false" ht="12.8" hidden="true" customHeight="false" outlineLevel="0" collapsed="false">
      <c r="A1011" s="0" t="n">
        <v>467151</v>
      </c>
      <c r="B1011" s="0" t="n">
        <v>467151</v>
      </c>
      <c r="C1011" s="0" t="n">
        <v>3</v>
      </c>
      <c r="D1011" s="0" t="n">
        <v>14</v>
      </c>
      <c r="E1011" s="0" t="n">
        <v>1159</v>
      </c>
      <c r="F1011" s="0" t="n">
        <v>42</v>
      </c>
      <c r="G1011" s="0" t="n">
        <v>83</v>
      </c>
      <c r="H1011" s="0" t="s">
        <v>1889</v>
      </c>
      <c r="I1011" s="0" t="s">
        <v>2017</v>
      </c>
      <c r="J1011" s="9" t="n">
        <v>45904</v>
      </c>
      <c r="K1011" s="0" t="s">
        <v>2018</v>
      </c>
      <c r="L1011" s="0" t="n">
        <v>8</v>
      </c>
      <c r="M1011" s="10" t="n">
        <f aca="false">_xlfn.NUMBERVALUE("" &amp; K1011 &amp; "",".",",")</f>
        <v>0.184557222222222</v>
      </c>
      <c r="N1011" s="10"/>
      <c r="O1011" s="0" t="str">
        <f aca="false">VLOOKUP(C1011,statusdetails!$A:$D,4,0)</f>
        <v>STANDBY</v>
      </c>
      <c r="P1011" s="0" t="str">
        <f aca="false">VLOOKUP(F1011,equipment!$A:$E,4,0)</f>
        <v>PE301</v>
      </c>
      <c r="Q1011" s="0" t="str">
        <f aca="false">VLOOKUP(F1011,equipment!$A:$E,5,0)</f>
        <v>PE301 - 42</v>
      </c>
    </row>
    <row r="1012" customFormat="false" ht="12.8" hidden="true" customHeight="false" outlineLevel="0" collapsed="false">
      <c r="A1012" s="0" t="n">
        <v>467152</v>
      </c>
      <c r="B1012" s="0" t="n">
        <v>467152</v>
      </c>
      <c r="C1012" s="0" t="n">
        <v>1</v>
      </c>
      <c r="D1012" s="0" t="n">
        <v>6</v>
      </c>
      <c r="E1012" s="0" t="n">
        <v>811</v>
      </c>
      <c r="F1012" s="0" t="n">
        <v>42</v>
      </c>
      <c r="G1012" s="0" t="n">
        <v>83</v>
      </c>
      <c r="H1012" s="0" t="s">
        <v>2017</v>
      </c>
      <c r="I1012" s="0" t="s">
        <v>2019</v>
      </c>
      <c r="J1012" s="9" t="n">
        <v>45904</v>
      </c>
      <c r="K1012" s="0" t="s">
        <v>2020</v>
      </c>
      <c r="L1012" s="0" t="n">
        <v>8</v>
      </c>
      <c r="M1012" s="10" t="n">
        <f aca="false">_xlfn.NUMBERVALUE("" &amp; K1012 &amp; "",".",",")</f>
        <v>2.72721111111111</v>
      </c>
      <c r="N1012" s="10"/>
      <c r="O1012" s="0" t="str">
        <f aca="false">VLOOKUP(C1012,statusdetails!$A:$D,4,0)</f>
        <v>READY</v>
      </c>
    </row>
    <row r="1013" customFormat="false" ht="12.8" hidden="true" customHeight="false" outlineLevel="0" collapsed="false">
      <c r="A1013" s="0" t="n">
        <v>467155</v>
      </c>
      <c r="B1013" s="0" t="n">
        <v>467155</v>
      </c>
      <c r="C1013" s="0" t="n">
        <v>3</v>
      </c>
      <c r="D1013" s="0" t="n">
        <v>14</v>
      </c>
      <c r="E1013" s="0" t="n">
        <v>2387</v>
      </c>
      <c r="F1013" s="0" t="n">
        <v>82</v>
      </c>
      <c r="G1013" s="0" t="n">
        <v>88</v>
      </c>
      <c r="H1013" s="0" t="s">
        <v>2005</v>
      </c>
      <c r="I1013" s="0" t="s">
        <v>2021</v>
      </c>
      <c r="J1013" s="9" t="n">
        <v>45904</v>
      </c>
      <c r="K1013" s="0" t="s">
        <v>2022</v>
      </c>
      <c r="L1013" s="0" t="n">
        <v>8</v>
      </c>
      <c r="M1013" s="10" t="n">
        <f aca="false">_xlfn.NUMBERVALUE("" &amp; K1013 &amp; "",".",",")</f>
        <v>0.196579885277778</v>
      </c>
      <c r="N1013" s="10"/>
      <c r="O1013" s="0" t="str">
        <f aca="false">VLOOKUP(C1013,statusdetails!$A:$D,4,0)</f>
        <v>STANDBY</v>
      </c>
      <c r="P1013" s="0" t="str">
        <f aca="false">VLOOKUP(F1013,equipment!$A:$E,4,0)</f>
        <v>EX502</v>
      </c>
      <c r="Q1013" s="0" t="str">
        <f aca="false">VLOOKUP(F1013,equipment!$A:$E,5,0)</f>
        <v>EX502 - 82</v>
      </c>
    </row>
    <row r="1014" customFormat="false" ht="12.8" hidden="true" customHeight="false" outlineLevel="0" collapsed="false">
      <c r="A1014" s="0" t="n">
        <v>467156</v>
      </c>
      <c r="B1014" s="0" t="n">
        <v>467156</v>
      </c>
      <c r="C1014" s="0" t="n">
        <v>2</v>
      </c>
      <c r="D1014" s="0" t="n">
        <v>9</v>
      </c>
      <c r="E1014" s="0" t="n">
        <v>1004</v>
      </c>
      <c r="F1014" s="0" t="n">
        <v>66</v>
      </c>
      <c r="G1014" s="0" t="n">
        <v>45</v>
      </c>
      <c r="H1014" s="0" t="s">
        <v>1987</v>
      </c>
      <c r="I1014" s="0" t="s">
        <v>2023</v>
      </c>
      <c r="J1014" s="9" t="n">
        <v>45904</v>
      </c>
      <c r="K1014" s="0" t="s">
        <v>2024</v>
      </c>
      <c r="L1014" s="0" t="n">
        <v>8</v>
      </c>
      <c r="M1014" s="3" t="n">
        <f aca="false">_xlfn.NUMBERVALUE("" &amp; K1014 &amp; "",".",",")</f>
        <v>0.238304434722222</v>
      </c>
      <c r="O1014" s="0" t="str">
        <f aca="false">VLOOKUP(C1014,statusdetails!$A:$D,4,0)</f>
        <v>DELAY</v>
      </c>
    </row>
    <row r="1015" customFormat="false" ht="12.8" hidden="true" customHeight="false" outlineLevel="0" collapsed="false">
      <c r="A1015" s="0" t="n">
        <v>467157</v>
      </c>
      <c r="B1015" s="0" t="n">
        <v>467157</v>
      </c>
      <c r="C1015" s="0" t="n">
        <v>2</v>
      </c>
      <c r="D1015" s="0" t="n">
        <v>9</v>
      </c>
      <c r="E1015" s="0" t="n">
        <v>271</v>
      </c>
      <c r="F1015" s="0" t="n">
        <v>35</v>
      </c>
      <c r="G1015" s="0" t="n">
        <v>15</v>
      </c>
      <c r="H1015" s="0" t="s">
        <v>2007</v>
      </c>
      <c r="I1015" s="0" t="s">
        <v>2025</v>
      </c>
      <c r="J1015" s="9" t="n">
        <v>45904</v>
      </c>
      <c r="K1015" s="0" t="s">
        <v>2026</v>
      </c>
      <c r="L1015" s="0" t="n">
        <v>8</v>
      </c>
      <c r="M1015" s="3" t="n">
        <f aca="false">_xlfn.NUMBERVALUE("" &amp; K1015 &amp; "",".",",")</f>
        <v>0.0856532730555556</v>
      </c>
      <c r="O1015" s="0" t="str">
        <f aca="false">VLOOKUP(C1015,statusdetails!$A:$D,4,0)</f>
        <v>DELAY</v>
      </c>
    </row>
    <row r="1016" customFormat="false" ht="12.8" hidden="true" customHeight="false" outlineLevel="0" collapsed="false">
      <c r="A1016" s="0" t="n">
        <v>467158</v>
      </c>
      <c r="B1016" s="0" t="n">
        <v>467158</v>
      </c>
      <c r="C1016" s="0" t="n">
        <v>2</v>
      </c>
      <c r="D1016" s="0" t="n">
        <v>9</v>
      </c>
      <c r="E1016" s="0" t="n">
        <v>271</v>
      </c>
      <c r="F1016" s="0" t="n">
        <v>35</v>
      </c>
      <c r="G1016" s="0" t="n">
        <v>15</v>
      </c>
      <c r="H1016" s="0" t="s">
        <v>2025</v>
      </c>
      <c r="I1016" s="0" t="s">
        <v>2027</v>
      </c>
      <c r="J1016" s="9" t="n">
        <v>45904</v>
      </c>
      <c r="K1016" s="0" t="s">
        <v>2028</v>
      </c>
      <c r="L1016" s="0" t="n">
        <v>8</v>
      </c>
      <c r="M1016" s="3" t="n">
        <f aca="false">_xlfn.NUMBERVALUE("" &amp; K1016 &amp; "",".",",")</f>
        <v>0.0281540138888889</v>
      </c>
      <c r="O1016" s="0" t="str">
        <f aca="false">VLOOKUP(C1016,statusdetails!$A:$D,4,0)</f>
        <v>DELAY</v>
      </c>
    </row>
    <row r="1017" customFormat="false" ht="12.8" hidden="true" customHeight="false" outlineLevel="0" collapsed="false">
      <c r="A1017" s="0" t="n">
        <v>467159</v>
      </c>
      <c r="B1017" s="0" t="n">
        <v>467159</v>
      </c>
      <c r="C1017" s="0" t="n">
        <v>2</v>
      </c>
      <c r="D1017" s="0" t="n">
        <v>9</v>
      </c>
      <c r="E1017" s="0" t="n">
        <v>1004</v>
      </c>
      <c r="F1017" s="0" t="n">
        <v>33</v>
      </c>
      <c r="G1017" s="0" t="n">
        <v>23</v>
      </c>
      <c r="H1017" s="0" t="s">
        <v>2009</v>
      </c>
      <c r="I1017" s="0" t="s">
        <v>2029</v>
      </c>
      <c r="J1017" s="9" t="n">
        <v>45904</v>
      </c>
      <c r="K1017" s="0" t="s">
        <v>2030</v>
      </c>
      <c r="L1017" s="0" t="n">
        <v>8</v>
      </c>
      <c r="M1017" s="3" t="n">
        <f aca="false">_xlfn.NUMBERVALUE("" &amp; K1017 &amp; "",".",",")</f>
        <v>0.0816508986111111</v>
      </c>
      <c r="O1017" s="0" t="str">
        <f aca="false">VLOOKUP(C1017,statusdetails!$A:$D,4,0)</f>
        <v>DELAY</v>
      </c>
    </row>
    <row r="1018" customFormat="false" ht="12.8" hidden="true" customHeight="false" outlineLevel="0" collapsed="false">
      <c r="A1018" s="0" t="n">
        <v>467160</v>
      </c>
      <c r="B1018" s="0" t="n">
        <v>467160</v>
      </c>
      <c r="C1018" s="0" t="n">
        <v>1</v>
      </c>
      <c r="D1018" s="0" t="n">
        <v>6</v>
      </c>
      <c r="E1018" s="0" t="n">
        <v>260</v>
      </c>
      <c r="F1018" s="0" t="n">
        <v>35</v>
      </c>
      <c r="G1018" s="0" t="n">
        <v>15</v>
      </c>
      <c r="H1018" s="0" t="s">
        <v>2027</v>
      </c>
      <c r="I1018" s="0" t="s">
        <v>2031</v>
      </c>
      <c r="J1018" s="9" t="n">
        <v>45904</v>
      </c>
      <c r="K1018" s="0" t="s">
        <v>2032</v>
      </c>
      <c r="L1018" s="0" t="n">
        <v>8</v>
      </c>
      <c r="M1018" s="10" t="n">
        <f aca="false">_xlfn.NUMBERVALUE("" &amp; K1018 &amp; "",".",",")</f>
        <v>4.11419537</v>
      </c>
      <c r="N1018" s="10"/>
      <c r="O1018" s="0" t="str">
        <f aca="false">VLOOKUP(C1018,statusdetails!$A:$D,4,0)</f>
        <v>READY</v>
      </c>
    </row>
    <row r="1019" customFormat="false" ht="12.8" hidden="true" customHeight="false" outlineLevel="0" collapsed="false">
      <c r="A1019" s="0" t="n">
        <v>467161</v>
      </c>
      <c r="B1019" s="0" t="n">
        <v>467161</v>
      </c>
      <c r="C1019" s="0" t="n">
        <v>2</v>
      </c>
      <c r="D1019" s="0" t="n">
        <v>7</v>
      </c>
      <c r="E1019" s="0" t="n">
        <v>2385</v>
      </c>
      <c r="F1019" s="0" t="n">
        <v>82</v>
      </c>
      <c r="G1019" s="0" t="n">
        <v>88</v>
      </c>
      <c r="H1019" s="0" t="s">
        <v>2021</v>
      </c>
      <c r="I1019" s="0" t="s">
        <v>2033</v>
      </c>
      <c r="J1019" s="9" t="n">
        <v>45904</v>
      </c>
      <c r="K1019" s="0" t="s">
        <v>2034</v>
      </c>
      <c r="L1019" s="0" t="n">
        <v>9</v>
      </c>
      <c r="M1019" s="3" t="n">
        <f aca="false">_xlfn.NUMBERVALUE("" &amp; K1019 &amp; "",".",",")</f>
        <v>0.0373209172222222</v>
      </c>
      <c r="O1019" s="0" t="str">
        <f aca="false">VLOOKUP(C1019,statusdetails!$A:$D,4,0)</f>
        <v>DELAY</v>
      </c>
    </row>
    <row r="1020" customFormat="false" ht="12.8" hidden="true" customHeight="false" outlineLevel="0" collapsed="false">
      <c r="A1020" s="0" t="n">
        <v>467162</v>
      </c>
      <c r="B1020" s="0" t="n">
        <v>467162</v>
      </c>
      <c r="C1020" s="0" t="n">
        <v>1</v>
      </c>
      <c r="D1020" s="0" t="n">
        <v>6</v>
      </c>
      <c r="E1020" s="0" t="n">
        <v>2518</v>
      </c>
      <c r="F1020" s="0" t="n">
        <v>82</v>
      </c>
      <c r="G1020" s="0" t="n">
        <v>88</v>
      </c>
      <c r="H1020" s="0" t="s">
        <v>2033</v>
      </c>
      <c r="I1020" s="0" t="s">
        <v>2035</v>
      </c>
      <c r="J1020" s="9" t="n">
        <v>45904</v>
      </c>
      <c r="K1020" s="0" t="s">
        <v>2036</v>
      </c>
      <c r="L1020" s="0" t="n">
        <v>9</v>
      </c>
      <c r="M1020" s="10" t="n">
        <f aca="false">_xlfn.NUMBERVALUE("" &amp; K1020 &amp; "",".",",")</f>
        <v>1.29283496055556</v>
      </c>
      <c r="N1020" s="10"/>
      <c r="O1020" s="0" t="str">
        <f aca="false">VLOOKUP(C1020,statusdetails!$A:$D,4,0)</f>
        <v>READY</v>
      </c>
    </row>
    <row r="1021" customFormat="false" ht="12.8" hidden="true" customHeight="false" outlineLevel="0" collapsed="false">
      <c r="A1021" s="0" t="n">
        <v>467163</v>
      </c>
      <c r="B1021" s="0" t="n">
        <v>467163</v>
      </c>
      <c r="C1021" s="0" t="n">
        <v>1</v>
      </c>
      <c r="D1021" s="0" t="n">
        <v>6</v>
      </c>
      <c r="E1021" s="0" t="n">
        <v>260</v>
      </c>
      <c r="F1021" s="0" t="n">
        <v>33</v>
      </c>
      <c r="G1021" s="0" t="n">
        <v>23</v>
      </c>
      <c r="H1021" s="0" t="s">
        <v>2029</v>
      </c>
      <c r="I1021" s="0" t="s">
        <v>2037</v>
      </c>
      <c r="J1021" s="9" t="n">
        <v>45904</v>
      </c>
      <c r="K1021" s="0" t="s">
        <v>2038</v>
      </c>
      <c r="L1021" s="0" t="n">
        <v>9</v>
      </c>
      <c r="M1021" s="10" t="n">
        <f aca="false">_xlfn.NUMBERVALUE("" &amp; K1021 &amp; "",".",",")</f>
        <v>1.29740179916667</v>
      </c>
      <c r="N1021" s="10"/>
      <c r="O1021" s="0" t="str">
        <f aca="false">VLOOKUP(C1021,statusdetails!$A:$D,4,0)</f>
        <v>READY</v>
      </c>
    </row>
    <row r="1022" customFormat="false" ht="12.8" hidden="true" customHeight="false" outlineLevel="0" collapsed="false">
      <c r="A1022" s="0" t="n">
        <v>467164</v>
      </c>
      <c r="B1022" s="0" t="n">
        <v>467164</v>
      </c>
      <c r="C1022" s="0" t="n">
        <v>1</v>
      </c>
      <c r="D1022" s="0" t="n">
        <v>6</v>
      </c>
      <c r="E1022" s="0" t="n">
        <v>260</v>
      </c>
      <c r="F1022" s="0" t="n">
        <v>66</v>
      </c>
      <c r="G1022" s="0" t="n">
        <v>45</v>
      </c>
      <c r="H1022" s="0" t="s">
        <v>2023</v>
      </c>
      <c r="I1022" s="0" t="s">
        <v>2039</v>
      </c>
      <c r="J1022" s="9" t="n">
        <v>45904</v>
      </c>
      <c r="K1022" s="0" t="s">
        <v>2040</v>
      </c>
      <c r="L1022" s="0" t="n">
        <v>9</v>
      </c>
      <c r="M1022" s="10" t="n">
        <f aca="false">_xlfn.NUMBERVALUE("" &amp; K1022 &amp; "",".",",")</f>
        <v>3.99974320027778</v>
      </c>
      <c r="N1022" s="10"/>
      <c r="O1022" s="0" t="str">
        <f aca="false">VLOOKUP(C1022,statusdetails!$A:$D,4,0)</f>
        <v>READY</v>
      </c>
    </row>
    <row r="1023" customFormat="false" ht="12.8" hidden="true" customHeight="false" outlineLevel="0" collapsed="false">
      <c r="A1023" s="0" t="n">
        <v>467165</v>
      </c>
      <c r="B1023" s="0" t="n">
        <v>467165</v>
      </c>
      <c r="C1023" s="0" t="n">
        <v>2</v>
      </c>
      <c r="D1023" s="0" t="n">
        <v>9</v>
      </c>
      <c r="E1023" s="0" t="n">
        <v>2512</v>
      </c>
      <c r="F1023" s="0" t="n">
        <v>86</v>
      </c>
      <c r="G1023" s="0" t="n">
        <v>155</v>
      </c>
      <c r="H1023" s="0" t="s">
        <v>1977</v>
      </c>
      <c r="I1023" s="0" t="s">
        <v>2041</v>
      </c>
      <c r="J1023" s="9" t="n">
        <v>45904</v>
      </c>
      <c r="K1023" s="0" t="s">
        <v>2042</v>
      </c>
      <c r="L1023" s="0" t="n">
        <v>9</v>
      </c>
      <c r="M1023" s="3" t="n">
        <f aca="false">_xlfn.NUMBERVALUE("" &amp; K1023 &amp; "",".",",")</f>
        <v>0.0385288888888889</v>
      </c>
      <c r="O1023" s="0" t="str">
        <f aca="false">VLOOKUP(C1023,statusdetails!$A:$D,4,0)</f>
        <v>DELAY</v>
      </c>
    </row>
    <row r="1024" customFormat="false" ht="12.8" hidden="true" customHeight="false" outlineLevel="0" collapsed="false">
      <c r="A1024" s="0" t="n">
        <v>467166</v>
      </c>
      <c r="B1024" s="0" t="n">
        <v>467166</v>
      </c>
      <c r="C1024" s="0" t="n">
        <v>2</v>
      </c>
      <c r="D1024" s="0" t="n">
        <v>9</v>
      </c>
      <c r="E1024" s="0" t="n">
        <v>2511</v>
      </c>
      <c r="F1024" s="0" t="n">
        <v>96</v>
      </c>
      <c r="G1024" s="0" t="n">
        <v>109</v>
      </c>
      <c r="H1024" s="0" t="s">
        <v>2015</v>
      </c>
      <c r="I1024" s="11" t="n">
        <v>45904.3813310185</v>
      </c>
      <c r="J1024" s="9" t="n">
        <v>45904</v>
      </c>
      <c r="K1024" s="0" t="s">
        <v>2043</v>
      </c>
      <c r="L1024" s="0" t="n">
        <v>9</v>
      </c>
      <c r="M1024" s="3" t="n">
        <f aca="false">_xlfn.NUMBERVALUE("" &amp; K1024 &amp; "",".",",")</f>
        <v>0.0542297813888889</v>
      </c>
      <c r="O1024" s="0" t="str">
        <f aca="false">VLOOKUP(C1024,statusdetails!$A:$D,4,0)</f>
        <v>DELAY</v>
      </c>
    </row>
    <row r="1025" customFormat="false" ht="12.8" hidden="true" customHeight="false" outlineLevel="0" collapsed="false">
      <c r="A1025" s="0" t="n">
        <v>467167</v>
      </c>
      <c r="B1025" s="0" t="n">
        <v>467167</v>
      </c>
      <c r="C1025" s="0" t="n">
        <v>2</v>
      </c>
      <c r="D1025" s="0" t="n">
        <v>9</v>
      </c>
      <c r="E1025" s="0" t="n">
        <v>2512</v>
      </c>
      <c r="F1025" s="0" t="n">
        <v>89</v>
      </c>
      <c r="G1025" s="0" t="n">
        <v>153</v>
      </c>
      <c r="H1025" s="0" t="s">
        <v>1973</v>
      </c>
      <c r="I1025" s="0" t="s">
        <v>2044</v>
      </c>
      <c r="J1025" s="9" t="n">
        <v>45904</v>
      </c>
      <c r="K1025" s="0" t="s">
        <v>2045</v>
      </c>
      <c r="L1025" s="0" t="n">
        <v>9</v>
      </c>
      <c r="M1025" s="3" t="n">
        <f aca="false">_xlfn.NUMBERVALUE("" &amp; K1025 &amp; "",".",",")</f>
        <v>0.0431797775</v>
      </c>
      <c r="O1025" s="0" t="str">
        <f aca="false">VLOOKUP(C1025,statusdetails!$A:$D,4,0)</f>
        <v>DELAY</v>
      </c>
    </row>
    <row r="1026" customFormat="false" ht="12.8" hidden="true" customHeight="false" outlineLevel="0" collapsed="false">
      <c r="A1026" s="0" t="n">
        <v>467168</v>
      </c>
      <c r="B1026" s="0" t="n">
        <v>467168</v>
      </c>
      <c r="C1026" s="0" t="n">
        <v>1</v>
      </c>
      <c r="D1026" s="0" t="n">
        <v>6</v>
      </c>
      <c r="E1026" s="0" t="n">
        <v>2404</v>
      </c>
      <c r="F1026" s="0" t="n">
        <v>86</v>
      </c>
      <c r="G1026" s="0" t="n">
        <v>155</v>
      </c>
      <c r="H1026" s="0" t="s">
        <v>2041</v>
      </c>
      <c r="I1026" s="0" t="s">
        <v>2046</v>
      </c>
      <c r="J1026" s="9" t="n">
        <v>45904</v>
      </c>
      <c r="K1026" s="0" t="s">
        <v>2047</v>
      </c>
      <c r="L1026" s="0" t="n">
        <v>9</v>
      </c>
      <c r="M1026" s="10" t="n">
        <f aca="false">_xlfn.NUMBERVALUE("" &amp; K1026 &amp; "",".",",")</f>
        <v>1.47243138888889</v>
      </c>
      <c r="N1026" s="10"/>
      <c r="O1026" s="0" t="str">
        <f aca="false">VLOOKUP(C1026,statusdetails!$A:$D,4,0)</f>
        <v>READY</v>
      </c>
    </row>
    <row r="1027" customFormat="false" ht="12.8" hidden="true" customHeight="false" outlineLevel="0" collapsed="false">
      <c r="A1027" s="0" t="n">
        <v>467169</v>
      </c>
      <c r="B1027" s="0" t="n">
        <v>467169</v>
      </c>
      <c r="C1027" s="0" t="n">
        <v>1</v>
      </c>
      <c r="D1027" s="0" t="n">
        <v>6</v>
      </c>
      <c r="E1027" s="0" t="n">
        <v>2404</v>
      </c>
      <c r="F1027" s="0" t="n">
        <v>89</v>
      </c>
      <c r="G1027" s="0" t="n">
        <v>153</v>
      </c>
      <c r="H1027" s="0" t="s">
        <v>2044</v>
      </c>
      <c r="I1027" s="0" t="s">
        <v>2048</v>
      </c>
      <c r="J1027" s="9" t="n">
        <v>45904</v>
      </c>
      <c r="K1027" s="0" t="s">
        <v>2049</v>
      </c>
      <c r="L1027" s="0" t="n">
        <v>9</v>
      </c>
      <c r="M1027" s="10" t="n">
        <f aca="false">_xlfn.NUMBERVALUE("" &amp; K1027 &amp; "",".",",")</f>
        <v>3.83109056138889</v>
      </c>
      <c r="N1027" s="10"/>
      <c r="O1027" s="0" t="str">
        <f aca="false">VLOOKUP(C1027,statusdetails!$A:$D,4,0)</f>
        <v>READY</v>
      </c>
    </row>
    <row r="1028" customFormat="false" ht="12.8" hidden="true" customHeight="false" outlineLevel="0" collapsed="false">
      <c r="A1028" s="0" t="n">
        <v>467171</v>
      </c>
      <c r="B1028" s="0" t="n">
        <v>467170</v>
      </c>
      <c r="C1028" s="0" t="n">
        <v>1</v>
      </c>
      <c r="D1028" s="0" t="n">
        <v>6</v>
      </c>
      <c r="E1028" s="0" t="n">
        <v>2518</v>
      </c>
      <c r="F1028" s="0" t="n">
        <v>96</v>
      </c>
      <c r="G1028" s="0" t="n">
        <v>109</v>
      </c>
      <c r="H1028" s="11" t="n">
        <v>45904.3813310185</v>
      </c>
      <c r="I1028" s="0" t="s">
        <v>2050</v>
      </c>
      <c r="J1028" s="9" t="n">
        <v>45904</v>
      </c>
      <c r="K1028" s="0" t="s">
        <v>2051</v>
      </c>
      <c r="L1028" s="0" t="n">
        <v>9</v>
      </c>
      <c r="M1028" s="10" t="n">
        <f aca="false">_xlfn.NUMBERVALUE("" &amp; K1028 &amp; "",".",",")</f>
        <v>3.43363890166667</v>
      </c>
      <c r="N1028" s="10"/>
      <c r="O1028" s="0" t="str">
        <f aca="false">VLOOKUP(C1028,statusdetails!$A:$D,4,0)</f>
        <v>READY</v>
      </c>
    </row>
    <row r="1029" customFormat="false" ht="12.8" hidden="true" customHeight="false" outlineLevel="0" collapsed="false">
      <c r="A1029" s="0" t="n">
        <v>467172</v>
      </c>
      <c r="B1029" s="0" t="n">
        <v>467172</v>
      </c>
      <c r="C1029" s="0" t="n">
        <v>4</v>
      </c>
      <c r="D1029" s="0" t="n">
        <v>15</v>
      </c>
      <c r="E1029" s="0" t="n">
        <v>2533</v>
      </c>
      <c r="F1029" s="0" t="n">
        <v>88</v>
      </c>
      <c r="G1029" s="0" t="n">
        <v>151</v>
      </c>
      <c r="H1029" s="0" t="s">
        <v>1979</v>
      </c>
      <c r="I1029" s="0" t="s">
        <v>2052</v>
      </c>
      <c r="J1029" s="9" t="n">
        <v>45904</v>
      </c>
      <c r="K1029" s="0" t="s">
        <v>2053</v>
      </c>
      <c r="L1029" s="0" t="n">
        <v>9</v>
      </c>
      <c r="M1029" s="10" t="n">
        <f aca="false">_xlfn.NUMBERVALUE("" &amp; K1029 &amp; "",".",",")</f>
        <v>2.30635547</v>
      </c>
      <c r="N1029" s="10"/>
      <c r="O1029" s="0" t="str">
        <f aca="false">VLOOKUP(C1029,statusdetails!$A:$D,4,0)</f>
        <v>MAINT</v>
      </c>
    </row>
    <row r="1030" customFormat="false" ht="12.8" hidden="true" customHeight="false" outlineLevel="0" collapsed="false">
      <c r="A1030" s="0" t="n">
        <v>467173</v>
      </c>
      <c r="B1030" s="0" t="n">
        <v>467173</v>
      </c>
      <c r="C1030" s="0" t="n">
        <v>1</v>
      </c>
      <c r="D1030" s="0" t="n">
        <v>6</v>
      </c>
      <c r="E1030" s="0" t="n">
        <v>2524</v>
      </c>
      <c r="F1030" s="0" t="n">
        <v>49</v>
      </c>
      <c r="G1030" s="0" t="n">
        <v>0</v>
      </c>
      <c r="H1030" s="0" t="s">
        <v>1792</v>
      </c>
      <c r="I1030" s="0" t="s">
        <v>2054</v>
      </c>
      <c r="J1030" s="9" t="n">
        <v>45904</v>
      </c>
      <c r="K1030" s="0" t="s">
        <v>2055</v>
      </c>
      <c r="L1030" s="0" t="n">
        <v>9</v>
      </c>
      <c r="M1030" s="10" t="n">
        <f aca="false">_xlfn.NUMBERVALUE("" &amp; K1030 &amp; "",".",",")</f>
        <v>3.59599031833333</v>
      </c>
      <c r="N1030" s="10"/>
      <c r="O1030" s="0" t="str">
        <f aca="false">VLOOKUP(C1030,statusdetails!$A:$D,4,0)</f>
        <v>READY</v>
      </c>
    </row>
    <row r="1031" customFormat="false" ht="12.8" hidden="true" customHeight="false" outlineLevel="0" collapsed="false">
      <c r="A1031" s="0" t="n">
        <v>467174</v>
      </c>
      <c r="B1031" s="0" t="n">
        <v>467174</v>
      </c>
      <c r="C1031" s="0" t="n">
        <v>4</v>
      </c>
      <c r="D1031" s="0" t="n">
        <v>16</v>
      </c>
      <c r="E1031" s="0" t="n">
        <v>2065</v>
      </c>
      <c r="F1031" s="0" t="n">
        <v>74</v>
      </c>
      <c r="G1031" s="0" t="n">
        <v>0</v>
      </c>
      <c r="H1031" s="0" t="s">
        <v>2001</v>
      </c>
      <c r="I1031" s="0" t="s">
        <v>2056</v>
      </c>
      <c r="J1031" s="9" t="n">
        <v>45904</v>
      </c>
      <c r="K1031" s="0" t="s">
        <v>2057</v>
      </c>
      <c r="L1031" s="0" t="n">
        <v>9</v>
      </c>
      <c r="M1031" s="10" t="n">
        <f aca="false">_xlfn.NUMBERVALUE("" &amp; K1031 &amp; "",".",",")</f>
        <v>7.5624424425</v>
      </c>
      <c r="N1031" s="10"/>
      <c r="O1031" s="0" t="str">
        <f aca="false">VLOOKUP(C1031,statusdetails!$A:$D,4,0)</f>
        <v>MAINT</v>
      </c>
    </row>
    <row r="1032" customFormat="false" ht="12.8" hidden="true" customHeight="false" outlineLevel="0" collapsed="false">
      <c r="A1032" s="0" t="n">
        <v>467175</v>
      </c>
      <c r="B1032" s="0" t="n">
        <v>467142</v>
      </c>
      <c r="C1032" s="0" t="n">
        <v>1</v>
      </c>
      <c r="D1032" s="0" t="n">
        <v>6</v>
      </c>
      <c r="E1032" s="0" t="n">
        <v>586</v>
      </c>
      <c r="F1032" s="0" t="n">
        <v>41</v>
      </c>
      <c r="G1032" s="0" t="n">
        <v>118</v>
      </c>
      <c r="H1032" s="11" t="n">
        <v>45904.2940277778</v>
      </c>
      <c r="I1032" s="0" t="s">
        <v>2058</v>
      </c>
      <c r="J1032" s="9" t="n">
        <v>45904</v>
      </c>
      <c r="K1032" s="0" t="s">
        <v>2059</v>
      </c>
      <c r="L1032" s="0" t="n">
        <v>7</v>
      </c>
      <c r="M1032" s="10" t="n">
        <f aca="false">_xlfn.NUMBERVALUE("" &amp; K1032 &amp; "",".",",")</f>
        <v>11.8461442997222</v>
      </c>
      <c r="N1032" s="10"/>
      <c r="O1032" s="0" t="str">
        <f aca="false">VLOOKUP(C1032,statusdetails!$A:$D,4,0)</f>
        <v>READY</v>
      </c>
    </row>
    <row r="1033" customFormat="false" ht="12.8" hidden="true" customHeight="false" outlineLevel="0" collapsed="false">
      <c r="A1033" s="0" t="n">
        <v>467176</v>
      </c>
      <c r="B1033" s="0" t="n">
        <v>467176</v>
      </c>
      <c r="C1033" s="0" t="n">
        <v>1</v>
      </c>
      <c r="D1033" s="0" t="n">
        <v>6</v>
      </c>
      <c r="E1033" s="0" t="n">
        <v>2404</v>
      </c>
      <c r="F1033" s="0" t="n">
        <v>84</v>
      </c>
      <c r="G1033" s="0" t="n">
        <v>151</v>
      </c>
      <c r="H1033" s="0" t="s">
        <v>1975</v>
      </c>
      <c r="I1033" s="0" t="s">
        <v>2060</v>
      </c>
      <c r="J1033" s="9" t="n">
        <v>45904</v>
      </c>
      <c r="K1033" s="0" t="s">
        <v>2061</v>
      </c>
      <c r="L1033" s="0" t="n">
        <v>9</v>
      </c>
      <c r="M1033" s="10" t="n">
        <f aca="false">_xlfn.NUMBERVALUE("" &amp; K1033 &amp; "",".",",")</f>
        <v>8.85968333333333</v>
      </c>
      <c r="N1033" s="10"/>
      <c r="O1033" s="0" t="str">
        <f aca="false">VLOOKUP(C1033,statusdetails!$A:$D,4,0)</f>
        <v>READY</v>
      </c>
    </row>
    <row r="1034" customFormat="false" ht="12.8" hidden="true" customHeight="false" outlineLevel="0" collapsed="false">
      <c r="A1034" s="0" t="n">
        <v>467177</v>
      </c>
      <c r="B1034" s="0" t="n">
        <v>467177</v>
      </c>
      <c r="C1034" s="0" t="n">
        <v>2</v>
      </c>
      <c r="D1034" s="0" t="n">
        <v>7</v>
      </c>
      <c r="E1034" s="0" t="n">
        <v>2385</v>
      </c>
      <c r="F1034" s="0" t="n">
        <v>82</v>
      </c>
      <c r="G1034" s="0" t="n">
        <v>88</v>
      </c>
      <c r="H1034" s="0" t="s">
        <v>2035</v>
      </c>
      <c r="I1034" s="0" t="s">
        <v>2062</v>
      </c>
      <c r="J1034" s="9" t="n">
        <v>45904</v>
      </c>
      <c r="K1034" s="0" t="s">
        <v>2063</v>
      </c>
      <c r="L1034" s="0" t="n">
        <v>10</v>
      </c>
      <c r="M1034" s="3" t="n">
        <f aca="false">_xlfn.NUMBERVALUE("" &amp; K1034 &amp; "",".",",")</f>
        <v>0.08421133</v>
      </c>
      <c r="O1034" s="0" t="str">
        <f aca="false">VLOOKUP(C1034,statusdetails!$A:$D,4,0)</f>
        <v>DELAY</v>
      </c>
    </row>
    <row r="1035" customFormat="false" ht="12.8" hidden="true" customHeight="false" outlineLevel="0" collapsed="false">
      <c r="A1035" s="0" t="n">
        <v>467178</v>
      </c>
      <c r="B1035" s="0" t="n">
        <v>467178</v>
      </c>
      <c r="C1035" s="0" t="n">
        <v>2</v>
      </c>
      <c r="D1035" s="0" t="n">
        <v>7</v>
      </c>
      <c r="E1035" s="0" t="n">
        <v>1026</v>
      </c>
      <c r="F1035" s="0" t="n">
        <v>33</v>
      </c>
      <c r="G1035" s="0" t="n">
        <v>23</v>
      </c>
      <c r="H1035" s="0" t="s">
        <v>2037</v>
      </c>
      <c r="I1035" s="0" t="s">
        <v>2064</v>
      </c>
      <c r="J1035" s="9" t="n">
        <v>45904</v>
      </c>
      <c r="K1035" s="0" t="s">
        <v>2065</v>
      </c>
      <c r="L1035" s="0" t="n">
        <v>10</v>
      </c>
      <c r="M1035" s="3" t="n">
        <f aca="false">_xlfn.NUMBERVALUE("" &amp; K1035 &amp; "",".",",")</f>
        <v>0.0793687563888889</v>
      </c>
      <c r="O1035" s="0" t="str">
        <f aca="false">VLOOKUP(C1035,statusdetails!$A:$D,4,0)</f>
        <v>DELAY</v>
      </c>
    </row>
    <row r="1036" customFormat="false" ht="12.8" hidden="true" customHeight="false" outlineLevel="0" collapsed="false">
      <c r="A1036" s="0" t="n">
        <v>467179</v>
      </c>
      <c r="B1036" s="0" t="n">
        <v>467179</v>
      </c>
      <c r="C1036" s="0" t="n">
        <v>1</v>
      </c>
      <c r="D1036" s="0" t="n">
        <v>6</v>
      </c>
      <c r="E1036" s="0" t="n">
        <v>260</v>
      </c>
      <c r="F1036" s="0" t="n">
        <v>33</v>
      </c>
      <c r="G1036" s="0" t="n">
        <v>23</v>
      </c>
      <c r="H1036" s="0" t="s">
        <v>2064</v>
      </c>
      <c r="I1036" s="0" t="s">
        <v>2066</v>
      </c>
      <c r="J1036" s="9" t="n">
        <v>45904</v>
      </c>
      <c r="K1036" s="0" t="s">
        <v>2067</v>
      </c>
      <c r="L1036" s="0" t="n">
        <v>10</v>
      </c>
      <c r="M1036" s="10" t="n">
        <f aca="false">_xlfn.NUMBERVALUE("" &amp; K1036 &amp; "",".",",")</f>
        <v>2.64451021777778</v>
      </c>
      <c r="N1036" s="10"/>
      <c r="O1036" s="0" t="str">
        <f aca="false">VLOOKUP(C1036,statusdetails!$A:$D,4,0)</f>
        <v>READY</v>
      </c>
    </row>
    <row r="1037" customFormat="false" ht="12.8" hidden="true" customHeight="false" outlineLevel="0" collapsed="false">
      <c r="A1037" s="0" t="n">
        <v>467180</v>
      </c>
      <c r="B1037" s="0" t="n">
        <v>467180</v>
      </c>
      <c r="C1037" s="0" t="n">
        <v>1</v>
      </c>
      <c r="D1037" s="0" t="n">
        <v>6</v>
      </c>
      <c r="E1037" s="0" t="n">
        <v>2518</v>
      </c>
      <c r="F1037" s="0" t="n">
        <v>82</v>
      </c>
      <c r="G1037" s="0" t="n">
        <v>88</v>
      </c>
      <c r="H1037" s="0" t="s">
        <v>2062</v>
      </c>
      <c r="I1037" s="0" t="s">
        <v>2068</v>
      </c>
      <c r="J1037" s="9" t="n">
        <v>45904</v>
      </c>
      <c r="K1037" s="0" t="s">
        <v>2069</v>
      </c>
      <c r="L1037" s="0" t="n">
        <v>10</v>
      </c>
      <c r="M1037" s="10" t="n">
        <f aca="false">_xlfn.NUMBERVALUE("" &amp; K1037 &amp; "",".",",")</f>
        <v>0.802656735277778</v>
      </c>
      <c r="N1037" s="10"/>
      <c r="O1037" s="0" t="str">
        <f aca="false">VLOOKUP(C1037,statusdetails!$A:$D,4,0)</f>
        <v>READY</v>
      </c>
    </row>
    <row r="1038" customFormat="false" ht="12.8" hidden="true" customHeight="false" outlineLevel="0" collapsed="false">
      <c r="A1038" s="0" t="n">
        <v>467181</v>
      </c>
      <c r="B1038" s="0" t="n">
        <v>467181</v>
      </c>
      <c r="C1038" s="0" t="n">
        <v>1</v>
      </c>
      <c r="D1038" s="0" t="n">
        <v>6</v>
      </c>
      <c r="E1038" s="0" t="n">
        <v>1040</v>
      </c>
      <c r="F1038" s="0" t="n">
        <v>47</v>
      </c>
      <c r="G1038" s="0" t="n">
        <v>103</v>
      </c>
      <c r="H1038" s="0" t="s">
        <v>2011</v>
      </c>
      <c r="I1038" s="0" t="s">
        <v>2070</v>
      </c>
      <c r="J1038" s="9" t="n">
        <v>45904</v>
      </c>
      <c r="K1038" s="0" t="s">
        <v>2071</v>
      </c>
      <c r="L1038" s="0" t="n">
        <v>10</v>
      </c>
      <c r="M1038" s="10" t="n">
        <f aca="false">_xlfn.NUMBERVALUE("" &amp; K1038 &amp; "",".",",")</f>
        <v>8.67897685833333</v>
      </c>
      <c r="N1038" s="10"/>
      <c r="O1038" s="0" t="str">
        <f aca="false">VLOOKUP(C1038,statusdetails!$A:$D,4,0)</f>
        <v>READY</v>
      </c>
    </row>
    <row r="1039" customFormat="false" ht="12.8" hidden="true" customHeight="false" outlineLevel="0" collapsed="false">
      <c r="A1039" s="0" t="n">
        <v>467182</v>
      </c>
      <c r="B1039" s="0" t="n">
        <v>467182</v>
      </c>
      <c r="C1039" s="0" t="n">
        <v>1</v>
      </c>
      <c r="D1039" s="0" t="n">
        <v>2303</v>
      </c>
      <c r="E1039" s="0" t="n">
        <v>969</v>
      </c>
      <c r="F1039" s="0" t="n">
        <v>45</v>
      </c>
      <c r="G1039" s="0" t="n">
        <v>133</v>
      </c>
      <c r="H1039" s="0" t="s">
        <v>1949</v>
      </c>
      <c r="I1039" s="0" t="s">
        <v>2072</v>
      </c>
      <c r="J1039" s="9" t="n">
        <v>45904</v>
      </c>
      <c r="K1039" s="0" t="s">
        <v>2073</v>
      </c>
      <c r="L1039" s="0" t="n">
        <v>10</v>
      </c>
      <c r="M1039" s="10" t="n">
        <f aca="false">_xlfn.NUMBERVALUE("" &amp; K1039 &amp; "",".",",")</f>
        <v>1.01134144916667</v>
      </c>
      <c r="N1039" s="10"/>
      <c r="O1039" s="0" t="str">
        <f aca="false">VLOOKUP(C1039,statusdetails!$A:$D,4,0)</f>
        <v>READY</v>
      </c>
    </row>
    <row r="1040" customFormat="false" ht="12.8" hidden="true" customHeight="false" outlineLevel="0" collapsed="false">
      <c r="A1040" s="0" t="n">
        <v>467183</v>
      </c>
      <c r="B1040" s="0" t="n">
        <v>467183</v>
      </c>
      <c r="C1040" s="0" t="n">
        <v>2</v>
      </c>
      <c r="D1040" s="0" t="n">
        <v>9</v>
      </c>
      <c r="E1040" s="0" t="n">
        <v>2507</v>
      </c>
      <c r="F1040" s="0" t="n">
        <v>86</v>
      </c>
      <c r="G1040" s="0" t="n">
        <v>155</v>
      </c>
      <c r="H1040" s="0" t="s">
        <v>2046</v>
      </c>
      <c r="I1040" s="0" t="s">
        <v>2074</v>
      </c>
      <c r="J1040" s="9" t="n">
        <v>45904</v>
      </c>
      <c r="K1040" s="0" t="s">
        <v>2075</v>
      </c>
      <c r="L1040" s="0" t="n">
        <v>10</v>
      </c>
      <c r="M1040" s="3" t="n">
        <f aca="false">_xlfn.NUMBERVALUE("" &amp; K1040 &amp; "",".",",")</f>
        <v>0.139218333333333</v>
      </c>
      <c r="O1040" s="0" t="str">
        <f aca="false">VLOOKUP(C1040,statusdetails!$A:$D,4,0)</f>
        <v>DELAY</v>
      </c>
    </row>
    <row r="1041" customFormat="false" ht="12.8" hidden="true" customHeight="false" outlineLevel="0" collapsed="false">
      <c r="A1041" s="0" t="n">
        <v>467184</v>
      </c>
      <c r="B1041" s="0" t="n">
        <v>467184</v>
      </c>
      <c r="C1041" s="0" t="n">
        <v>1</v>
      </c>
      <c r="D1041" s="0" t="n">
        <v>6</v>
      </c>
      <c r="E1041" s="0" t="n">
        <v>2404</v>
      </c>
      <c r="F1041" s="0" t="n">
        <v>86</v>
      </c>
      <c r="G1041" s="0" t="n">
        <v>155</v>
      </c>
      <c r="H1041" s="0" t="s">
        <v>2074</v>
      </c>
      <c r="I1041" s="0" t="s">
        <v>2076</v>
      </c>
      <c r="J1041" s="9" t="n">
        <v>45904</v>
      </c>
      <c r="K1041" s="0" t="s">
        <v>2077</v>
      </c>
      <c r="L1041" s="0" t="n">
        <v>10</v>
      </c>
      <c r="M1041" s="10" t="n">
        <f aca="false">_xlfn.NUMBERVALUE("" &amp; K1041 &amp; "",".",",")</f>
        <v>4.23370138888889</v>
      </c>
      <c r="N1041" s="10"/>
      <c r="O1041" s="0" t="str">
        <f aca="false">VLOOKUP(C1041,statusdetails!$A:$D,4,0)</f>
        <v>READY</v>
      </c>
    </row>
    <row r="1042" customFormat="false" ht="12.8" hidden="true" customHeight="false" outlineLevel="0" collapsed="false">
      <c r="A1042" s="0" t="n">
        <v>467185</v>
      </c>
      <c r="B1042" s="0" t="n">
        <v>467185</v>
      </c>
      <c r="C1042" s="0" t="n">
        <v>4</v>
      </c>
      <c r="D1042" s="0" t="n">
        <v>16</v>
      </c>
      <c r="E1042" s="0" t="n">
        <v>2461</v>
      </c>
      <c r="F1042" s="0" t="n">
        <v>85</v>
      </c>
      <c r="G1042" s="0" t="n">
        <v>47</v>
      </c>
      <c r="H1042" s="0" t="s">
        <v>2013</v>
      </c>
      <c r="I1042" s="0" t="s">
        <v>2078</v>
      </c>
      <c r="J1042" s="9" t="n">
        <v>45904</v>
      </c>
      <c r="K1042" s="0" t="s">
        <v>2079</v>
      </c>
      <c r="L1042" s="0" t="n">
        <v>11</v>
      </c>
      <c r="M1042" s="10" t="n">
        <f aca="false">_xlfn.NUMBERVALUE("" &amp; K1042 &amp; "",".",",")</f>
        <v>1.17234175333333</v>
      </c>
      <c r="N1042" s="10"/>
      <c r="O1042" s="0" t="str">
        <f aca="false">VLOOKUP(C1042,statusdetails!$A:$D,4,0)</f>
        <v>MAINT</v>
      </c>
    </row>
    <row r="1043" customFormat="false" ht="12.8" hidden="true" customHeight="false" outlineLevel="0" collapsed="false">
      <c r="A1043" s="0" t="n">
        <v>467186</v>
      </c>
      <c r="B1043" s="0" t="n">
        <v>467186</v>
      </c>
      <c r="C1043" s="0" t="n">
        <v>2</v>
      </c>
      <c r="D1043" s="0" t="n">
        <v>7</v>
      </c>
      <c r="E1043" s="0" t="n">
        <v>821</v>
      </c>
      <c r="F1043" s="0" t="n">
        <v>42</v>
      </c>
      <c r="G1043" s="0" t="n">
        <v>83</v>
      </c>
      <c r="H1043" s="0" t="s">
        <v>2019</v>
      </c>
      <c r="I1043" s="0" t="s">
        <v>2080</v>
      </c>
      <c r="J1043" s="9" t="n">
        <v>45904</v>
      </c>
      <c r="K1043" s="0" t="s">
        <v>2081</v>
      </c>
      <c r="L1043" s="0" t="n">
        <v>11</v>
      </c>
      <c r="M1043" s="3" t="n">
        <f aca="false">_xlfn.NUMBERVALUE("" &amp; K1043 &amp; "",".",",")</f>
        <v>0.221721666666667</v>
      </c>
      <c r="O1043" s="0" t="str">
        <f aca="false">VLOOKUP(C1043,statusdetails!$A:$D,4,0)</f>
        <v>DELAY</v>
      </c>
    </row>
    <row r="1044" customFormat="false" ht="12.8" hidden="true" customHeight="false" outlineLevel="0" collapsed="false">
      <c r="A1044" s="0" t="n">
        <v>467187</v>
      </c>
      <c r="B1044" s="0" t="n">
        <v>467187</v>
      </c>
      <c r="C1044" s="0" t="n">
        <v>2</v>
      </c>
      <c r="D1044" s="0" t="n">
        <v>9</v>
      </c>
      <c r="E1044" s="0" t="n">
        <v>2388</v>
      </c>
      <c r="F1044" s="0" t="n">
        <v>82</v>
      </c>
      <c r="G1044" s="0" t="n">
        <v>88</v>
      </c>
      <c r="H1044" s="0" t="s">
        <v>2068</v>
      </c>
      <c r="I1044" s="0" t="s">
        <v>2082</v>
      </c>
      <c r="J1044" s="9" t="n">
        <v>45904</v>
      </c>
      <c r="K1044" s="0" t="s">
        <v>2083</v>
      </c>
      <c r="L1044" s="0" t="n">
        <v>11</v>
      </c>
      <c r="M1044" s="3" t="n">
        <f aca="false">_xlfn.NUMBERVALUE("" &amp; K1044 &amp; "",".",",")</f>
        <v>0.0210875605555556</v>
      </c>
      <c r="O1044" s="0" t="str">
        <f aca="false">VLOOKUP(C1044,statusdetails!$A:$D,4,0)</f>
        <v>DELAY</v>
      </c>
    </row>
    <row r="1045" customFormat="false" ht="12.8" hidden="true" customHeight="false" outlineLevel="0" collapsed="false">
      <c r="A1045" s="0" t="n">
        <v>467188</v>
      </c>
      <c r="B1045" s="0" t="n">
        <v>467188</v>
      </c>
      <c r="C1045" s="0" t="n">
        <v>1</v>
      </c>
      <c r="D1045" s="0" t="n">
        <v>6</v>
      </c>
      <c r="E1045" s="0" t="n">
        <v>2518</v>
      </c>
      <c r="F1045" s="0" t="n">
        <v>82</v>
      </c>
      <c r="G1045" s="0" t="n">
        <v>88</v>
      </c>
      <c r="H1045" s="0" t="s">
        <v>2082</v>
      </c>
      <c r="I1045" s="0" t="s">
        <v>2084</v>
      </c>
      <c r="J1045" s="9" t="n">
        <v>45904</v>
      </c>
      <c r="K1045" s="0" t="s">
        <v>2085</v>
      </c>
      <c r="L1045" s="0" t="n">
        <v>11</v>
      </c>
      <c r="M1045" s="10" t="n">
        <f aca="false">_xlfn.NUMBERVALUE("" &amp; K1045 &amp; "",".",",")</f>
        <v>1.68113063333333</v>
      </c>
      <c r="N1045" s="10"/>
      <c r="O1045" s="0" t="str">
        <f aca="false">VLOOKUP(C1045,statusdetails!$A:$D,4,0)</f>
        <v>READY</v>
      </c>
    </row>
    <row r="1046" customFormat="false" ht="12.8" hidden="true" customHeight="false" outlineLevel="0" collapsed="false">
      <c r="A1046" s="0" t="n">
        <v>467189</v>
      </c>
      <c r="B1046" s="0" t="n">
        <v>467189</v>
      </c>
      <c r="C1046" s="0" t="n">
        <v>1</v>
      </c>
      <c r="D1046" s="0" t="n">
        <v>6</v>
      </c>
      <c r="E1046" s="0" t="n">
        <v>811</v>
      </c>
      <c r="F1046" s="0" t="n">
        <v>42</v>
      </c>
      <c r="G1046" s="0" t="n">
        <v>83</v>
      </c>
      <c r="H1046" s="0" t="s">
        <v>2080</v>
      </c>
      <c r="I1046" s="0" t="s">
        <v>2086</v>
      </c>
      <c r="J1046" s="9" t="n">
        <v>45904</v>
      </c>
      <c r="K1046" s="0" t="s">
        <v>2087</v>
      </c>
      <c r="L1046" s="0" t="n">
        <v>11</v>
      </c>
      <c r="M1046" s="10" t="n">
        <f aca="false">_xlfn.NUMBERVALUE("" &amp; K1046 &amp; "",".",",")</f>
        <v>1.83093972222222</v>
      </c>
      <c r="N1046" s="10"/>
      <c r="O1046" s="0" t="str">
        <f aca="false">VLOOKUP(C1046,statusdetails!$A:$D,4,0)</f>
        <v>READY</v>
      </c>
    </row>
    <row r="1047" customFormat="false" ht="12.8" hidden="true" customHeight="false" outlineLevel="0" collapsed="false">
      <c r="A1047" s="0" t="n">
        <v>467190</v>
      </c>
      <c r="B1047" s="0" t="n">
        <v>467190</v>
      </c>
      <c r="C1047" s="0" t="n">
        <v>1</v>
      </c>
      <c r="D1047" s="0" t="n">
        <v>6</v>
      </c>
      <c r="E1047" s="0" t="n">
        <v>138</v>
      </c>
      <c r="F1047" s="0" t="n">
        <v>45</v>
      </c>
      <c r="G1047" s="0" t="n">
        <v>133</v>
      </c>
      <c r="H1047" s="0" t="s">
        <v>2072</v>
      </c>
      <c r="I1047" s="0" t="s">
        <v>2088</v>
      </c>
      <c r="J1047" s="9" t="n">
        <v>45904</v>
      </c>
      <c r="K1047" s="0" t="s">
        <v>2089</v>
      </c>
      <c r="L1047" s="0" t="n">
        <v>11</v>
      </c>
      <c r="M1047" s="10" t="n">
        <f aca="false">_xlfn.NUMBERVALUE("" &amp; K1047 &amp; "",".",",")</f>
        <v>0.1900334825</v>
      </c>
      <c r="N1047" s="10"/>
      <c r="O1047" s="0" t="str">
        <f aca="false">VLOOKUP(C1047,statusdetails!$A:$D,4,0)</f>
        <v>READY</v>
      </c>
    </row>
    <row r="1048" customFormat="false" ht="12.8" hidden="true" customHeight="false" outlineLevel="0" collapsed="false">
      <c r="A1048" s="0" t="n">
        <v>467191</v>
      </c>
      <c r="B1048" s="0" t="n">
        <v>467191</v>
      </c>
      <c r="C1048" s="0" t="n">
        <v>1</v>
      </c>
      <c r="D1048" s="0" t="n">
        <v>2303</v>
      </c>
      <c r="E1048" s="0" t="n">
        <v>969</v>
      </c>
      <c r="F1048" s="0" t="n">
        <v>45</v>
      </c>
      <c r="G1048" s="0" t="n">
        <v>133</v>
      </c>
      <c r="H1048" s="0" t="s">
        <v>2088</v>
      </c>
      <c r="I1048" s="0" t="s">
        <v>2090</v>
      </c>
      <c r="J1048" s="9" t="n">
        <v>45904</v>
      </c>
      <c r="K1048" s="0" t="s">
        <v>2091</v>
      </c>
      <c r="L1048" s="0" t="n">
        <v>11</v>
      </c>
      <c r="M1048" s="10" t="n">
        <f aca="false">_xlfn.NUMBERVALUE("" &amp; K1048 &amp; "",".",",")</f>
        <v>0.129803948888889</v>
      </c>
      <c r="N1048" s="10"/>
      <c r="O1048" s="0" t="str">
        <f aca="false">VLOOKUP(C1048,statusdetails!$A:$D,4,0)</f>
        <v>READY</v>
      </c>
    </row>
    <row r="1049" customFormat="false" ht="12.8" hidden="true" customHeight="false" outlineLevel="0" collapsed="false">
      <c r="A1049" s="0" t="n">
        <v>467192</v>
      </c>
      <c r="B1049" s="0" t="n">
        <v>467192</v>
      </c>
      <c r="C1049" s="0" t="n">
        <v>3</v>
      </c>
      <c r="D1049" s="0" t="n">
        <v>14</v>
      </c>
      <c r="E1049" s="0" t="n">
        <v>1137</v>
      </c>
      <c r="F1049" s="0" t="n">
        <v>37</v>
      </c>
      <c r="G1049" s="0" t="n">
        <v>44</v>
      </c>
      <c r="H1049" s="0" t="s">
        <v>1995</v>
      </c>
      <c r="I1049" s="0" t="s">
        <v>2092</v>
      </c>
      <c r="J1049" s="9" t="n">
        <v>45904</v>
      </c>
      <c r="K1049" s="0" t="s">
        <v>2093</v>
      </c>
      <c r="L1049" s="0" t="n">
        <v>11</v>
      </c>
      <c r="M1049" s="10" t="n">
        <f aca="false">_xlfn.NUMBERVALUE("" &amp; K1049 &amp; "",".",",")</f>
        <v>2.40410611111111</v>
      </c>
      <c r="N1049" s="10"/>
      <c r="O1049" s="0" t="str">
        <f aca="false">VLOOKUP(C1049,statusdetails!$A:$D,4,0)</f>
        <v>STANDBY</v>
      </c>
      <c r="P1049" s="0" t="str">
        <f aca="false">VLOOKUP(F1049,equipment!$A:$E,4,0)</f>
        <v>DZ201</v>
      </c>
      <c r="Q1049" s="0" t="str">
        <f aca="false">VLOOKUP(F1049,equipment!$A:$E,5,0)</f>
        <v>DZ201 - 37</v>
      </c>
    </row>
    <row r="1050" customFormat="false" ht="12.8" hidden="true" customHeight="false" outlineLevel="0" collapsed="false">
      <c r="A1050" s="0" t="n">
        <v>467193</v>
      </c>
      <c r="B1050" s="0" t="n">
        <v>467193</v>
      </c>
      <c r="C1050" s="0" t="n">
        <v>4</v>
      </c>
      <c r="D1050" s="0" t="n">
        <v>16</v>
      </c>
      <c r="E1050" s="0" t="n">
        <v>2481</v>
      </c>
      <c r="F1050" s="0" t="n">
        <v>88</v>
      </c>
      <c r="G1050" s="0" t="n">
        <v>0</v>
      </c>
      <c r="H1050" s="0" t="s">
        <v>2052</v>
      </c>
      <c r="I1050" s="0" t="s">
        <v>2094</v>
      </c>
      <c r="J1050" s="9" t="n">
        <v>45904</v>
      </c>
      <c r="K1050" s="0" t="s">
        <v>2095</v>
      </c>
      <c r="L1050" s="0" t="n">
        <v>11</v>
      </c>
      <c r="M1050" s="10" t="n">
        <f aca="false">_xlfn.NUMBERVALUE("" &amp; K1050 &amp; "",".",",")</f>
        <v>11.814587675</v>
      </c>
      <c r="N1050" s="10"/>
      <c r="O1050" s="0" t="str">
        <f aca="false">VLOOKUP(C1050,statusdetails!$A:$D,4,0)</f>
        <v>MAINT</v>
      </c>
    </row>
    <row r="1051" customFormat="false" ht="12.8" hidden="true" customHeight="false" outlineLevel="0" collapsed="false">
      <c r="A1051" s="0" t="n">
        <v>467194</v>
      </c>
      <c r="B1051" s="0" t="n">
        <v>467194</v>
      </c>
      <c r="C1051" s="0" t="n">
        <v>1</v>
      </c>
      <c r="D1051" s="0" t="n">
        <v>6</v>
      </c>
      <c r="E1051" s="0" t="n">
        <v>138</v>
      </c>
      <c r="F1051" s="0" t="n">
        <v>45</v>
      </c>
      <c r="G1051" s="0" t="n">
        <v>133</v>
      </c>
      <c r="H1051" s="0" t="s">
        <v>2090</v>
      </c>
      <c r="I1051" s="0" t="s">
        <v>2096</v>
      </c>
      <c r="J1051" s="9" t="n">
        <v>45904</v>
      </c>
      <c r="K1051" s="0" t="s">
        <v>2097</v>
      </c>
      <c r="L1051" s="0" t="n">
        <v>11</v>
      </c>
      <c r="M1051" s="10" t="n">
        <f aca="false">_xlfn.NUMBERVALUE("" &amp; K1051 &amp; "",".",",")</f>
        <v>0.164171256111111</v>
      </c>
      <c r="N1051" s="10"/>
      <c r="O1051" s="0" t="str">
        <f aca="false">VLOOKUP(C1051,statusdetails!$A:$D,4,0)</f>
        <v>READY</v>
      </c>
    </row>
    <row r="1052" customFormat="false" ht="12.8" hidden="true" customHeight="false" outlineLevel="0" collapsed="false">
      <c r="A1052" s="0" t="n">
        <v>467195</v>
      </c>
      <c r="B1052" s="0" t="n">
        <v>467195</v>
      </c>
      <c r="C1052" s="0" t="n">
        <v>1</v>
      </c>
      <c r="D1052" s="0" t="n">
        <v>2303</v>
      </c>
      <c r="E1052" s="0" t="n">
        <v>969</v>
      </c>
      <c r="F1052" s="0" t="n">
        <v>45</v>
      </c>
      <c r="G1052" s="0" t="n">
        <v>133</v>
      </c>
      <c r="H1052" s="0" t="s">
        <v>2096</v>
      </c>
      <c r="I1052" s="11" t="n">
        <v>45904.5114351852</v>
      </c>
      <c r="J1052" s="9" t="n">
        <v>45904</v>
      </c>
      <c r="K1052" s="0" t="s">
        <v>2098</v>
      </c>
      <c r="L1052" s="0" t="n">
        <v>12</v>
      </c>
      <c r="M1052" s="10" t="n">
        <f aca="false">_xlfn.NUMBERVALUE("" &amp; K1052 &amp; "",".",",")</f>
        <v>0.220739124166667</v>
      </c>
      <c r="N1052" s="10"/>
      <c r="O1052" s="0" t="str">
        <f aca="false">VLOOKUP(C1052,statusdetails!$A:$D,4,0)</f>
        <v>READY</v>
      </c>
    </row>
    <row r="1053" customFormat="false" ht="12.8" hidden="true" customHeight="false" outlineLevel="0" collapsed="false">
      <c r="A1053" s="0" t="n">
        <v>467196</v>
      </c>
      <c r="B1053" s="0" t="n">
        <v>467153</v>
      </c>
      <c r="C1053" s="0" t="n">
        <v>1</v>
      </c>
      <c r="D1053" s="0" t="n">
        <v>2303</v>
      </c>
      <c r="E1053" s="0" t="n">
        <v>2549</v>
      </c>
      <c r="F1053" s="0" t="n">
        <v>60</v>
      </c>
      <c r="G1053" s="0" t="n">
        <v>164</v>
      </c>
      <c r="H1053" s="11" t="n">
        <v>45904.2934722222</v>
      </c>
      <c r="I1053" s="0" t="s">
        <v>2099</v>
      </c>
      <c r="J1053" s="9" t="n">
        <v>45904</v>
      </c>
      <c r="K1053" s="0" t="s">
        <v>2100</v>
      </c>
      <c r="L1053" s="0" t="n">
        <v>7</v>
      </c>
      <c r="M1053" s="10" t="n">
        <f aca="false">_xlfn.NUMBERVALUE("" &amp; K1053 &amp; "",".",",")</f>
        <v>11.8140125747222</v>
      </c>
      <c r="N1053" s="10"/>
      <c r="O1053" s="0" t="str">
        <f aca="false">VLOOKUP(C1053,statusdetails!$A:$D,4,0)</f>
        <v>READY</v>
      </c>
    </row>
    <row r="1054" customFormat="false" ht="12.8" hidden="true" customHeight="false" outlineLevel="0" collapsed="false">
      <c r="A1054" s="0" t="n">
        <v>467197</v>
      </c>
      <c r="B1054" s="0" t="n">
        <v>467197</v>
      </c>
      <c r="C1054" s="0" t="n">
        <v>3</v>
      </c>
      <c r="D1054" s="0" t="n">
        <v>12</v>
      </c>
      <c r="E1054" s="0" t="n">
        <v>289</v>
      </c>
      <c r="F1054" s="0" t="n">
        <v>32</v>
      </c>
      <c r="G1054" s="0" t="n">
        <v>0</v>
      </c>
      <c r="H1054" s="0" t="s">
        <v>1462</v>
      </c>
      <c r="I1054" s="0" t="s">
        <v>2101</v>
      </c>
      <c r="J1054" s="9" t="n">
        <v>45904</v>
      </c>
      <c r="K1054" s="0" t="s">
        <v>2102</v>
      </c>
      <c r="L1054" s="0" t="n">
        <v>12</v>
      </c>
      <c r="M1054" s="10" t="n">
        <f aca="false">_xlfn.NUMBERVALUE("" &amp; K1054 &amp; "",".",",")</f>
        <v>5.5395923425</v>
      </c>
      <c r="N1054" s="10"/>
      <c r="O1054" s="0" t="str">
        <f aca="false">VLOOKUP(C1054,statusdetails!$A:$D,4,0)</f>
        <v>STANDBY</v>
      </c>
      <c r="P1054" s="0" t="str">
        <f aca="false">VLOOKUP(F1054,equipment!$A:$E,4,0)</f>
        <v>CM403</v>
      </c>
      <c r="Q1054" s="0" t="str">
        <f aca="false">VLOOKUP(F1054,equipment!$A:$E,5,0)</f>
        <v>CM403 - 32</v>
      </c>
    </row>
    <row r="1055" customFormat="false" ht="12.8" hidden="true" customHeight="false" outlineLevel="0" collapsed="false">
      <c r="A1055" s="0" t="n">
        <v>467199</v>
      </c>
      <c r="B1055" s="0" t="n">
        <v>467198</v>
      </c>
      <c r="C1055" s="0" t="n">
        <v>1</v>
      </c>
      <c r="D1055" s="0" t="n">
        <v>6</v>
      </c>
      <c r="E1055" s="0" t="n">
        <v>138</v>
      </c>
      <c r="F1055" s="0" t="n">
        <v>45</v>
      </c>
      <c r="G1055" s="0" t="n">
        <v>133</v>
      </c>
      <c r="H1055" s="11" t="n">
        <v>45904.5114351852</v>
      </c>
      <c r="I1055" s="0" t="s">
        <v>2103</v>
      </c>
      <c r="J1055" s="9" t="n">
        <v>45904</v>
      </c>
      <c r="K1055" s="0" t="s">
        <v>2104</v>
      </c>
      <c r="L1055" s="0" t="n">
        <v>12</v>
      </c>
      <c r="M1055" s="10" t="n">
        <f aca="false">_xlfn.NUMBERVALUE("" &amp; K1055 &amp; "",".",",")</f>
        <v>0.0894362141666667</v>
      </c>
      <c r="N1055" s="10"/>
      <c r="O1055" s="0" t="str">
        <f aca="false">VLOOKUP(C1055,statusdetails!$A:$D,4,0)</f>
        <v>READY</v>
      </c>
    </row>
    <row r="1056" customFormat="false" ht="12.8" hidden="true" customHeight="false" outlineLevel="0" collapsed="false">
      <c r="A1056" s="0" t="n">
        <v>467200</v>
      </c>
      <c r="B1056" s="0" t="n">
        <v>467200</v>
      </c>
      <c r="C1056" s="0" t="n">
        <v>2</v>
      </c>
      <c r="D1056" s="0" t="n">
        <v>7</v>
      </c>
      <c r="E1056" s="0" t="n">
        <v>1024</v>
      </c>
      <c r="F1056" s="0" t="n">
        <v>45</v>
      </c>
      <c r="G1056" s="0" t="n">
        <v>133</v>
      </c>
      <c r="H1056" s="0" t="s">
        <v>2103</v>
      </c>
      <c r="I1056" s="0" t="s">
        <v>2105</v>
      </c>
      <c r="J1056" s="9" t="n">
        <v>45904</v>
      </c>
      <c r="K1056" s="0" t="s">
        <v>2106</v>
      </c>
      <c r="L1056" s="0" t="n">
        <v>12</v>
      </c>
      <c r="M1056" s="3" t="n">
        <f aca="false">_xlfn.NUMBERVALUE("" &amp; K1056 &amp; "",".",",")</f>
        <v>0.220487812222222</v>
      </c>
      <c r="O1056" s="0" t="str">
        <f aca="false">VLOOKUP(C1056,statusdetails!$A:$D,4,0)</f>
        <v>DELAY</v>
      </c>
    </row>
    <row r="1057" customFormat="false" ht="12.8" hidden="true" customHeight="false" outlineLevel="0" collapsed="false">
      <c r="A1057" s="0" t="n">
        <v>467201</v>
      </c>
      <c r="B1057" s="0" t="n">
        <v>467201</v>
      </c>
      <c r="C1057" s="0" t="n">
        <v>1</v>
      </c>
      <c r="D1057" s="0" t="n">
        <v>6</v>
      </c>
      <c r="E1057" s="0" t="n">
        <v>2404</v>
      </c>
      <c r="F1057" s="0" t="n">
        <v>85</v>
      </c>
      <c r="G1057" s="0" t="n">
        <v>47</v>
      </c>
      <c r="H1057" s="0" t="s">
        <v>2078</v>
      </c>
      <c r="I1057" s="0" t="s">
        <v>2107</v>
      </c>
      <c r="J1057" s="9" t="n">
        <v>45904</v>
      </c>
      <c r="K1057" s="0" t="s">
        <v>2108</v>
      </c>
      <c r="L1057" s="0" t="n">
        <v>12</v>
      </c>
      <c r="M1057" s="10" t="n">
        <f aca="false">_xlfn.NUMBERVALUE("" &amp; K1057 &amp; "",".",",")</f>
        <v>5.13486777777778</v>
      </c>
      <c r="N1057" s="10"/>
      <c r="O1057" s="0" t="str">
        <f aca="false">VLOOKUP(C1057,statusdetails!$A:$D,4,0)</f>
        <v>READY</v>
      </c>
    </row>
    <row r="1058" customFormat="false" ht="12.8" hidden="true" customHeight="false" outlineLevel="0" collapsed="false">
      <c r="A1058" s="0" t="n">
        <v>467202</v>
      </c>
      <c r="B1058" s="0" t="n">
        <v>467202</v>
      </c>
      <c r="C1058" s="0" t="n">
        <v>1</v>
      </c>
      <c r="D1058" s="0" t="n">
        <v>6</v>
      </c>
      <c r="E1058" s="0" t="n">
        <v>138</v>
      </c>
      <c r="F1058" s="0" t="n">
        <v>45</v>
      </c>
      <c r="G1058" s="0" t="n">
        <v>156</v>
      </c>
      <c r="H1058" s="0" t="s">
        <v>2105</v>
      </c>
      <c r="I1058" s="0" t="s">
        <v>2109</v>
      </c>
      <c r="J1058" s="9" t="n">
        <v>45904</v>
      </c>
      <c r="K1058" s="0" t="s">
        <v>2110</v>
      </c>
      <c r="L1058" s="0" t="n">
        <v>12</v>
      </c>
      <c r="M1058" s="10" t="n">
        <f aca="false">_xlfn.NUMBERVALUE("" &amp; K1058 &amp; "",".",",")</f>
        <v>0.0491357341666667</v>
      </c>
      <c r="N1058" s="10"/>
      <c r="O1058" s="0" t="str">
        <f aca="false">VLOOKUP(C1058,statusdetails!$A:$D,4,0)</f>
        <v>READY</v>
      </c>
    </row>
    <row r="1059" customFormat="false" ht="12.8" hidden="true" customHeight="false" outlineLevel="0" collapsed="false">
      <c r="A1059" s="0" t="n">
        <v>467203</v>
      </c>
      <c r="B1059" s="0" t="n">
        <v>467203</v>
      </c>
      <c r="C1059" s="0" t="n">
        <v>2</v>
      </c>
      <c r="D1059" s="0" t="n">
        <v>7</v>
      </c>
      <c r="E1059" s="0" t="n">
        <v>2385</v>
      </c>
      <c r="F1059" s="0" t="n">
        <v>96</v>
      </c>
      <c r="G1059" s="0" t="n">
        <v>109</v>
      </c>
      <c r="H1059" s="0" t="s">
        <v>2050</v>
      </c>
      <c r="I1059" s="0" t="s">
        <v>2111</v>
      </c>
      <c r="J1059" s="9" t="n">
        <v>45904</v>
      </c>
      <c r="K1059" s="0" t="s">
        <v>2112</v>
      </c>
      <c r="L1059" s="0" t="n">
        <v>12</v>
      </c>
      <c r="M1059" s="3" t="n">
        <f aca="false">_xlfn.NUMBERVALUE("" &amp; K1059 &amp; "",".",",")</f>
        <v>0.348612752777778</v>
      </c>
      <c r="O1059" s="0" t="str">
        <f aca="false">VLOOKUP(C1059,statusdetails!$A:$D,4,0)</f>
        <v>DELAY</v>
      </c>
    </row>
    <row r="1060" customFormat="false" ht="12.8" hidden="true" customHeight="false" outlineLevel="0" collapsed="false">
      <c r="A1060" s="0" t="n">
        <v>467204</v>
      </c>
      <c r="B1060" s="0" t="n">
        <v>467204</v>
      </c>
      <c r="C1060" s="0" t="n">
        <v>2</v>
      </c>
      <c r="D1060" s="0" t="n">
        <v>9</v>
      </c>
      <c r="E1060" s="0" t="n">
        <v>1067</v>
      </c>
      <c r="F1060" s="0" t="n">
        <v>45</v>
      </c>
      <c r="G1060" s="0" t="n">
        <v>156</v>
      </c>
      <c r="H1060" s="0" t="s">
        <v>2109</v>
      </c>
      <c r="I1060" s="0" t="s">
        <v>2113</v>
      </c>
      <c r="J1060" s="9" t="n">
        <v>45904</v>
      </c>
      <c r="K1060" s="0" t="s">
        <v>2114</v>
      </c>
      <c r="L1060" s="0" t="n">
        <v>12</v>
      </c>
      <c r="M1060" s="3" t="n">
        <f aca="false">_xlfn.NUMBERVALUE("" &amp; K1060 &amp; "",".",",")</f>
        <v>0.00837643194444444</v>
      </c>
      <c r="O1060" s="0" t="str">
        <f aca="false">VLOOKUP(C1060,statusdetails!$A:$D,4,0)</f>
        <v>DELAY</v>
      </c>
    </row>
    <row r="1061" customFormat="false" ht="12.8" hidden="true" customHeight="false" outlineLevel="0" collapsed="false">
      <c r="A1061" s="0" t="n">
        <v>467205</v>
      </c>
      <c r="B1061" s="0" t="n">
        <v>467205</v>
      </c>
      <c r="C1061" s="0" t="n">
        <v>1</v>
      </c>
      <c r="D1061" s="0" t="n">
        <v>6</v>
      </c>
      <c r="E1061" s="0" t="n">
        <v>138</v>
      </c>
      <c r="F1061" s="0" t="n">
        <v>45</v>
      </c>
      <c r="G1061" s="0" t="n">
        <v>156</v>
      </c>
      <c r="H1061" s="0" t="s">
        <v>2113</v>
      </c>
      <c r="I1061" s="0" t="s">
        <v>2115</v>
      </c>
      <c r="J1061" s="9" t="n">
        <v>45904</v>
      </c>
      <c r="K1061" s="0" t="s">
        <v>2116</v>
      </c>
      <c r="L1061" s="0" t="n">
        <v>12</v>
      </c>
      <c r="M1061" s="10" t="n">
        <f aca="false">_xlfn.NUMBERVALUE("" &amp; K1061 &amp; "",".",",")</f>
        <v>0.330103711666667</v>
      </c>
      <c r="N1061" s="10"/>
      <c r="O1061" s="0" t="str">
        <f aca="false">VLOOKUP(C1061,statusdetails!$A:$D,4,0)</f>
        <v>READY</v>
      </c>
    </row>
    <row r="1062" customFormat="false" ht="12.8" hidden="true" customHeight="false" outlineLevel="0" collapsed="false">
      <c r="A1062" s="0" t="n">
        <v>467206</v>
      </c>
      <c r="B1062" s="0" t="n">
        <v>467206</v>
      </c>
      <c r="C1062" s="0" t="n">
        <v>2</v>
      </c>
      <c r="D1062" s="0" t="n">
        <v>7</v>
      </c>
      <c r="E1062" s="0" t="n">
        <v>2385</v>
      </c>
      <c r="F1062" s="0" t="n">
        <v>82</v>
      </c>
      <c r="G1062" s="0" t="n">
        <v>88</v>
      </c>
      <c r="H1062" s="0" t="s">
        <v>2084</v>
      </c>
      <c r="I1062" s="0" t="s">
        <v>2117</v>
      </c>
      <c r="J1062" s="9" t="n">
        <v>45904</v>
      </c>
      <c r="K1062" s="0" t="s">
        <v>2118</v>
      </c>
      <c r="L1062" s="0" t="n">
        <v>12</v>
      </c>
      <c r="M1062" s="3" t="n">
        <f aca="false">_xlfn.NUMBERVALUE("" &amp; K1062 &amp; "",".",",")</f>
        <v>0.1958876675</v>
      </c>
      <c r="O1062" s="0" t="str">
        <f aca="false">VLOOKUP(C1062,statusdetails!$A:$D,4,0)</f>
        <v>DELAY</v>
      </c>
    </row>
    <row r="1063" customFormat="false" ht="12.8" hidden="true" customHeight="false" outlineLevel="0" collapsed="false">
      <c r="A1063" s="0" t="n">
        <v>467207</v>
      </c>
      <c r="B1063" s="0" t="n">
        <v>467207</v>
      </c>
      <c r="C1063" s="0" t="n">
        <v>1</v>
      </c>
      <c r="D1063" s="0" t="n">
        <v>6</v>
      </c>
      <c r="E1063" s="0" t="n">
        <v>2518</v>
      </c>
      <c r="F1063" s="0" t="n">
        <v>96</v>
      </c>
      <c r="G1063" s="0" t="n">
        <v>109</v>
      </c>
      <c r="H1063" s="0" t="s">
        <v>2111</v>
      </c>
      <c r="I1063" s="0" t="s">
        <v>2119</v>
      </c>
      <c r="J1063" s="9" t="n">
        <v>45904</v>
      </c>
      <c r="K1063" s="0" t="s">
        <v>2120</v>
      </c>
      <c r="L1063" s="0" t="n">
        <v>12</v>
      </c>
      <c r="M1063" s="10" t="n">
        <f aca="false">_xlfn.NUMBERVALUE("" &amp; K1063 &amp; "",".",",")</f>
        <v>2.02484727972222</v>
      </c>
      <c r="N1063" s="10"/>
      <c r="O1063" s="0" t="str">
        <f aca="false">VLOOKUP(C1063,statusdetails!$A:$D,4,0)</f>
        <v>READY</v>
      </c>
    </row>
    <row r="1064" customFormat="false" ht="12.8" hidden="true" customHeight="false" outlineLevel="0" collapsed="false">
      <c r="A1064" s="0" t="n">
        <v>467208</v>
      </c>
      <c r="B1064" s="0" t="n">
        <v>467208</v>
      </c>
      <c r="C1064" s="0" t="n">
        <v>2</v>
      </c>
      <c r="D1064" s="0" t="n">
        <v>7</v>
      </c>
      <c r="E1064" s="0" t="n">
        <v>2563</v>
      </c>
      <c r="F1064" s="0" t="n">
        <v>45</v>
      </c>
      <c r="G1064" s="0" t="n">
        <v>156</v>
      </c>
      <c r="H1064" s="0" t="s">
        <v>2115</v>
      </c>
      <c r="I1064" s="0" t="s">
        <v>2121</v>
      </c>
      <c r="J1064" s="9" t="n">
        <v>45904</v>
      </c>
      <c r="K1064" s="0" t="s">
        <v>2122</v>
      </c>
      <c r="L1064" s="0" t="n">
        <v>12</v>
      </c>
      <c r="M1064" s="3" t="n">
        <f aca="false">_xlfn.NUMBERVALUE("" &amp; K1064 &amp; "",".",",")</f>
        <v>0.2111215875</v>
      </c>
      <c r="O1064" s="0" t="str">
        <f aca="false">VLOOKUP(C1064,statusdetails!$A:$D,4,0)</f>
        <v>DELAY</v>
      </c>
    </row>
    <row r="1065" customFormat="false" ht="12.8" hidden="true" customHeight="false" outlineLevel="0" collapsed="false">
      <c r="A1065" s="0" t="n">
        <v>467209</v>
      </c>
      <c r="B1065" s="0" t="n">
        <v>467209</v>
      </c>
      <c r="C1065" s="0" t="n">
        <v>3</v>
      </c>
      <c r="D1065" s="0" t="n">
        <v>14</v>
      </c>
      <c r="E1065" s="0" t="n">
        <v>2417</v>
      </c>
      <c r="F1065" s="0" t="n">
        <v>87</v>
      </c>
      <c r="G1065" s="0" t="n">
        <v>154</v>
      </c>
      <c r="H1065" s="0" t="s">
        <v>1981</v>
      </c>
      <c r="I1065" s="11" t="n">
        <v>45904.5810416667</v>
      </c>
      <c r="J1065" s="9" t="n">
        <v>45904</v>
      </c>
      <c r="K1065" s="0" t="s">
        <v>2123</v>
      </c>
      <c r="L1065" s="0" t="n">
        <v>12</v>
      </c>
      <c r="M1065" s="10" t="n">
        <f aca="false">_xlfn.NUMBERVALUE("" &amp; K1065 &amp; "",".",",")</f>
        <v>0.971533228333333</v>
      </c>
      <c r="N1065" s="10"/>
      <c r="O1065" s="0" t="str">
        <f aca="false">VLOOKUP(C1065,statusdetails!$A:$D,4,0)</f>
        <v>STANDBY</v>
      </c>
      <c r="P1065" s="0" t="str">
        <f aca="false">VLOOKUP(F1065,equipment!$A:$E,4,0)</f>
        <v>CM04</v>
      </c>
      <c r="Q1065" s="0" t="str">
        <f aca="false">VLOOKUP(F1065,equipment!$A:$E,5,0)</f>
        <v>CM04 - 87</v>
      </c>
    </row>
    <row r="1066" customFormat="false" ht="12.8" hidden="true" customHeight="false" outlineLevel="0" collapsed="false">
      <c r="A1066" s="0" t="n">
        <v>467210</v>
      </c>
      <c r="B1066" s="0" t="n">
        <v>467210</v>
      </c>
      <c r="C1066" s="0" t="n">
        <v>4</v>
      </c>
      <c r="D1066" s="0" t="n">
        <v>16</v>
      </c>
      <c r="E1066" s="0" t="n">
        <v>2463</v>
      </c>
      <c r="F1066" s="0" t="n">
        <v>89</v>
      </c>
      <c r="G1066" s="0" t="n">
        <v>153</v>
      </c>
      <c r="H1066" s="0" t="s">
        <v>2048</v>
      </c>
      <c r="I1066" s="0" t="s">
        <v>2124</v>
      </c>
      <c r="J1066" s="9" t="n">
        <v>45904</v>
      </c>
      <c r="K1066" s="0" t="s">
        <v>2125</v>
      </c>
      <c r="L1066" s="0" t="n">
        <v>12</v>
      </c>
      <c r="M1066" s="10" t="n">
        <f aca="false">_xlfn.NUMBERVALUE("" &amp; K1066 &amp; "",".",",")</f>
        <v>2.45221396833333</v>
      </c>
      <c r="N1066" s="10"/>
      <c r="O1066" s="0" t="str">
        <f aca="false">VLOOKUP(C1066,statusdetails!$A:$D,4,0)</f>
        <v>MAINT</v>
      </c>
    </row>
    <row r="1067" customFormat="false" ht="12.8" hidden="true" customHeight="false" outlineLevel="0" collapsed="false">
      <c r="A1067" s="0" t="n">
        <v>467211</v>
      </c>
      <c r="B1067" s="0" t="n">
        <v>467211</v>
      </c>
      <c r="C1067" s="0" t="n">
        <v>3</v>
      </c>
      <c r="D1067" s="0" t="n">
        <v>14</v>
      </c>
      <c r="E1067" s="0" t="n">
        <v>1142</v>
      </c>
      <c r="F1067" s="0" t="n">
        <v>66</v>
      </c>
      <c r="G1067" s="0" t="n">
        <v>45</v>
      </c>
      <c r="H1067" s="0" t="s">
        <v>2039</v>
      </c>
      <c r="I1067" s="0" t="s">
        <v>2126</v>
      </c>
      <c r="J1067" s="9" t="n">
        <v>45904</v>
      </c>
      <c r="K1067" s="0" t="s">
        <v>2127</v>
      </c>
      <c r="L1067" s="0" t="n">
        <v>13</v>
      </c>
      <c r="M1067" s="10" t="n">
        <f aca="false">_xlfn.NUMBERVALUE("" &amp; K1067 &amp; "",".",",")</f>
        <v>1.48872196305556</v>
      </c>
      <c r="N1067" s="10"/>
      <c r="O1067" s="0" t="str">
        <f aca="false">VLOOKUP(C1067,statusdetails!$A:$D,4,0)</f>
        <v>STANDBY</v>
      </c>
      <c r="P1067" s="0" t="str">
        <f aca="false">VLOOKUP(F1067,equipment!$A:$E,4,0)</f>
        <v>CM407</v>
      </c>
      <c r="Q1067" s="0" t="str">
        <f aca="false">VLOOKUP(F1067,equipment!$A:$E,5,0)</f>
        <v>CM407 - 66</v>
      </c>
    </row>
    <row r="1068" customFormat="false" ht="12.8" hidden="true" customHeight="false" outlineLevel="0" collapsed="false">
      <c r="A1068" s="0" t="n">
        <v>467212</v>
      </c>
      <c r="B1068" s="0" t="n">
        <v>467212</v>
      </c>
      <c r="C1068" s="0" t="n">
        <v>3</v>
      </c>
      <c r="D1068" s="0" t="n">
        <v>14</v>
      </c>
      <c r="E1068" s="0" t="n">
        <v>1142</v>
      </c>
      <c r="F1068" s="0" t="n">
        <v>33</v>
      </c>
      <c r="G1068" s="0" t="n">
        <v>23</v>
      </c>
      <c r="H1068" s="0" t="s">
        <v>2066</v>
      </c>
      <c r="I1068" s="0" t="s">
        <v>2128</v>
      </c>
      <c r="J1068" s="9" t="n">
        <v>45904</v>
      </c>
      <c r="K1068" s="0" t="s">
        <v>2129</v>
      </c>
      <c r="L1068" s="0" t="n">
        <v>13</v>
      </c>
      <c r="M1068" s="10" t="n">
        <f aca="false">_xlfn.NUMBERVALUE("" &amp; K1068 &amp; "",".",",")</f>
        <v>1.46140472361111</v>
      </c>
      <c r="N1068" s="10"/>
      <c r="O1068" s="0" t="str">
        <f aca="false">VLOOKUP(C1068,statusdetails!$A:$D,4,0)</f>
        <v>STANDBY</v>
      </c>
      <c r="P1068" s="0" t="str">
        <f aca="false">VLOOKUP(F1068,equipment!$A:$E,4,0)</f>
        <v>CM406</v>
      </c>
      <c r="Q1068" s="0" t="str">
        <f aca="false">VLOOKUP(F1068,equipment!$A:$E,5,0)</f>
        <v>CM406 - 33</v>
      </c>
    </row>
    <row r="1069" customFormat="false" ht="12.8" hidden="true" customHeight="false" outlineLevel="0" collapsed="false">
      <c r="A1069" s="0" t="n">
        <v>467213</v>
      </c>
      <c r="B1069" s="0" t="n">
        <v>467213</v>
      </c>
      <c r="C1069" s="0" t="n">
        <v>3</v>
      </c>
      <c r="D1069" s="0" t="n">
        <v>14</v>
      </c>
      <c r="E1069" s="0" t="n">
        <v>1142</v>
      </c>
      <c r="F1069" s="0" t="n">
        <v>35</v>
      </c>
      <c r="G1069" s="0" t="n">
        <v>15</v>
      </c>
      <c r="H1069" s="0" t="s">
        <v>2031</v>
      </c>
      <c r="I1069" s="0" t="s">
        <v>2130</v>
      </c>
      <c r="J1069" s="9" t="n">
        <v>45904</v>
      </c>
      <c r="K1069" s="0" t="s">
        <v>2131</v>
      </c>
      <c r="L1069" s="0" t="n">
        <v>13</v>
      </c>
      <c r="M1069" s="10" t="n">
        <f aca="false">_xlfn.NUMBERVALUE("" &amp; K1069 &amp; "",".",",")</f>
        <v>1.46398853833333</v>
      </c>
      <c r="N1069" s="10"/>
      <c r="O1069" s="0" t="str">
        <f aca="false">VLOOKUP(C1069,statusdetails!$A:$D,4,0)</f>
        <v>STANDBY</v>
      </c>
      <c r="P1069" s="0" t="str">
        <f aca="false">VLOOKUP(F1069,equipment!$A:$E,4,0)</f>
        <v>CM405</v>
      </c>
      <c r="Q1069" s="0" t="str">
        <f aca="false">VLOOKUP(F1069,equipment!$A:$E,5,0)</f>
        <v>CM405 - 35</v>
      </c>
    </row>
    <row r="1070" customFormat="false" ht="12.8" hidden="true" customHeight="false" outlineLevel="0" collapsed="false">
      <c r="A1070" s="0" t="n">
        <v>467214</v>
      </c>
      <c r="B1070" s="0" t="n">
        <v>467214</v>
      </c>
      <c r="C1070" s="0" t="n">
        <v>3</v>
      </c>
      <c r="D1070" s="0" t="n">
        <v>14</v>
      </c>
      <c r="E1070" s="0" t="n">
        <v>2386</v>
      </c>
      <c r="F1070" s="0" t="n">
        <v>82</v>
      </c>
      <c r="G1070" s="0" t="n">
        <v>88</v>
      </c>
      <c r="H1070" s="0" t="s">
        <v>2117</v>
      </c>
      <c r="I1070" s="0" t="s">
        <v>2132</v>
      </c>
      <c r="J1070" s="9" t="n">
        <v>45904</v>
      </c>
      <c r="K1070" s="0" t="s">
        <v>2133</v>
      </c>
      <c r="L1070" s="0" t="n">
        <v>13</v>
      </c>
      <c r="M1070" s="10" t="n">
        <f aca="false">_xlfn.NUMBERVALUE("" &amp; K1070 &amp; "",".",",")</f>
        <v>0.9372300325</v>
      </c>
      <c r="N1070" s="10"/>
      <c r="O1070" s="0" t="str">
        <f aca="false">VLOOKUP(C1070,statusdetails!$A:$D,4,0)</f>
        <v>STANDBY</v>
      </c>
      <c r="P1070" s="0" t="str">
        <f aca="false">VLOOKUP(F1070,equipment!$A:$E,4,0)</f>
        <v>EX502</v>
      </c>
      <c r="Q1070" s="0" t="str">
        <f aca="false">VLOOKUP(F1070,equipment!$A:$E,5,0)</f>
        <v>EX502 - 82</v>
      </c>
    </row>
    <row r="1071" customFormat="false" ht="12.8" hidden="true" customHeight="false" outlineLevel="0" collapsed="false">
      <c r="A1071" s="0" t="n">
        <v>467215</v>
      </c>
      <c r="B1071" s="0" t="n">
        <v>467215</v>
      </c>
      <c r="C1071" s="0" t="n">
        <v>3</v>
      </c>
      <c r="D1071" s="0" t="n">
        <v>12</v>
      </c>
      <c r="E1071" s="0" t="n">
        <v>1175</v>
      </c>
      <c r="F1071" s="0" t="n">
        <v>49</v>
      </c>
      <c r="G1071" s="0" t="n">
        <v>0</v>
      </c>
      <c r="H1071" s="0" t="s">
        <v>2054</v>
      </c>
      <c r="I1071" s="0" t="s">
        <v>2134</v>
      </c>
      <c r="J1071" s="9" t="n">
        <v>45904</v>
      </c>
      <c r="K1071" s="0" t="s">
        <v>2135</v>
      </c>
      <c r="L1071" s="0" t="n">
        <v>13</v>
      </c>
      <c r="M1071" s="10" t="n">
        <f aca="false">_xlfn.NUMBERVALUE("" &amp; K1071 &amp; "",".",",")</f>
        <v>20.6551144697222</v>
      </c>
      <c r="N1071" s="10"/>
      <c r="O1071" s="0" t="str">
        <f aca="false">VLOOKUP(C1071,statusdetails!$A:$D,4,0)</f>
        <v>STANDBY</v>
      </c>
      <c r="P1071" s="0" t="str">
        <f aca="false">VLOOKUP(F1071,equipment!$A:$E,4,0)</f>
        <v>CR702</v>
      </c>
      <c r="Q1071" s="0" t="str">
        <f aca="false">VLOOKUP(F1071,equipment!$A:$E,5,0)</f>
        <v>CR702 - 49</v>
      </c>
    </row>
    <row r="1072" customFormat="false" ht="12.8" hidden="true" customHeight="false" outlineLevel="0" collapsed="false">
      <c r="A1072" s="0" t="n">
        <v>467216</v>
      </c>
      <c r="B1072" s="0" t="n">
        <v>467216</v>
      </c>
      <c r="C1072" s="0" t="n">
        <v>3</v>
      </c>
      <c r="D1072" s="0" t="n">
        <v>14</v>
      </c>
      <c r="E1072" s="0" t="n">
        <v>1143</v>
      </c>
      <c r="F1072" s="0" t="n">
        <v>45</v>
      </c>
      <c r="G1072" s="0" t="n">
        <v>156</v>
      </c>
      <c r="H1072" s="0" t="s">
        <v>2121</v>
      </c>
      <c r="I1072" s="0" t="s">
        <v>2136</v>
      </c>
      <c r="J1072" s="9" t="n">
        <v>45904</v>
      </c>
      <c r="K1072" s="0" t="s">
        <v>2137</v>
      </c>
      <c r="L1072" s="0" t="n">
        <v>13</v>
      </c>
      <c r="M1072" s="10" t="n">
        <f aca="false">_xlfn.NUMBERVALUE("" &amp; K1072 &amp; "",".",",")</f>
        <v>1.19388912472222</v>
      </c>
      <c r="N1072" s="10"/>
      <c r="O1072" s="0" t="str">
        <f aca="false">VLOOKUP(C1072,statusdetails!$A:$D,4,0)</f>
        <v>STANDBY</v>
      </c>
      <c r="P1072" s="0" t="str">
        <f aca="false">VLOOKUP(F1072,equipment!$A:$E,4,0)</f>
        <v>EX501</v>
      </c>
      <c r="Q1072" s="0" t="str">
        <f aca="false">VLOOKUP(F1072,equipment!$A:$E,5,0)</f>
        <v>EX501 - 45</v>
      </c>
    </row>
    <row r="1073" customFormat="false" ht="12.8" hidden="true" customHeight="false" outlineLevel="0" collapsed="false">
      <c r="A1073" s="0" t="n">
        <v>467217</v>
      </c>
      <c r="B1073" s="0" t="n">
        <v>467217</v>
      </c>
      <c r="C1073" s="0" t="n">
        <v>2</v>
      </c>
      <c r="D1073" s="0" t="n">
        <v>7</v>
      </c>
      <c r="E1073" s="0" t="n">
        <v>2064</v>
      </c>
      <c r="F1073" s="0" t="n">
        <v>42</v>
      </c>
      <c r="G1073" s="0" t="n">
        <v>83</v>
      </c>
      <c r="H1073" s="0" t="s">
        <v>2086</v>
      </c>
      <c r="I1073" s="0" t="s">
        <v>2138</v>
      </c>
      <c r="J1073" s="9" t="n">
        <v>45904</v>
      </c>
      <c r="K1073" s="0" t="s">
        <v>2139</v>
      </c>
      <c r="L1073" s="0" t="n">
        <v>13</v>
      </c>
      <c r="M1073" s="3" t="n">
        <f aca="false">_xlfn.NUMBERVALUE("" &amp; K1073 &amp; "",".",",")</f>
        <v>0.144448888888889</v>
      </c>
      <c r="O1073" s="0" t="str">
        <f aca="false">VLOOKUP(C1073,statusdetails!$A:$D,4,0)</f>
        <v>DELAY</v>
      </c>
    </row>
    <row r="1074" customFormat="false" ht="12.8" hidden="true" customHeight="false" outlineLevel="0" collapsed="false">
      <c r="A1074" s="0" t="n">
        <v>467218</v>
      </c>
      <c r="B1074" s="0" t="n">
        <v>467218</v>
      </c>
      <c r="C1074" s="0" t="n">
        <v>3</v>
      </c>
      <c r="D1074" s="0" t="n">
        <v>14</v>
      </c>
      <c r="E1074" s="0" t="n">
        <v>1139</v>
      </c>
      <c r="F1074" s="0" t="n">
        <v>42</v>
      </c>
      <c r="G1074" s="0" t="n">
        <v>83</v>
      </c>
      <c r="H1074" s="0" t="s">
        <v>2138</v>
      </c>
      <c r="I1074" s="0" t="s">
        <v>2140</v>
      </c>
      <c r="J1074" s="9" t="n">
        <v>45904</v>
      </c>
      <c r="K1074" s="0" t="s">
        <v>2141</v>
      </c>
      <c r="L1074" s="0" t="n">
        <v>13</v>
      </c>
      <c r="M1074" s="10" t="n">
        <f aca="false">_xlfn.NUMBERVALUE("" &amp; K1074 &amp; "",".",",")</f>
        <v>0.863853890277778</v>
      </c>
      <c r="N1074" s="10"/>
      <c r="O1074" s="0" t="str">
        <f aca="false">VLOOKUP(C1074,statusdetails!$A:$D,4,0)</f>
        <v>STANDBY</v>
      </c>
      <c r="P1074" s="0" t="str">
        <f aca="false">VLOOKUP(F1074,equipment!$A:$E,4,0)</f>
        <v>PE301</v>
      </c>
      <c r="Q1074" s="0" t="str">
        <f aca="false">VLOOKUP(F1074,equipment!$A:$E,5,0)</f>
        <v>PE301 - 42</v>
      </c>
    </row>
    <row r="1075" customFormat="false" ht="12.8" hidden="true" customHeight="false" outlineLevel="0" collapsed="false">
      <c r="A1075" s="0" t="n">
        <v>467219</v>
      </c>
      <c r="B1075" s="0" t="n">
        <v>467219</v>
      </c>
      <c r="C1075" s="0" t="n">
        <v>2</v>
      </c>
      <c r="D1075" s="0" t="n">
        <v>7</v>
      </c>
      <c r="E1075" s="0" t="n">
        <v>2385</v>
      </c>
      <c r="F1075" s="0" t="n">
        <v>82</v>
      </c>
      <c r="G1075" s="0" t="n">
        <v>88</v>
      </c>
      <c r="H1075" s="0" t="s">
        <v>2132</v>
      </c>
      <c r="I1075" s="0" t="s">
        <v>2142</v>
      </c>
      <c r="J1075" s="9" t="n">
        <v>45904</v>
      </c>
      <c r="K1075" s="0" t="s">
        <v>2143</v>
      </c>
      <c r="L1075" s="0" t="n">
        <v>14</v>
      </c>
      <c r="M1075" s="3" t="n">
        <f aca="false">_xlfn.NUMBERVALUE("" &amp; K1075 &amp; "",".",",")</f>
        <v>0.267912200833333</v>
      </c>
      <c r="O1075" s="0" t="str">
        <f aca="false">VLOOKUP(C1075,statusdetails!$A:$D,4,0)</f>
        <v>DELAY</v>
      </c>
    </row>
    <row r="1076" customFormat="false" ht="12.8" hidden="true" customHeight="false" outlineLevel="0" collapsed="false">
      <c r="A1076" s="0" t="n">
        <v>467220</v>
      </c>
      <c r="B1076" s="0" t="n">
        <v>467220</v>
      </c>
      <c r="C1076" s="0" t="n">
        <v>1</v>
      </c>
      <c r="D1076" s="0" t="n">
        <v>6</v>
      </c>
      <c r="E1076" s="0" t="n">
        <v>372</v>
      </c>
      <c r="F1076" s="0" t="n">
        <v>37</v>
      </c>
      <c r="G1076" s="0" t="n">
        <v>44</v>
      </c>
      <c r="H1076" s="0" t="s">
        <v>2092</v>
      </c>
      <c r="I1076" s="0" t="s">
        <v>2144</v>
      </c>
      <c r="J1076" s="9" t="n">
        <v>45904</v>
      </c>
      <c r="K1076" s="0" t="s">
        <v>2145</v>
      </c>
      <c r="L1076" s="0" t="n">
        <v>14</v>
      </c>
      <c r="M1076" s="10" t="n">
        <f aca="false">_xlfn.NUMBERVALUE("" &amp; K1076 &amp; "",".",",")</f>
        <v>4.55073333333333</v>
      </c>
      <c r="N1076" s="10"/>
      <c r="O1076" s="0" t="str">
        <f aca="false">VLOOKUP(C1076,statusdetails!$A:$D,4,0)</f>
        <v>READY</v>
      </c>
    </row>
    <row r="1077" customFormat="false" ht="12.8" hidden="true" customHeight="false" outlineLevel="0" collapsed="false">
      <c r="A1077" s="0" t="n">
        <v>467221</v>
      </c>
      <c r="B1077" s="0" t="n">
        <v>467221</v>
      </c>
      <c r="C1077" s="0" t="n">
        <v>2</v>
      </c>
      <c r="D1077" s="0" t="n">
        <v>7</v>
      </c>
      <c r="E1077" s="0" t="n">
        <v>2064</v>
      </c>
      <c r="F1077" s="0" t="n">
        <v>42</v>
      </c>
      <c r="G1077" s="0" t="n">
        <v>83</v>
      </c>
      <c r="H1077" s="0" t="s">
        <v>2140</v>
      </c>
      <c r="I1077" s="0" t="s">
        <v>2146</v>
      </c>
      <c r="J1077" s="9" t="n">
        <v>45904</v>
      </c>
      <c r="K1077" s="0" t="s">
        <v>2147</v>
      </c>
      <c r="L1077" s="0" t="n">
        <v>14</v>
      </c>
      <c r="M1077" s="3" t="n">
        <f aca="false">_xlfn.NUMBERVALUE("" &amp; K1077 &amp; "",".",",")</f>
        <v>0.408486943055556</v>
      </c>
      <c r="O1077" s="0" t="str">
        <f aca="false">VLOOKUP(C1077,statusdetails!$A:$D,4,0)</f>
        <v>DELAY</v>
      </c>
    </row>
    <row r="1078" customFormat="false" ht="12.8" hidden="true" customHeight="false" outlineLevel="0" collapsed="false">
      <c r="A1078" s="0" t="n">
        <v>467222</v>
      </c>
      <c r="B1078" s="0" t="n">
        <v>467222</v>
      </c>
      <c r="C1078" s="0" t="n">
        <v>3</v>
      </c>
      <c r="D1078" s="0" t="n">
        <v>12</v>
      </c>
      <c r="E1078" s="0" t="n">
        <v>2445</v>
      </c>
      <c r="F1078" s="0" t="n">
        <v>82</v>
      </c>
      <c r="G1078" s="0" t="n">
        <v>88</v>
      </c>
      <c r="H1078" s="0" t="s">
        <v>2142</v>
      </c>
      <c r="I1078" s="0" t="s">
        <v>2148</v>
      </c>
      <c r="J1078" s="9" t="n">
        <v>45904</v>
      </c>
      <c r="K1078" s="0" t="s">
        <v>2149</v>
      </c>
      <c r="L1078" s="0" t="n">
        <v>14</v>
      </c>
      <c r="M1078" s="10" t="n">
        <f aca="false">_xlfn.NUMBERVALUE("" &amp; K1078 &amp; "",".",",")</f>
        <v>0.457528105833333</v>
      </c>
      <c r="N1078" s="10"/>
      <c r="O1078" s="0" t="str">
        <f aca="false">VLOOKUP(C1078,statusdetails!$A:$D,4,0)</f>
        <v>STANDBY</v>
      </c>
      <c r="P1078" s="0" t="str">
        <f aca="false">VLOOKUP(F1078,equipment!$A:$E,4,0)</f>
        <v>EX502</v>
      </c>
      <c r="Q1078" s="0" t="str">
        <f aca="false">VLOOKUP(F1078,equipment!$A:$E,5,0)</f>
        <v>EX502 - 82</v>
      </c>
    </row>
    <row r="1079" customFormat="false" ht="12.8" hidden="true" customHeight="false" outlineLevel="0" collapsed="false">
      <c r="A1079" s="0" t="n">
        <v>467223</v>
      </c>
      <c r="B1079" s="0" t="n">
        <v>467223</v>
      </c>
      <c r="C1079" s="0" t="n">
        <v>2</v>
      </c>
      <c r="D1079" s="0" t="n">
        <v>7</v>
      </c>
      <c r="E1079" s="0" t="n">
        <v>1024</v>
      </c>
      <c r="F1079" s="0" t="n">
        <v>45</v>
      </c>
      <c r="G1079" s="0" t="n">
        <v>156</v>
      </c>
      <c r="H1079" s="0" t="s">
        <v>2136</v>
      </c>
      <c r="I1079" s="0" t="s">
        <v>2150</v>
      </c>
      <c r="J1079" s="9" t="n">
        <v>45904</v>
      </c>
      <c r="K1079" s="0" t="s">
        <v>2151</v>
      </c>
      <c r="L1079" s="0" t="n">
        <v>14</v>
      </c>
      <c r="M1079" s="3" t="n">
        <f aca="false">_xlfn.NUMBERVALUE("" &amp; K1079 &amp; "",".",",")</f>
        <v>0.224268828055556</v>
      </c>
      <c r="O1079" s="0" t="str">
        <f aca="false">VLOOKUP(C1079,statusdetails!$A:$D,4,0)</f>
        <v>DELAY</v>
      </c>
    </row>
    <row r="1080" customFormat="false" ht="12.8" hidden="true" customHeight="false" outlineLevel="0" collapsed="false">
      <c r="A1080" s="0" t="n">
        <v>467224</v>
      </c>
      <c r="B1080" s="0" t="n">
        <v>467224</v>
      </c>
      <c r="C1080" s="0" t="n">
        <v>1</v>
      </c>
      <c r="D1080" s="0" t="n">
        <v>6</v>
      </c>
      <c r="E1080" s="0" t="n">
        <v>260</v>
      </c>
      <c r="F1080" s="0" t="n">
        <v>33</v>
      </c>
      <c r="G1080" s="0" t="n">
        <v>23</v>
      </c>
      <c r="H1080" s="0" t="s">
        <v>2128</v>
      </c>
      <c r="I1080" s="0" t="s">
        <v>2152</v>
      </c>
      <c r="J1080" s="9" t="n">
        <v>45904</v>
      </c>
      <c r="K1080" s="0" t="s">
        <v>2153</v>
      </c>
      <c r="L1080" s="0" t="n">
        <v>14</v>
      </c>
      <c r="M1080" s="10" t="n">
        <f aca="false">_xlfn.NUMBERVALUE("" &amp; K1080 &amp; "",".",",")</f>
        <v>3.88396214777778</v>
      </c>
      <c r="N1080" s="10"/>
      <c r="O1080" s="0" t="str">
        <f aca="false">VLOOKUP(C1080,statusdetails!$A:$D,4,0)</f>
        <v>READY</v>
      </c>
    </row>
    <row r="1081" customFormat="false" ht="12.8" hidden="true" customHeight="false" outlineLevel="0" collapsed="false">
      <c r="A1081" s="0" t="n">
        <v>467225</v>
      </c>
      <c r="B1081" s="0" t="n">
        <v>467225</v>
      </c>
      <c r="C1081" s="0" t="n">
        <v>1</v>
      </c>
      <c r="D1081" s="0" t="n">
        <v>6</v>
      </c>
      <c r="E1081" s="0" t="n">
        <v>260</v>
      </c>
      <c r="F1081" s="0" t="n">
        <v>66</v>
      </c>
      <c r="G1081" s="0" t="n">
        <v>45</v>
      </c>
      <c r="H1081" s="0" t="s">
        <v>2126</v>
      </c>
      <c r="I1081" s="0" t="s">
        <v>2154</v>
      </c>
      <c r="J1081" s="9" t="n">
        <v>45904</v>
      </c>
      <c r="K1081" s="0" t="s">
        <v>2155</v>
      </c>
      <c r="L1081" s="0" t="n">
        <v>14</v>
      </c>
      <c r="M1081" s="10" t="n">
        <f aca="false">_xlfn.NUMBERVALUE("" &amp; K1081 &amp; "",".",",")</f>
        <v>3.71515471333333</v>
      </c>
      <c r="N1081" s="10"/>
      <c r="O1081" s="0" t="str">
        <f aca="false">VLOOKUP(C1081,statusdetails!$A:$D,4,0)</f>
        <v>READY</v>
      </c>
    </row>
    <row r="1082" customFormat="false" ht="12.8" hidden="true" customHeight="false" outlineLevel="0" collapsed="false">
      <c r="A1082" s="0" t="n">
        <v>467226</v>
      </c>
      <c r="B1082" s="0" t="n">
        <v>467226</v>
      </c>
      <c r="C1082" s="0" t="n">
        <v>1</v>
      </c>
      <c r="D1082" s="0" t="n">
        <v>6</v>
      </c>
      <c r="E1082" s="0" t="n">
        <v>260</v>
      </c>
      <c r="F1082" s="0" t="n">
        <v>35</v>
      </c>
      <c r="G1082" s="0" t="n">
        <v>15</v>
      </c>
      <c r="H1082" s="0" t="s">
        <v>2130</v>
      </c>
      <c r="I1082" s="0" t="s">
        <v>2156</v>
      </c>
      <c r="J1082" s="9" t="n">
        <v>45904</v>
      </c>
      <c r="K1082" s="0" t="s">
        <v>2157</v>
      </c>
      <c r="L1082" s="0" t="n">
        <v>14</v>
      </c>
      <c r="M1082" s="10" t="n">
        <f aca="false">_xlfn.NUMBERVALUE("" &amp; K1082 &amp; "",".",",")</f>
        <v>3.78846486027778</v>
      </c>
      <c r="N1082" s="10"/>
      <c r="O1082" s="0" t="str">
        <f aca="false">VLOOKUP(C1082,statusdetails!$A:$D,4,0)</f>
        <v>READY</v>
      </c>
    </row>
    <row r="1083" customFormat="false" ht="12.8" hidden="true" customHeight="false" outlineLevel="0" collapsed="false">
      <c r="A1083" s="0" t="n">
        <v>467227</v>
      </c>
      <c r="B1083" s="0" t="n">
        <v>467227</v>
      </c>
      <c r="C1083" s="0" t="n">
        <v>1</v>
      </c>
      <c r="D1083" s="0" t="n">
        <v>6</v>
      </c>
      <c r="E1083" s="0" t="n">
        <v>138</v>
      </c>
      <c r="F1083" s="0" t="n">
        <v>45</v>
      </c>
      <c r="G1083" s="0" t="n">
        <v>156</v>
      </c>
      <c r="H1083" s="0" t="s">
        <v>2150</v>
      </c>
      <c r="I1083" s="0" t="s">
        <v>2158</v>
      </c>
      <c r="J1083" s="9" t="n">
        <v>45904</v>
      </c>
      <c r="K1083" s="0" t="s">
        <v>2159</v>
      </c>
      <c r="L1083" s="0" t="n">
        <v>14</v>
      </c>
      <c r="M1083" s="10" t="n">
        <f aca="false">_xlfn.NUMBERVALUE("" &amp; K1083 &amp; "",".",",")</f>
        <v>0.310017644444444</v>
      </c>
      <c r="N1083" s="10"/>
      <c r="O1083" s="0" t="str">
        <f aca="false">VLOOKUP(C1083,statusdetails!$A:$D,4,0)</f>
        <v>READY</v>
      </c>
    </row>
    <row r="1084" customFormat="false" ht="12.8" hidden="true" customHeight="false" outlineLevel="0" collapsed="false">
      <c r="A1084" s="0" t="n">
        <v>467229</v>
      </c>
      <c r="B1084" s="0" t="n">
        <v>467228</v>
      </c>
      <c r="C1084" s="0" t="n">
        <v>4</v>
      </c>
      <c r="D1084" s="0" t="n">
        <v>16</v>
      </c>
      <c r="E1084" s="0" t="n">
        <v>2461</v>
      </c>
      <c r="F1084" s="0" t="n">
        <v>87</v>
      </c>
      <c r="G1084" s="0" t="n">
        <v>154</v>
      </c>
      <c r="H1084" s="11" t="n">
        <v>45904.5810416667</v>
      </c>
      <c r="I1084" s="0" t="s">
        <v>2160</v>
      </c>
      <c r="J1084" s="9" t="n">
        <v>45904</v>
      </c>
      <c r="K1084" s="0" t="s">
        <v>2161</v>
      </c>
      <c r="L1084" s="0" t="n">
        <v>13</v>
      </c>
      <c r="M1084" s="10" t="n">
        <f aca="false">_xlfn.NUMBERVALUE("" &amp; K1084 &amp; "",".",",")</f>
        <v>2.90341531416667</v>
      </c>
      <c r="N1084" s="10"/>
      <c r="O1084" s="0" t="str">
        <f aca="false">VLOOKUP(C1084,statusdetails!$A:$D,4,0)</f>
        <v>MAINT</v>
      </c>
    </row>
    <row r="1085" customFormat="false" ht="12.8" hidden="true" customHeight="false" outlineLevel="0" collapsed="false">
      <c r="A1085" s="0" t="n">
        <v>467230</v>
      </c>
      <c r="B1085" s="0" t="n">
        <v>467230</v>
      </c>
      <c r="C1085" s="0" t="n">
        <v>1</v>
      </c>
      <c r="D1085" s="0" t="n">
        <v>6</v>
      </c>
      <c r="E1085" s="0" t="n">
        <v>811</v>
      </c>
      <c r="F1085" s="0" t="n">
        <v>42</v>
      </c>
      <c r="G1085" s="0" t="n">
        <v>36</v>
      </c>
      <c r="H1085" s="0" t="s">
        <v>2146</v>
      </c>
      <c r="I1085" s="0" t="s">
        <v>2162</v>
      </c>
      <c r="J1085" s="9" t="n">
        <v>45904</v>
      </c>
      <c r="K1085" s="0" t="s">
        <v>2163</v>
      </c>
      <c r="L1085" s="0" t="n">
        <v>14</v>
      </c>
      <c r="M1085" s="10" t="n">
        <f aca="false">_xlfn.NUMBERVALUE("" &amp; K1085 &amp; "",".",",")</f>
        <v>7.03868333333333</v>
      </c>
      <c r="N1085" s="10"/>
      <c r="O1085" s="0" t="str">
        <f aca="false">VLOOKUP(C1085,statusdetails!$A:$D,4,0)</f>
        <v>READY</v>
      </c>
    </row>
    <row r="1086" customFormat="false" ht="12.8" hidden="true" customHeight="false" outlineLevel="0" collapsed="false">
      <c r="A1086" s="0" t="n">
        <v>467231</v>
      </c>
      <c r="B1086" s="0" t="n">
        <v>467231</v>
      </c>
      <c r="C1086" s="0" t="n">
        <v>1</v>
      </c>
      <c r="D1086" s="0" t="n">
        <v>6</v>
      </c>
      <c r="E1086" s="0" t="n">
        <v>2518</v>
      </c>
      <c r="F1086" s="0" t="n">
        <v>82</v>
      </c>
      <c r="G1086" s="0" t="n">
        <v>88</v>
      </c>
      <c r="H1086" s="0" t="s">
        <v>2148</v>
      </c>
      <c r="I1086" s="0" t="s">
        <v>2164</v>
      </c>
      <c r="J1086" s="9" t="n">
        <v>45904</v>
      </c>
      <c r="K1086" s="0" t="s">
        <v>2165</v>
      </c>
      <c r="L1086" s="0" t="n">
        <v>14</v>
      </c>
      <c r="M1086" s="10" t="n">
        <f aca="false">_xlfn.NUMBERVALUE("" &amp; K1086 &amp; "",".",",")</f>
        <v>3.54091450722222</v>
      </c>
      <c r="N1086" s="10"/>
      <c r="O1086" s="0" t="str">
        <f aca="false">VLOOKUP(C1086,statusdetails!$A:$D,4,0)</f>
        <v>READY</v>
      </c>
    </row>
    <row r="1087" customFormat="false" ht="12.8" hidden="true" customHeight="false" outlineLevel="0" collapsed="false">
      <c r="A1087" s="0" t="n">
        <v>467232</v>
      </c>
      <c r="B1087" s="0" t="n">
        <v>467232</v>
      </c>
      <c r="C1087" s="0" t="n">
        <v>1</v>
      </c>
      <c r="D1087" s="0" t="n">
        <v>2303</v>
      </c>
      <c r="E1087" s="0" t="n">
        <v>969</v>
      </c>
      <c r="F1087" s="0" t="n">
        <v>45</v>
      </c>
      <c r="G1087" s="0" t="n">
        <v>156</v>
      </c>
      <c r="H1087" s="0" t="s">
        <v>2158</v>
      </c>
      <c r="I1087" s="0" t="s">
        <v>2166</v>
      </c>
      <c r="J1087" s="9" t="n">
        <v>45904</v>
      </c>
      <c r="K1087" s="0" t="s">
        <v>2167</v>
      </c>
      <c r="L1087" s="0" t="n">
        <v>14</v>
      </c>
      <c r="M1087" s="10" t="n">
        <f aca="false">_xlfn.NUMBERVALUE("" &amp; K1087 &amp; "",".",",")</f>
        <v>0.115848182222222</v>
      </c>
      <c r="N1087" s="10"/>
      <c r="O1087" s="0" t="str">
        <f aca="false">VLOOKUP(C1087,statusdetails!$A:$D,4,0)</f>
        <v>READY</v>
      </c>
    </row>
    <row r="1088" customFormat="false" ht="12.8" hidden="true" customHeight="false" outlineLevel="0" collapsed="false">
      <c r="A1088" s="0" t="n">
        <v>467233</v>
      </c>
      <c r="B1088" s="0" t="n">
        <v>467233</v>
      </c>
      <c r="C1088" s="0" t="n">
        <v>4</v>
      </c>
      <c r="D1088" s="0" t="n">
        <v>15</v>
      </c>
      <c r="E1088" s="0" t="n">
        <v>2398</v>
      </c>
      <c r="F1088" s="0" t="n">
        <v>96</v>
      </c>
      <c r="G1088" s="0" t="n">
        <v>109</v>
      </c>
      <c r="H1088" s="0" t="s">
        <v>2119</v>
      </c>
      <c r="I1088" s="0" t="s">
        <v>2168</v>
      </c>
      <c r="J1088" s="9" t="n">
        <v>45904</v>
      </c>
      <c r="K1088" s="0" t="s">
        <v>2169</v>
      </c>
      <c r="L1088" s="0" t="n">
        <v>14</v>
      </c>
      <c r="M1088" s="10" t="n">
        <f aca="false">_xlfn.NUMBERVALUE("" &amp; K1088 &amp; "",".",",")</f>
        <v>2.27266427416667</v>
      </c>
      <c r="N1088" s="10"/>
      <c r="O1088" s="0" t="str">
        <f aca="false">VLOOKUP(C1088,statusdetails!$A:$D,4,0)</f>
        <v>MAINT</v>
      </c>
    </row>
    <row r="1089" customFormat="false" ht="12.8" hidden="true" customHeight="false" outlineLevel="0" collapsed="false">
      <c r="A1089" s="0" t="n">
        <v>467234</v>
      </c>
      <c r="B1089" s="0" t="n">
        <v>467234</v>
      </c>
      <c r="C1089" s="0" t="n">
        <v>3</v>
      </c>
      <c r="D1089" s="0" t="n">
        <v>14</v>
      </c>
      <c r="E1089" s="0" t="n">
        <v>2555</v>
      </c>
      <c r="F1089" s="0" t="n">
        <v>86</v>
      </c>
      <c r="G1089" s="0" t="n">
        <v>98</v>
      </c>
      <c r="H1089" s="0" t="s">
        <v>2076</v>
      </c>
      <c r="I1089" s="0" t="s">
        <v>2170</v>
      </c>
      <c r="J1089" s="9" t="n">
        <v>45904</v>
      </c>
      <c r="K1089" s="0" t="s">
        <v>2171</v>
      </c>
      <c r="L1089" s="0" t="n">
        <v>14</v>
      </c>
      <c r="M1089" s="10" t="n">
        <f aca="false">_xlfn.NUMBERVALUE("" &amp; K1089 &amp; "",".",",")</f>
        <v>0.0684494444444445</v>
      </c>
      <c r="N1089" s="10"/>
      <c r="O1089" s="0" t="str">
        <f aca="false">VLOOKUP(C1089,statusdetails!$A:$D,4,0)</f>
        <v>STANDBY</v>
      </c>
      <c r="P1089" s="0" t="str">
        <f aca="false">VLOOKUP(F1089,equipment!$A:$E,4,0)</f>
        <v>CM03</v>
      </c>
      <c r="Q1089" s="0" t="str">
        <f aca="false">VLOOKUP(F1089,equipment!$A:$E,5,0)</f>
        <v>CM03 - 86</v>
      </c>
    </row>
    <row r="1090" customFormat="false" ht="12.8" hidden="true" customHeight="false" outlineLevel="0" collapsed="false">
      <c r="A1090" s="0" t="n">
        <v>467235</v>
      </c>
      <c r="B1090" s="0" t="n">
        <v>467235</v>
      </c>
      <c r="C1090" s="0" t="n">
        <v>1</v>
      </c>
      <c r="D1090" s="0" t="n">
        <v>6</v>
      </c>
      <c r="E1090" s="0" t="n">
        <v>138</v>
      </c>
      <c r="F1090" s="0" t="n">
        <v>45</v>
      </c>
      <c r="G1090" s="0" t="n">
        <v>156</v>
      </c>
      <c r="H1090" s="0" t="s">
        <v>2166</v>
      </c>
      <c r="I1090" s="0" t="s">
        <v>2172</v>
      </c>
      <c r="J1090" s="9" t="n">
        <v>45904</v>
      </c>
      <c r="K1090" s="0" t="s">
        <v>2173</v>
      </c>
      <c r="L1090" s="0" t="n">
        <v>15</v>
      </c>
      <c r="M1090" s="10" t="n">
        <f aca="false">_xlfn.NUMBERVALUE("" &amp; K1090 &amp; "",".",",")</f>
        <v>18.0032152097222</v>
      </c>
      <c r="N1090" s="10"/>
      <c r="O1090" s="0" t="str">
        <f aca="false">VLOOKUP(C1090,statusdetails!$A:$D,4,0)</f>
        <v>READY</v>
      </c>
    </row>
    <row r="1091" customFormat="false" ht="12.8" hidden="true" customHeight="false" outlineLevel="0" collapsed="false">
      <c r="A1091" s="0" t="n">
        <v>467236</v>
      </c>
      <c r="B1091" s="0" t="n">
        <v>467236</v>
      </c>
      <c r="C1091" s="0" t="n">
        <v>1</v>
      </c>
      <c r="D1091" s="0" t="n">
        <v>6</v>
      </c>
      <c r="E1091" s="0" t="n">
        <v>2404</v>
      </c>
      <c r="F1091" s="0" t="n">
        <v>86</v>
      </c>
      <c r="G1091" s="0" t="n">
        <v>98</v>
      </c>
      <c r="H1091" s="0" t="s">
        <v>2170</v>
      </c>
      <c r="I1091" s="0" t="s">
        <v>2174</v>
      </c>
      <c r="J1091" s="9" t="n">
        <v>45904</v>
      </c>
      <c r="K1091" s="0" t="s">
        <v>2175</v>
      </c>
      <c r="L1091" s="0" t="n">
        <v>15</v>
      </c>
      <c r="M1091" s="10" t="n">
        <f aca="false">_xlfn.NUMBERVALUE("" &amp; K1091 &amp; "",".",",")</f>
        <v>3.768705</v>
      </c>
      <c r="N1091" s="10"/>
      <c r="O1091" s="0" t="str">
        <f aca="false">VLOOKUP(C1091,statusdetails!$A:$D,4,0)</f>
        <v>READY</v>
      </c>
    </row>
    <row r="1092" customFormat="false" ht="12.8" hidden="true" customHeight="false" outlineLevel="0" collapsed="false">
      <c r="A1092" s="0" t="n">
        <v>467237</v>
      </c>
      <c r="B1092" s="0" t="n">
        <v>467237</v>
      </c>
      <c r="C1092" s="0" t="n">
        <v>1</v>
      </c>
      <c r="D1092" s="0" t="n">
        <v>6</v>
      </c>
      <c r="E1092" s="0" t="n">
        <v>2404</v>
      </c>
      <c r="F1092" s="0" t="n">
        <v>89</v>
      </c>
      <c r="G1092" s="0" t="n">
        <v>154</v>
      </c>
      <c r="H1092" s="0" t="s">
        <v>2124</v>
      </c>
      <c r="I1092" s="0" t="s">
        <v>2176</v>
      </c>
      <c r="J1092" s="9" t="n">
        <v>45904</v>
      </c>
      <c r="K1092" s="0" t="s">
        <v>2177</v>
      </c>
      <c r="L1092" s="0" t="n">
        <v>15</v>
      </c>
      <c r="M1092" s="10" t="n">
        <f aca="false">_xlfn.NUMBERVALUE("" &amp; K1092 &amp; "",".",",")</f>
        <v>0.328184313888889</v>
      </c>
      <c r="N1092" s="10"/>
      <c r="O1092" s="0" t="str">
        <f aca="false">VLOOKUP(C1092,statusdetails!$A:$D,4,0)</f>
        <v>READY</v>
      </c>
    </row>
    <row r="1093" customFormat="false" ht="12.8" hidden="true" customHeight="false" outlineLevel="0" collapsed="false">
      <c r="A1093" s="0" t="n">
        <v>467238</v>
      </c>
      <c r="B1093" s="0" t="n">
        <v>467238</v>
      </c>
      <c r="C1093" s="0" t="n">
        <v>4</v>
      </c>
      <c r="D1093" s="0" t="n">
        <v>16</v>
      </c>
      <c r="E1093" s="0" t="n">
        <v>2461</v>
      </c>
      <c r="F1093" s="0" t="n">
        <v>89</v>
      </c>
      <c r="G1093" s="0" t="n">
        <v>154</v>
      </c>
      <c r="H1093" s="0" t="s">
        <v>2176</v>
      </c>
      <c r="I1093" s="0" t="s">
        <v>2178</v>
      </c>
      <c r="J1093" s="9" t="n">
        <v>45904</v>
      </c>
      <c r="K1093" s="0" t="s">
        <v>2179</v>
      </c>
      <c r="L1093" s="0" t="n">
        <v>15</v>
      </c>
      <c r="M1093" s="10" t="n">
        <f aca="false">_xlfn.NUMBERVALUE("" &amp; K1093 &amp; "",".",",")</f>
        <v>0.498199211944444</v>
      </c>
      <c r="N1093" s="10"/>
      <c r="O1093" s="0" t="str">
        <f aca="false">VLOOKUP(C1093,statusdetails!$A:$D,4,0)</f>
        <v>MAINT</v>
      </c>
    </row>
    <row r="1094" customFormat="false" ht="12.8" hidden="true" customHeight="false" outlineLevel="0" collapsed="false">
      <c r="A1094" s="0" t="n">
        <v>467239</v>
      </c>
      <c r="B1094" s="0" t="n">
        <v>467239</v>
      </c>
      <c r="C1094" s="0" t="n">
        <v>1</v>
      </c>
      <c r="D1094" s="0" t="n">
        <v>6</v>
      </c>
      <c r="E1094" s="0" t="n">
        <v>811</v>
      </c>
      <c r="F1094" s="0" t="n">
        <v>43</v>
      </c>
      <c r="G1094" s="0" t="n">
        <v>36</v>
      </c>
      <c r="H1094" s="0" t="s">
        <v>1653</v>
      </c>
      <c r="I1094" s="0" t="s">
        <v>2180</v>
      </c>
      <c r="J1094" s="9" t="n">
        <v>45904</v>
      </c>
      <c r="K1094" s="0" t="s">
        <v>2181</v>
      </c>
      <c r="L1094" s="0" t="n">
        <v>15</v>
      </c>
      <c r="M1094" s="10" t="n">
        <f aca="false">_xlfn.NUMBERVALUE("" &amp; K1094 &amp; "",".",",")</f>
        <v>2.055464815</v>
      </c>
      <c r="N1094" s="10"/>
      <c r="O1094" s="0" t="str">
        <f aca="false">VLOOKUP(C1094,statusdetails!$A:$D,4,0)</f>
        <v>READY</v>
      </c>
    </row>
    <row r="1095" customFormat="false" ht="12.8" hidden="true" customHeight="false" outlineLevel="0" collapsed="false">
      <c r="A1095" s="0" t="n">
        <v>467240</v>
      </c>
      <c r="B1095" s="0" t="n">
        <v>467240</v>
      </c>
      <c r="C1095" s="0" t="n">
        <v>1</v>
      </c>
      <c r="D1095" s="0" t="n">
        <v>6</v>
      </c>
      <c r="E1095" s="0" t="n">
        <v>2404</v>
      </c>
      <c r="F1095" s="0" t="n">
        <v>89</v>
      </c>
      <c r="G1095" s="0" t="n">
        <v>154</v>
      </c>
      <c r="H1095" s="0" t="s">
        <v>2178</v>
      </c>
      <c r="I1095" s="0" t="s">
        <v>2182</v>
      </c>
      <c r="J1095" s="9" t="n">
        <v>45904</v>
      </c>
      <c r="K1095" s="0" t="s">
        <v>2183</v>
      </c>
      <c r="L1095" s="0" t="n">
        <v>16</v>
      </c>
      <c r="M1095" s="10" t="n">
        <f aca="false">_xlfn.NUMBERVALUE("" &amp; K1095 &amp; "",".",",")</f>
        <v>1.00537492805556</v>
      </c>
      <c r="N1095" s="10"/>
      <c r="O1095" s="0" t="str">
        <f aca="false">VLOOKUP(C1095,statusdetails!$A:$D,4,0)</f>
        <v>READY</v>
      </c>
    </row>
    <row r="1096" customFormat="false" ht="12.8" hidden="true" customHeight="false" outlineLevel="0" collapsed="false">
      <c r="A1096" s="0" t="n">
        <v>467241</v>
      </c>
      <c r="B1096" s="0" t="n">
        <v>467241</v>
      </c>
      <c r="C1096" s="0" t="n">
        <v>4</v>
      </c>
      <c r="D1096" s="0" t="n">
        <v>16</v>
      </c>
      <c r="E1096" s="0" t="n">
        <v>2463</v>
      </c>
      <c r="F1096" s="0" t="n">
        <v>87</v>
      </c>
      <c r="G1096" s="0" t="n">
        <v>0</v>
      </c>
      <c r="H1096" s="0" t="s">
        <v>2160</v>
      </c>
      <c r="I1096" s="0" t="s">
        <v>2184</v>
      </c>
      <c r="J1096" s="9" t="n">
        <v>45904</v>
      </c>
      <c r="K1096" s="0" t="s">
        <v>2185</v>
      </c>
      <c r="L1096" s="0" t="n">
        <v>16</v>
      </c>
      <c r="M1096" s="10" t="n">
        <f aca="false">_xlfn.NUMBERVALUE("" &amp; K1096 &amp; "",".",",")</f>
        <v>1.26528863166667</v>
      </c>
      <c r="N1096" s="10"/>
      <c r="O1096" s="0" t="str">
        <f aca="false">VLOOKUP(C1096,statusdetails!$A:$D,4,0)</f>
        <v>MAINT</v>
      </c>
    </row>
    <row r="1097" customFormat="false" ht="12.8" hidden="true" customHeight="false" outlineLevel="0" collapsed="false">
      <c r="A1097" s="0" t="n">
        <v>467242</v>
      </c>
      <c r="B1097" s="0" t="n">
        <v>467242</v>
      </c>
      <c r="C1097" s="0" t="n">
        <v>1</v>
      </c>
      <c r="D1097" s="0" t="n">
        <v>6</v>
      </c>
      <c r="E1097" s="0" t="n">
        <v>2524</v>
      </c>
      <c r="F1097" s="0" t="n">
        <v>74</v>
      </c>
      <c r="G1097" s="0" t="n">
        <v>0</v>
      </c>
      <c r="H1097" s="0" t="s">
        <v>2056</v>
      </c>
      <c r="I1097" s="0" t="s">
        <v>2186</v>
      </c>
      <c r="J1097" s="9" t="n">
        <v>45904</v>
      </c>
      <c r="K1097" s="0" t="s">
        <v>2187</v>
      </c>
      <c r="L1097" s="0" t="n">
        <v>17</v>
      </c>
      <c r="M1097" s="10" t="n">
        <f aca="false">_xlfn.NUMBERVALUE("" &amp; K1097 &amp; "",".",",")</f>
        <v>1.78999971861111</v>
      </c>
      <c r="N1097" s="10"/>
      <c r="O1097" s="0" t="str">
        <f aca="false">VLOOKUP(C1097,statusdetails!$A:$D,4,0)</f>
        <v>READY</v>
      </c>
    </row>
    <row r="1098" customFormat="false" ht="12.8" hidden="true" customHeight="false" outlineLevel="0" collapsed="false">
      <c r="A1098" s="0" t="n">
        <v>467243</v>
      </c>
      <c r="B1098" s="0" t="n">
        <v>467243</v>
      </c>
      <c r="C1098" s="0" t="n">
        <v>2</v>
      </c>
      <c r="D1098" s="0" t="n">
        <v>7</v>
      </c>
      <c r="E1098" s="0" t="n">
        <v>2385</v>
      </c>
      <c r="F1098" s="0" t="n">
        <v>96</v>
      </c>
      <c r="G1098" s="0" t="n">
        <v>109</v>
      </c>
      <c r="H1098" s="0" t="s">
        <v>2168</v>
      </c>
      <c r="I1098" s="0" t="s">
        <v>2188</v>
      </c>
      <c r="J1098" s="9" t="n">
        <v>45904</v>
      </c>
      <c r="K1098" s="0" t="s">
        <v>2189</v>
      </c>
      <c r="L1098" s="0" t="n">
        <v>17</v>
      </c>
      <c r="M1098" s="3" t="n">
        <f aca="false">_xlfn.NUMBERVALUE("" &amp; K1098 &amp; "",".",",")</f>
        <v>0.373149236388889</v>
      </c>
      <c r="O1098" s="0" t="str">
        <f aca="false">VLOOKUP(C1098,statusdetails!$A:$D,4,0)</f>
        <v>DELAY</v>
      </c>
    </row>
    <row r="1099" customFormat="false" ht="12.8" hidden="true" customHeight="false" outlineLevel="0" collapsed="false">
      <c r="A1099" s="0" t="n">
        <v>467244</v>
      </c>
      <c r="B1099" s="0" t="n">
        <v>467244</v>
      </c>
      <c r="C1099" s="0" t="n">
        <v>2</v>
      </c>
      <c r="D1099" s="0" t="n">
        <v>9</v>
      </c>
      <c r="E1099" s="0" t="n">
        <v>2515</v>
      </c>
      <c r="F1099" s="0" t="n">
        <v>89</v>
      </c>
      <c r="G1099" s="0" t="n">
        <v>153</v>
      </c>
      <c r="H1099" s="0" t="s">
        <v>2182</v>
      </c>
      <c r="I1099" s="0" t="s">
        <v>2190</v>
      </c>
      <c r="J1099" s="9" t="n">
        <v>45904</v>
      </c>
      <c r="K1099" s="0" t="s">
        <v>2191</v>
      </c>
      <c r="L1099" s="0" t="n">
        <v>17</v>
      </c>
      <c r="M1099" s="3" t="n">
        <f aca="false">_xlfn.NUMBERVALUE("" &amp; K1099 &amp; "",".",",")</f>
        <v>0.0288014608333333</v>
      </c>
      <c r="O1099" s="0" t="str">
        <f aca="false">VLOOKUP(C1099,statusdetails!$A:$D,4,0)</f>
        <v>DELAY</v>
      </c>
    </row>
    <row r="1100" customFormat="false" ht="12.8" hidden="true" customHeight="false" outlineLevel="0" collapsed="false">
      <c r="A1100" s="0" t="n">
        <v>467245</v>
      </c>
      <c r="B1100" s="0" t="n">
        <v>467245</v>
      </c>
      <c r="C1100" s="0" t="n">
        <v>1</v>
      </c>
      <c r="D1100" s="0" t="n">
        <v>6</v>
      </c>
      <c r="E1100" s="0" t="n">
        <v>2404</v>
      </c>
      <c r="F1100" s="0" t="n">
        <v>89</v>
      </c>
      <c r="G1100" s="0" t="n">
        <v>153</v>
      </c>
      <c r="H1100" s="0" t="s">
        <v>2190</v>
      </c>
      <c r="I1100" s="0" t="s">
        <v>2192</v>
      </c>
      <c r="J1100" s="9" t="n">
        <v>45904</v>
      </c>
      <c r="K1100" s="0" t="s">
        <v>2193</v>
      </c>
      <c r="L1100" s="0" t="n">
        <v>17</v>
      </c>
      <c r="M1100" s="10" t="n">
        <f aca="false">_xlfn.NUMBERVALUE("" &amp; K1100 &amp; "",".",",")</f>
        <v>0.105794722222222</v>
      </c>
      <c r="N1100" s="10"/>
      <c r="O1100" s="0" t="str">
        <f aca="false">VLOOKUP(C1100,statusdetails!$A:$D,4,0)</f>
        <v>READY</v>
      </c>
    </row>
    <row r="1101" customFormat="false" ht="12.8" hidden="true" customHeight="false" outlineLevel="0" collapsed="false">
      <c r="A1101" s="0" t="n">
        <v>467246</v>
      </c>
      <c r="B1101" s="0" t="n">
        <v>467246</v>
      </c>
      <c r="C1101" s="0" t="n">
        <v>3</v>
      </c>
      <c r="D1101" s="0" t="n">
        <v>14</v>
      </c>
      <c r="E1101" s="0" t="n">
        <v>2555</v>
      </c>
      <c r="F1101" s="0" t="n">
        <v>89</v>
      </c>
      <c r="G1101" s="0" t="n">
        <v>153</v>
      </c>
      <c r="H1101" s="0" t="s">
        <v>2192</v>
      </c>
      <c r="I1101" s="0" t="s">
        <v>2194</v>
      </c>
      <c r="J1101" s="9" t="n">
        <v>45904</v>
      </c>
      <c r="K1101" s="0" t="s">
        <v>2195</v>
      </c>
      <c r="L1101" s="0" t="n">
        <v>17</v>
      </c>
      <c r="M1101" s="10" t="n">
        <f aca="false">_xlfn.NUMBERVALUE("" &amp; K1101 &amp; "",".",",")</f>
        <v>0.156990277777778</v>
      </c>
      <c r="N1101" s="10"/>
      <c r="O1101" s="0" t="str">
        <f aca="false">VLOOKUP(C1101,statusdetails!$A:$D,4,0)</f>
        <v>STANDBY</v>
      </c>
      <c r="P1101" s="0" t="str">
        <f aca="false">VLOOKUP(F1101,equipment!$A:$E,4,0)</f>
        <v>CM06</v>
      </c>
      <c r="Q1101" s="0" t="str">
        <f aca="false">VLOOKUP(F1101,equipment!$A:$E,5,0)</f>
        <v>CM06 - 89</v>
      </c>
    </row>
    <row r="1102" customFormat="false" ht="12.8" hidden="true" customHeight="false" outlineLevel="0" collapsed="false">
      <c r="A1102" s="0" t="n">
        <v>467247</v>
      </c>
      <c r="B1102" s="0" t="n">
        <v>467247</v>
      </c>
      <c r="C1102" s="0" t="n">
        <v>4</v>
      </c>
      <c r="D1102" s="0" t="n">
        <v>16</v>
      </c>
      <c r="E1102" s="0" t="n">
        <v>2461</v>
      </c>
      <c r="F1102" s="0" t="n">
        <v>85</v>
      </c>
      <c r="G1102" s="0" t="n">
        <v>47</v>
      </c>
      <c r="H1102" s="0" t="s">
        <v>2107</v>
      </c>
      <c r="I1102" s="0" t="s">
        <v>2196</v>
      </c>
      <c r="J1102" s="9" t="n">
        <v>45904</v>
      </c>
      <c r="K1102" s="0" t="s">
        <v>2197</v>
      </c>
      <c r="L1102" s="0" t="n">
        <v>17</v>
      </c>
      <c r="M1102" s="10" t="n">
        <f aca="false">_xlfn.NUMBERVALUE("" &amp; K1102 &amp; "",".",",")</f>
        <v>0.516008475555556</v>
      </c>
      <c r="N1102" s="10"/>
      <c r="O1102" s="0" t="str">
        <f aca="false">VLOOKUP(C1102,statusdetails!$A:$D,4,0)</f>
        <v>MAINT</v>
      </c>
    </row>
    <row r="1103" customFormat="false" ht="12.8" hidden="true" customHeight="false" outlineLevel="0" collapsed="false">
      <c r="A1103" s="0" t="n">
        <v>467248</v>
      </c>
      <c r="B1103" s="0" t="n">
        <v>467248</v>
      </c>
      <c r="C1103" s="0" t="n">
        <v>1</v>
      </c>
      <c r="D1103" s="0" t="n">
        <v>6</v>
      </c>
      <c r="E1103" s="0" t="n">
        <v>2404</v>
      </c>
      <c r="F1103" s="0" t="n">
        <v>89</v>
      </c>
      <c r="G1103" s="0" t="n">
        <v>153</v>
      </c>
      <c r="H1103" s="0" t="s">
        <v>2194</v>
      </c>
      <c r="I1103" s="0" t="s">
        <v>2198</v>
      </c>
      <c r="J1103" s="9" t="n">
        <v>45904</v>
      </c>
      <c r="K1103" s="0" t="s">
        <v>2199</v>
      </c>
      <c r="L1103" s="0" t="n">
        <v>17</v>
      </c>
      <c r="M1103" s="10" t="n">
        <f aca="false">_xlfn.NUMBERVALUE("" &amp; K1103 &amp; "",".",",")</f>
        <v>1.37894745944444</v>
      </c>
      <c r="N1103" s="10"/>
      <c r="O1103" s="0" t="str">
        <f aca="false">VLOOKUP(C1103,statusdetails!$A:$D,4,0)</f>
        <v>READY</v>
      </c>
    </row>
    <row r="1104" customFormat="false" ht="12.8" hidden="true" customHeight="false" outlineLevel="0" collapsed="false">
      <c r="A1104" s="0" t="n">
        <v>467249</v>
      </c>
      <c r="B1104" s="0" t="n">
        <v>467249</v>
      </c>
      <c r="C1104" s="0" t="n">
        <v>1</v>
      </c>
      <c r="D1104" s="0" t="n">
        <v>2303</v>
      </c>
      <c r="E1104" s="0" t="n">
        <v>2517</v>
      </c>
      <c r="F1104" s="0" t="n">
        <v>96</v>
      </c>
      <c r="G1104" s="0" t="n">
        <v>109</v>
      </c>
      <c r="H1104" s="0" t="s">
        <v>2188</v>
      </c>
      <c r="I1104" s="11" t="n">
        <v>45904.7605902778</v>
      </c>
      <c r="J1104" s="9" t="n">
        <v>45904</v>
      </c>
      <c r="K1104" s="0" t="s">
        <v>2200</v>
      </c>
      <c r="L1104" s="0" t="n">
        <v>17</v>
      </c>
      <c r="M1104" s="10" t="n">
        <f aca="false">_xlfn.NUMBERVALUE("" &amp; K1104 &amp; "",".",",")</f>
        <v>0.6493097775</v>
      </c>
      <c r="N1104" s="10"/>
      <c r="O1104" s="0" t="str">
        <f aca="false">VLOOKUP(C1104,statusdetails!$A:$D,4,0)</f>
        <v>READY</v>
      </c>
    </row>
    <row r="1105" customFormat="false" ht="12.8" hidden="true" customHeight="false" outlineLevel="0" collapsed="false">
      <c r="A1105" s="0" t="n">
        <v>467250</v>
      </c>
      <c r="B1105" s="0" t="n">
        <v>467250</v>
      </c>
      <c r="C1105" s="0" t="n">
        <v>1</v>
      </c>
      <c r="D1105" s="0" t="n">
        <v>6</v>
      </c>
      <c r="E1105" s="0" t="n">
        <v>260</v>
      </c>
      <c r="F1105" s="0" t="n">
        <v>32</v>
      </c>
      <c r="G1105" s="0" t="n">
        <v>47</v>
      </c>
      <c r="H1105" s="0" t="s">
        <v>2101</v>
      </c>
      <c r="I1105" s="0" t="s">
        <v>2201</v>
      </c>
      <c r="J1105" s="9" t="n">
        <v>45904</v>
      </c>
      <c r="K1105" s="0" t="s">
        <v>2202</v>
      </c>
      <c r="L1105" s="0" t="n">
        <v>17</v>
      </c>
      <c r="M1105" s="10" t="n">
        <f aca="false">_xlfn.NUMBERVALUE("" &amp; K1105 &amp; "",".",",")</f>
        <v>0.621085</v>
      </c>
      <c r="N1105" s="10"/>
      <c r="O1105" s="0" t="str">
        <f aca="false">VLOOKUP(C1105,statusdetails!$A:$D,4,0)</f>
        <v>READY</v>
      </c>
    </row>
    <row r="1106" customFormat="false" ht="12.8" hidden="true" customHeight="false" outlineLevel="0" collapsed="false">
      <c r="A1106" s="0" t="n">
        <v>467251</v>
      </c>
      <c r="B1106" s="0" t="n">
        <v>467251</v>
      </c>
      <c r="C1106" s="0" t="n">
        <v>4</v>
      </c>
      <c r="D1106" s="0" t="n">
        <v>16</v>
      </c>
      <c r="E1106" s="0" t="n">
        <v>922</v>
      </c>
      <c r="F1106" s="0" t="n">
        <v>43</v>
      </c>
      <c r="G1106" s="0" t="n">
        <v>36</v>
      </c>
      <c r="H1106" s="0" t="s">
        <v>2180</v>
      </c>
      <c r="I1106" s="0" t="s">
        <v>2203</v>
      </c>
      <c r="J1106" s="9" t="n">
        <v>45904</v>
      </c>
      <c r="K1106" s="0" t="s">
        <v>2204</v>
      </c>
      <c r="L1106" s="0" t="n">
        <v>17</v>
      </c>
      <c r="M1106" s="10" t="n">
        <f aca="false">_xlfn.NUMBERVALUE("" &amp; K1106 &amp; "",".",",")</f>
        <v>0.0952314852777778</v>
      </c>
      <c r="N1106" s="10"/>
      <c r="O1106" s="0" t="str">
        <f aca="false">VLOOKUP(C1106,statusdetails!$A:$D,4,0)</f>
        <v>MAINT</v>
      </c>
    </row>
    <row r="1107" customFormat="false" ht="12.8" hidden="true" customHeight="false" outlineLevel="0" collapsed="false">
      <c r="A1107" s="0" t="n">
        <v>467252</v>
      </c>
      <c r="B1107" s="0" t="n">
        <v>467252</v>
      </c>
      <c r="C1107" s="0" t="n">
        <v>1</v>
      </c>
      <c r="D1107" s="0" t="n">
        <v>6</v>
      </c>
      <c r="E1107" s="0" t="n">
        <v>2404</v>
      </c>
      <c r="F1107" s="0" t="n">
        <v>85</v>
      </c>
      <c r="G1107" s="0" t="n">
        <v>152</v>
      </c>
      <c r="H1107" s="0" t="s">
        <v>2196</v>
      </c>
      <c r="I1107" s="0" t="s">
        <v>2205</v>
      </c>
      <c r="J1107" s="9" t="n">
        <v>45904</v>
      </c>
      <c r="K1107" s="0" t="s">
        <v>2206</v>
      </c>
      <c r="L1107" s="0" t="n">
        <v>18</v>
      </c>
      <c r="M1107" s="10" t="n">
        <f aca="false">_xlfn.NUMBERVALUE("" &amp; K1107 &amp; "",".",",")</f>
        <v>0.334668191111111</v>
      </c>
      <c r="N1107" s="10"/>
      <c r="O1107" s="0" t="str">
        <f aca="false">VLOOKUP(C1107,statusdetails!$A:$D,4,0)</f>
        <v>READY</v>
      </c>
    </row>
    <row r="1108" customFormat="false" ht="12.8" hidden="true" customHeight="false" outlineLevel="0" collapsed="false">
      <c r="A1108" s="0" t="n">
        <v>467253</v>
      </c>
      <c r="B1108" s="0" t="n">
        <v>467253</v>
      </c>
      <c r="C1108" s="0" t="n">
        <v>1</v>
      </c>
      <c r="D1108" s="0" t="n">
        <v>6</v>
      </c>
      <c r="E1108" s="0" t="n">
        <v>811</v>
      </c>
      <c r="F1108" s="0" t="n">
        <v>43</v>
      </c>
      <c r="G1108" s="0" t="n">
        <v>36</v>
      </c>
      <c r="H1108" s="0" t="s">
        <v>2203</v>
      </c>
      <c r="I1108" s="0" t="s">
        <v>2207</v>
      </c>
      <c r="J1108" s="9" t="n">
        <v>45904</v>
      </c>
      <c r="K1108" s="0" t="s">
        <v>2208</v>
      </c>
      <c r="L1108" s="0" t="n">
        <v>18</v>
      </c>
      <c r="M1108" s="10" t="n">
        <f aca="false">_xlfn.NUMBERVALUE("" &amp; K1108 &amp; "",".",",")</f>
        <v>0.804302975277778</v>
      </c>
      <c r="N1108" s="10"/>
      <c r="O1108" s="0" t="str">
        <f aca="false">VLOOKUP(C1108,statusdetails!$A:$D,4,0)</f>
        <v>READY</v>
      </c>
    </row>
    <row r="1109" customFormat="false" ht="12.8" hidden="true" customHeight="false" outlineLevel="0" collapsed="false">
      <c r="A1109" s="0" t="n">
        <v>467254</v>
      </c>
      <c r="B1109" s="0" t="n">
        <v>467254</v>
      </c>
      <c r="C1109" s="0" t="n">
        <v>1</v>
      </c>
      <c r="D1109" s="0" t="n">
        <v>6</v>
      </c>
      <c r="E1109" s="0" t="n">
        <v>2404</v>
      </c>
      <c r="F1109" s="0" t="n">
        <v>87</v>
      </c>
      <c r="G1109" s="0" t="n">
        <v>0</v>
      </c>
      <c r="H1109" s="0" t="s">
        <v>2184</v>
      </c>
      <c r="I1109" s="0" t="s">
        <v>2209</v>
      </c>
      <c r="J1109" s="9" t="n">
        <v>45904</v>
      </c>
      <c r="K1109" s="0" t="s">
        <v>2210</v>
      </c>
      <c r="L1109" s="0" t="n">
        <v>18</v>
      </c>
      <c r="M1109" s="10" t="n">
        <f aca="false">_xlfn.NUMBERVALUE("" &amp; K1109 &amp; "",".",",")</f>
        <v>9.11135523583333</v>
      </c>
      <c r="N1109" s="10"/>
      <c r="O1109" s="0" t="str">
        <f aca="false">VLOOKUP(C1109,statusdetails!$A:$D,4,0)</f>
        <v>READY</v>
      </c>
    </row>
    <row r="1110" customFormat="false" ht="12.8" hidden="true" customHeight="false" outlineLevel="0" collapsed="false">
      <c r="A1110" s="0" t="n">
        <v>467255</v>
      </c>
      <c r="B1110" s="0" t="n">
        <v>467255</v>
      </c>
      <c r="C1110" s="0" t="n">
        <v>3</v>
      </c>
      <c r="D1110" s="0" t="n">
        <v>12</v>
      </c>
      <c r="E1110" s="0" t="n">
        <v>2094</v>
      </c>
      <c r="F1110" s="0" t="n">
        <v>66</v>
      </c>
      <c r="G1110" s="0" t="n">
        <v>45</v>
      </c>
      <c r="H1110" s="0" t="s">
        <v>2154</v>
      </c>
      <c r="I1110" s="0" t="s">
        <v>2211</v>
      </c>
      <c r="J1110" s="9" t="n">
        <v>45904</v>
      </c>
      <c r="K1110" s="0" t="s">
        <v>2212</v>
      </c>
      <c r="L1110" s="0" t="n">
        <v>18</v>
      </c>
      <c r="M1110" s="10" t="n">
        <f aca="false">_xlfn.NUMBERVALUE("" &amp; K1110 &amp; "",".",",")</f>
        <v>0.216713028055556</v>
      </c>
      <c r="N1110" s="10"/>
      <c r="O1110" s="0" t="str">
        <f aca="false">VLOOKUP(C1110,statusdetails!$A:$D,4,0)</f>
        <v>STANDBY</v>
      </c>
      <c r="P1110" s="0" t="str">
        <f aca="false">VLOOKUP(F1110,equipment!$A:$E,4,0)</f>
        <v>CM407</v>
      </c>
      <c r="Q1110" s="0" t="str">
        <f aca="false">VLOOKUP(F1110,equipment!$A:$E,5,0)</f>
        <v>CM407 - 66</v>
      </c>
    </row>
    <row r="1111" customFormat="false" ht="12.8" hidden="true" customHeight="false" outlineLevel="0" collapsed="false">
      <c r="A1111" s="0" t="n">
        <v>467256</v>
      </c>
      <c r="B1111" s="0" t="n">
        <v>467256</v>
      </c>
      <c r="C1111" s="0" t="n">
        <v>3</v>
      </c>
      <c r="D1111" s="0" t="n">
        <v>12</v>
      </c>
      <c r="E1111" s="0" t="n">
        <v>1011</v>
      </c>
      <c r="F1111" s="0" t="n">
        <v>32</v>
      </c>
      <c r="G1111" s="0" t="n">
        <v>47</v>
      </c>
      <c r="H1111" s="0" t="s">
        <v>2201</v>
      </c>
      <c r="I1111" s="0" t="s">
        <v>2213</v>
      </c>
      <c r="J1111" s="9" t="n">
        <v>45904</v>
      </c>
      <c r="K1111" s="0" t="s">
        <v>2214</v>
      </c>
      <c r="L1111" s="0" t="n">
        <v>18</v>
      </c>
      <c r="M1111" s="10" t="n">
        <f aca="false">_xlfn.NUMBERVALUE("" &amp; K1111 &amp; "",".",",")</f>
        <v>0.931630555555556</v>
      </c>
      <c r="N1111" s="10"/>
      <c r="O1111" s="0" t="str">
        <f aca="false">VLOOKUP(C1111,statusdetails!$A:$D,4,0)</f>
        <v>STANDBY</v>
      </c>
      <c r="P1111" s="0" t="str">
        <f aca="false">VLOOKUP(F1111,equipment!$A:$E,4,0)</f>
        <v>CM403</v>
      </c>
      <c r="Q1111" s="0" t="str">
        <f aca="false">VLOOKUP(F1111,equipment!$A:$E,5,0)</f>
        <v>CM403 - 32</v>
      </c>
    </row>
    <row r="1112" customFormat="false" ht="12.8" hidden="true" customHeight="false" outlineLevel="0" collapsed="false">
      <c r="A1112" s="0" t="n">
        <v>467257</v>
      </c>
      <c r="B1112" s="0" t="n">
        <v>467257</v>
      </c>
      <c r="C1112" s="0" t="n">
        <v>4</v>
      </c>
      <c r="D1112" s="0" t="n">
        <v>15</v>
      </c>
      <c r="E1112" s="0" t="n">
        <v>2396</v>
      </c>
      <c r="F1112" s="0" t="n">
        <v>82</v>
      </c>
      <c r="G1112" s="0" t="n">
        <v>0</v>
      </c>
      <c r="H1112" s="0" t="s">
        <v>2164</v>
      </c>
      <c r="I1112" s="0" t="s">
        <v>2215</v>
      </c>
      <c r="J1112" s="9" t="n">
        <v>45904</v>
      </c>
      <c r="K1112" s="0" t="s">
        <v>2216</v>
      </c>
      <c r="L1112" s="0" t="n">
        <v>18</v>
      </c>
      <c r="M1112" s="10" t="n">
        <f aca="false">_xlfn.NUMBERVALUE("" &amp; K1112 &amp; "",".",",")</f>
        <v>0.647611406111111</v>
      </c>
      <c r="N1112" s="10"/>
      <c r="O1112" s="0" t="str">
        <f aca="false">VLOOKUP(C1112,statusdetails!$A:$D,4,0)</f>
        <v>MAINT</v>
      </c>
    </row>
    <row r="1113" customFormat="false" ht="12.8" hidden="true" customHeight="false" outlineLevel="0" collapsed="false">
      <c r="A1113" s="0" t="n">
        <v>467258</v>
      </c>
      <c r="B1113" s="0" t="n">
        <v>467258</v>
      </c>
      <c r="C1113" s="0" t="n">
        <v>2</v>
      </c>
      <c r="D1113" s="0" t="n">
        <v>9</v>
      </c>
      <c r="E1113" s="0" t="n">
        <v>2515</v>
      </c>
      <c r="F1113" s="0" t="n">
        <v>85</v>
      </c>
      <c r="G1113" s="0" t="n">
        <v>152</v>
      </c>
      <c r="H1113" s="0" t="s">
        <v>2205</v>
      </c>
      <c r="I1113" s="0" t="s">
        <v>2217</v>
      </c>
      <c r="J1113" s="9" t="n">
        <v>45904</v>
      </c>
      <c r="K1113" s="0" t="s">
        <v>2218</v>
      </c>
      <c r="L1113" s="0" t="n">
        <v>18</v>
      </c>
      <c r="M1113" s="3" t="n">
        <f aca="false">_xlfn.NUMBERVALUE("" &amp; K1113 &amp; "",".",",")</f>
        <v>0.033745195</v>
      </c>
      <c r="O1113" s="0" t="str">
        <f aca="false">VLOOKUP(C1113,statusdetails!$A:$D,4,0)</f>
        <v>DELAY</v>
      </c>
    </row>
    <row r="1114" customFormat="false" ht="12.8" hidden="true" customHeight="false" outlineLevel="0" collapsed="false">
      <c r="A1114" s="0" t="n">
        <v>467259</v>
      </c>
      <c r="B1114" s="0" t="n">
        <v>467259</v>
      </c>
      <c r="C1114" s="0" t="n">
        <v>3</v>
      </c>
      <c r="D1114" s="0" t="n">
        <v>12</v>
      </c>
      <c r="E1114" s="0" t="n">
        <v>2094</v>
      </c>
      <c r="F1114" s="0" t="n">
        <v>35</v>
      </c>
      <c r="G1114" s="0" t="n">
        <v>15</v>
      </c>
      <c r="H1114" s="0" t="s">
        <v>2156</v>
      </c>
      <c r="I1114" s="0" t="s">
        <v>2219</v>
      </c>
      <c r="J1114" s="9" t="n">
        <v>45904</v>
      </c>
      <c r="K1114" s="0" t="s">
        <v>2220</v>
      </c>
      <c r="L1114" s="0" t="n">
        <v>18</v>
      </c>
      <c r="M1114" s="10" t="n">
        <f aca="false">_xlfn.NUMBERVALUE("" &amp; K1114 &amp; "",".",",")</f>
        <v>0.814334934722222</v>
      </c>
      <c r="N1114" s="10"/>
      <c r="O1114" s="0" t="str">
        <f aca="false">VLOOKUP(C1114,statusdetails!$A:$D,4,0)</f>
        <v>STANDBY</v>
      </c>
      <c r="P1114" s="0" t="str">
        <f aca="false">VLOOKUP(F1114,equipment!$A:$E,4,0)</f>
        <v>CM405</v>
      </c>
      <c r="Q1114" s="0" t="str">
        <f aca="false">VLOOKUP(F1114,equipment!$A:$E,5,0)</f>
        <v>CM405 - 35</v>
      </c>
    </row>
    <row r="1115" customFormat="false" ht="12.8" hidden="true" customHeight="false" outlineLevel="0" collapsed="false">
      <c r="A1115" s="0" t="n">
        <v>467260</v>
      </c>
      <c r="B1115" s="0" t="n">
        <v>467260</v>
      </c>
      <c r="C1115" s="0" t="n">
        <v>1</v>
      </c>
      <c r="D1115" s="0" t="n">
        <v>6</v>
      </c>
      <c r="E1115" s="0" t="n">
        <v>2404</v>
      </c>
      <c r="F1115" s="0" t="n">
        <v>85</v>
      </c>
      <c r="G1115" s="0" t="n">
        <v>152</v>
      </c>
      <c r="H1115" s="0" t="s">
        <v>2217</v>
      </c>
      <c r="I1115" s="0" t="s">
        <v>2221</v>
      </c>
      <c r="J1115" s="9" t="n">
        <v>45904</v>
      </c>
      <c r="K1115" s="0" t="s">
        <v>2222</v>
      </c>
      <c r="L1115" s="0" t="n">
        <v>18</v>
      </c>
      <c r="M1115" s="10" t="n">
        <f aca="false">_xlfn.NUMBERVALUE("" &amp; K1115 &amp; "",".",",")</f>
        <v>0.4595926825</v>
      </c>
      <c r="N1115" s="10"/>
      <c r="O1115" s="0" t="str">
        <f aca="false">VLOOKUP(C1115,statusdetails!$A:$D,4,0)</f>
        <v>READY</v>
      </c>
    </row>
    <row r="1116" customFormat="false" ht="12.8" hidden="true" customHeight="false" outlineLevel="0" collapsed="false">
      <c r="A1116" s="0" t="n">
        <v>467261</v>
      </c>
      <c r="B1116" s="0" t="n">
        <v>467261</v>
      </c>
      <c r="C1116" s="0" t="n">
        <v>3</v>
      </c>
      <c r="D1116" s="0" t="n">
        <v>12</v>
      </c>
      <c r="E1116" s="0" t="n">
        <v>2094</v>
      </c>
      <c r="F1116" s="0" t="n">
        <v>33</v>
      </c>
      <c r="G1116" s="0" t="n">
        <v>23</v>
      </c>
      <c r="H1116" s="0" t="s">
        <v>2152</v>
      </c>
      <c r="I1116" s="0" t="s">
        <v>2223</v>
      </c>
      <c r="J1116" s="9" t="n">
        <v>45904</v>
      </c>
      <c r="K1116" s="0" t="s">
        <v>2224</v>
      </c>
      <c r="L1116" s="0" t="n">
        <v>18</v>
      </c>
      <c r="M1116" s="10" t="n">
        <f aca="false">_xlfn.NUMBERVALUE("" &amp; K1116 &amp; "",".",",")</f>
        <v>0.833387008055556</v>
      </c>
      <c r="N1116" s="10"/>
      <c r="O1116" s="0" t="str">
        <f aca="false">VLOOKUP(C1116,statusdetails!$A:$D,4,0)</f>
        <v>STANDBY</v>
      </c>
      <c r="P1116" s="0" t="str">
        <f aca="false">VLOOKUP(F1116,equipment!$A:$E,4,0)</f>
        <v>CM406</v>
      </c>
      <c r="Q1116" s="0" t="str">
        <f aca="false">VLOOKUP(F1116,equipment!$A:$E,5,0)</f>
        <v>CM406 - 33</v>
      </c>
    </row>
    <row r="1117" customFormat="false" ht="12.8" hidden="true" customHeight="false" outlineLevel="0" collapsed="false">
      <c r="A1117" s="0" t="n">
        <v>467263</v>
      </c>
      <c r="B1117" s="0" t="n">
        <v>467262</v>
      </c>
      <c r="C1117" s="0" t="n">
        <v>3</v>
      </c>
      <c r="D1117" s="0" t="n">
        <v>12</v>
      </c>
      <c r="E1117" s="0" t="n">
        <v>2402</v>
      </c>
      <c r="F1117" s="0" t="n">
        <v>96</v>
      </c>
      <c r="G1117" s="0" t="n">
        <v>109</v>
      </c>
      <c r="H1117" s="11" t="n">
        <v>45904.7605902778</v>
      </c>
      <c r="I1117" s="0" t="s">
        <v>2225</v>
      </c>
      <c r="J1117" s="9" t="n">
        <v>45904</v>
      </c>
      <c r="K1117" s="0" t="s">
        <v>2226</v>
      </c>
      <c r="L1117" s="0" t="n">
        <v>18</v>
      </c>
      <c r="M1117" s="10" t="n">
        <f aca="false">_xlfn.NUMBERVALUE("" &amp; K1117 &amp; "",".",",")</f>
        <v>0.260987384722222</v>
      </c>
      <c r="N1117" s="10"/>
      <c r="O1117" s="0" t="str">
        <f aca="false">VLOOKUP(C1117,statusdetails!$A:$D,4,0)</f>
        <v>STANDBY</v>
      </c>
      <c r="P1117" s="0" t="str">
        <f aca="false">VLOOKUP(F1117,equipment!$A:$E,4,0)</f>
        <v>EX503</v>
      </c>
      <c r="Q1117" s="0" t="str">
        <f aca="false">VLOOKUP(F1117,equipment!$A:$E,5,0)</f>
        <v>EX503 - 96</v>
      </c>
    </row>
    <row r="1118" customFormat="false" ht="12.8" hidden="true" customHeight="false" outlineLevel="0" collapsed="false">
      <c r="A1118" s="0" t="n">
        <v>467264</v>
      </c>
      <c r="B1118" s="0" t="n">
        <v>467264</v>
      </c>
      <c r="C1118" s="0" t="n">
        <v>1</v>
      </c>
      <c r="D1118" s="0" t="n">
        <v>6</v>
      </c>
      <c r="E1118" s="0" t="n">
        <v>260</v>
      </c>
      <c r="F1118" s="0" t="n">
        <v>66</v>
      </c>
      <c r="G1118" s="0" t="n">
        <v>45</v>
      </c>
      <c r="H1118" s="0" t="s">
        <v>2211</v>
      </c>
      <c r="I1118" s="0" t="s">
        <v>2227</v>
      </c>
      <c r="J1118" s="9" t="n">
        <v>45904</v>
      </c>
      <c r="K1118" s="0" t="s">
        <v>2228</v>
      </c>
      <c r="L1118" s="0" t="n">
        <v>18</v>
      </c>
      <c r="M1118" s="10" t="n">
        <f aca="false">_xlfn.NUMBERVALUE("" &amp; K1118 &amp; "",".",",")</f>
        <v>0.0969834194444444</v>
      </c>
      <c r="N1118" s="10"/>
      <c r="O1118" s="0" t="str">
        <f aca="false">VLOOKUP(C1118,statusdetails!$A:$D,4,0)</f>
        <v>READY</v>
      </c>
    </row>
    <row r="1119" customFormat="false" ht="12.8" hidden="true" customHeight="false" outlineLevel="0" collapsed="false">
      <c r="A1119" s="0" t="n">
        <v>467266</v>
      </c>
      <c r="B1119" s="0" t="n">
        <v>467266</v>
      </c>
      <c r="C1119" s="0" t="n">
        <v>1</v>
      </c>
      <c r="D1119" s="0" t="n">
        <v>6</v>
      </c>
      <c r="E1119" s="0" t="n">
        <v>2518</v>
      </c>
      <c r="F1119" s="0" t="n">
        <v>96</v>
      </c>
      <c r="G1119" s="0" t="n">
        <v>109</v>
      </c>
      <c r="H1119" s="0" t="s">
        <v>2225</v>
      </c>
      <c r="I1119" s="0" t="s">
        <v>2229</v>
      </c>
      <c r="J1119" s="9" t="n">
        <v>45904</v>
      </c>
      <c r="K1119" s="0" t="s">
        <v>2230</v>
      </c>
      <c r="L1119" s="0" t="n">
        <v>18</v>
      </c>
      <c r="M1119" s="10" t="n">
        <f aca="false">_xlfn.NUMBERVALUE("" &amp; K1119 &amp; "",".",",")</f>
        <v>0.0988561897222222</v>
      </c>
      <c r="N1119" s="10"/>
      <c r="O1119" s="0" t="str">
        <f aca="false">VLOOKUP(C1119,statusdetails!$A:$D,4,0)</f>
        <v>READY</v>
      </c>
    </row>
    <row r="1120" customFormat="false" ht="12.8" hidden="true" customHeight="false" outlineLevel="0" collapsed="false">
      <c r="A1120" s="0" t="n">
        <v>467267</v>
      </c>
      <c r="B1120" s="0" t="n">
        <v>467267</v>
      </c>
      <c r="C1120" s="0" t="n">
        <v>3</v>
      </c>
      <c r="D1120" s="0" t="n">
        <v>12</v>
      </c>
      <c r="E1120" s="0" t="n">
        <v>2094</v>
      </c>
      <c r="F1120" s="0" t="n">
        <v>66</v>
      </c>
      <c r="G1120" s="0" t="n">
        <v>45</v>
      </c>
      <c r="H1120" s="0" t="s">
        <v>2227</v>
      </c>
      <c r="I1120" s="0" t="s">
        <v>2231</v>
      </c>
      <c r="J1120" s="9" t="n">
        <v>45904</v>
      </c>
      <c r="K1120" s="0" t="s">
        <v>2232</v>
      </c>
      <c r="L1120" s="0" t="n">
        <v>18</v>
      </c>
      <c r="M1120" s="10" t="n">
        <f aca="false">_xlfn.NUMBERVALUE("" &amp; K1120 &amp; "",".",",")</f>
        <v>0.0292667169444444</v>
      </c>
      <c r="N1120" s="10"/>
      <c r="O1120" s="0" t="str">
        <f aca="false">VLOOKUP(C1120,statusdetails!$A:$D,4,0)</f>
        <v>STANDBY</v>
      </c>
      <c r="P1120" s="0" t="str">
        <f aca="false">VLOOKUP(F1120,equipment!$A:$E,4,0)</f>
        <v>CM407</v>
      </c>
      <c r="Q1120" s="0" t="str">
        <f aca="false">VLOOKUP(F1120,equipment!$A:$E,5,0)</f>
        <v>CM407 - 66</v>
      </c>
    </row>
    <row r="1121" customFormat="false" ht="12.8" hidden="true" customHeight="false" outlineLevel="0" collapsed="false">
      <c r="A1121" s="0" t="n">
        <v>467268</v>
      </c>
      <c r="B1121" s="0" t="n">
        <v>467268</v>
      </c>
      <c r="C1121" s="0" t="n">
        <v>3</v>
      </c>
      <c r="D1121" s="0" t="n">
        <v>12</v>
      </c>
      <c r="E1121" s="0" t="n">
        <v>2094</v>
      </c>
      <c r="F1121" s="0" t="n">
        <v>66</v>
      </c>
      <c r="G1121" s="0" t="n">
        <v>45</v>
      </c>
      <c r="H1121" s="0" t="s">
        <v>2231</v>
      </c>
      <c r="I1121" s="0" t="s">
        <v>2233</v>
      </c>
      <c r="J1121" s="9" t="n">
        <v>45904</v>
      </c>
      <c r="K1121" s="0" t="s">
        <v>2234</v>
      </c>
      <c r="L1121" s="0" t="n">
        <v>18</v>
      </c>
      <c r="M1121" s="10" t="n">
        <f aca="false">_xlfn.NUMBERVALUE("" &amp; K1121 &amp; "",".",",")</f>
        <v>3.39395446861111</v>
      </c>
      <c r="N1121" s="10"/>
      <c r="O1121" s="0" t="str">
        <f aca="false">VLOOKUP(C1121,statusdetails!$A:$D,4,0)</f>
        <v>STANDBY</v>
      </c>
      <c r="P1121" s="0" t="str">
        <f aca="false">VLOOKUP(F1121,equipment!$A:$E,4,0)</f>
        <v>CM407</v>
      </c>
      <c r="Q1121" s="0" t="str">
        <f aca="false">VLOOKUP(F1121,equipment!$A:$E,5,0)</f>
        <v>CM407 - 66</v>
      </c>
    </row>
    <row r="1122" customFormat="false" ht="12.8" hidden="true" customHeight="false" outlineLevel="0" collapsed="false">
      <c r="A1122" s="0" t="n">
        <v>467269</v>
      </c>
      <c r="B1122" s="0" t="n">
        <v>467269</v>
      </c>
      <c r="C1122" s="0" t="n">
        <v>3</v>
      </c>
      <c r="D1122" s="0" t="n">
        <v>12</v>
      </c>
      <c r="E1122" s="0" t="n">
        <v>2402</v>
      </c>
      <c r="F1122" s="0" t="n">
        <v>96</v>
      </c>
      <c r="G1122" s="0" t="n">
        <v>109</v>
      </c>
      <c r="H1122" s="0" t="s">
        <v>2229</v>
      </c>
      <c r="I1122" s="11" t="n">
        <v>45904.9200925926</v>
      </c>
      <c r="J1122" s="9" t="n">
        <v>45904</v>
      </c>
      <c r="K1122" s="0" t="s">
        <v>2235</v>
      </c>
      <c r="L1122" s="0" t="n">
        <v>18</v>
      </c>
      <c r="M1122" s="10" t="n">
        <f aca="false">_xlfn.NUMBERVALUE("" &amp; K1122 &amp; "",".",",")</f>
        <v>3.46821198111111</v>
      </c>
      <c r="N1122" s="10"/>
      <c r="O1122" s="0" t="str">
        <f aca="false">VLOOKUP(C1122,statusdetails!$A:$D,4,0)</f>
        <v>STANDBY</v>
      </c>
      <c r="P1122" s="0" t="str">
        <f aca="false">VLOOKUP(F1122,equipment!$A:$E,4,0)</f>
        <v>EX503</v>
      </c>
      <c r="Q1122" s="0" t="str">
        <f aca="false">VLOOKUP(F1122,equipment!$A:$E,5,0)</f>
        <v>EX503 - 96</v>
      </c>
    </row>
    <row r="1123" customFormat="false" ht="12.8" hidden="true" customHeight="false" outlineLevel="0" collapsed="false">
      <c r="A1123" s="0" t="n">
        <v>467270</v>
      </c>
      <c r="B1123" s="0" t="n">
        <v>467270</v>
      </c>
      <c r="C1123" s="0" t="n">
        <v>3</v>
      </c>
      <c r="D1123" s="0" t="n">
        <v>14</v>
      </c>
      <c r="E1123" s="0" t="n">
        <v>1785</v>
      </c>
      <c r="F1123" s="0" t="n">
        <v>37</v>
      </c>
      <c r="G1123" s="0" t="n">
        <v>44</v>
      </c>
      <c r="H1123" s="0" t="s">
        <v>2144</v>
      </c>
      <c r="I1123" s="0" t="s">
        <v>2236</v>
      </c>
      <c r="J1123" s="9" t="n">
        <v>45904</v>
      </c>
      <c r="K1123" s="0" t="s">
        <v>2237</v>
      </c>
      <c r="L1123" s="0" t="n">
        <v>18</v>
      </c>
      <c r="M1123" s="10" t="n">
        <f aca="false">_xlfn.NUMBERVALUE("" &amp; K1123 &amp; "",".",",")</f>
        <v>0.400651973611111</v>
      </c>
      <c r="N1123" s="10"/>
      <c r="O1123" s="0" t="str">
        <f aca="false">VLOOKUP(C1123,statusdetails!$A:$D,4,0)</f>
        <v>STANDBY</v>
      </c>
      <c r="P1123" s="0" t="str">
        <f aca="false">VLOOKUP(F1123,equipment!$A:$E,4,0)</f>
        <v>DZ201</v>
      </c>
      <c r="Q1123" s="0" t="str">
        <f aca="false">VLOOKUP(F1123,equipment!$A:$E,5,0)</f>
        <v>DZ201 - 37</v>
      </c>
    </row>
    <row r="1124" customFormat="false" ht="12.8" hidden="true" customHeight="false" outlineLevel="0" collapsed="false">
      <c r="A1124" s="0" t="n">
        <v>467271</v>
      </c>
      <c r="B1124" s="0" t="n">
        <v>467271</v>
      </c>
      <c r="C1124" s="0" t="n">
        <v>3</v>
      </c>
      <c r="D1124" s="0" t="n">
        <v>14</v>
      </c>
      <c r="E1124" s="0" t="n">
        <v>2406</v>
      </c>
      <c r="F1124" s="0" t="n">
        <v>86</v>
      </c>
      <c r="G1124" s="0" t="n">
        <v>155</v>
      </c>
      <c r="H1124" s="0" t="s">
        <v>2174</v>
      </c>
      <c r="I1124" s="0" t="s">
        <v>2238</v>
      </c>
      <c r="J1124" s="9" t="n">
        <v>45904</v>
      </c>
      <c r="K1124" s="0" t="s">
        <v>2239</v>
      </c>
      <c r="L1124" s="0" t="n">
        <v>18</v>
      </c>
      <c r="M1124" s="10" t="n">
        <f aca="false">_xlfn.NUMBERVALUE("" &amp; K1124 &amp; "",".",",")</f>
        <v>0.122714745833333</v>
      </c>
      <c r="N1124" s="10"/>
      <c r="O1124" s="0" t="str">
        <f aca="false">VLOOKUP(C1124,statusdetails!$A:$D,4,0)</f>
        <v>STANDBY</v>
      </c>
      <c r="P1124" s="0" t="str">
        <f aca="false">VLOOKUP(F1124,equipment!$A:$E,4,0)</f>
        <v>CM03</v>
      </c>
      <c r="Q1124" s="0" t="str">
        <f aca="false">VLOOKUP(F1124,equipment!$A:$E,5,0)</f>
        <v>CM03 - 86</v>
      </c>
    </row>
    <row r="1125" customFormat="false" ht="12.8" hidden="true" customHeight="false" outlineLevel="0" collapsed="false">
      <c r="A1125" s="0" t="n">
        <v>467272</v>
      </c>
      <c r="B1125" s="0" t="n">
        <v>467272</v>
      </c>
      <c r="C1125" s="0" t="n">
        <v>3</v>
      </c>
      <c r="D1125" s="0" t="n">
        <v>12</v>
      </c>
      <c r="E1125" s="0" t="n">
        <v>1012</v>
      </c>
      <c r="F1125" s="0" t="n">
        <v>43</v>
      </c>
      <c r="G1125" s="0" t="n">
        <v>36</v>
      </c>
      <c r="H1125" s="0" t="s">
        <v>2207</v>
      </c>
      <c r="I1125" s="0" t="s">
        <v>2240</v>
      </c>
      <c r="J1125" s="9" t="n">
        <v>45904</v>
      </c>
      <c r="K1125" s="0" t="s">
        <v>2241</v>
      </c>
      <c r="L1125" s="0" t="n">
        <v>18</v>
      </c>
      <c r="M1125" s="10" t="n">
        <f aca="false">_xlfn.NUMBERVALUE("" &amp; K1125 &amp; "",".",",")</f>
        <v>13.8780849972222</v>
      </c>
      <c r="N1125" s="10"/>
      <c r="O1125" s="0" t="str">
        <f aca="false">VLOOKUP(C1125,statusdetails!$A:$D,4,0)</f>
        <v>STANDBY</v>
      </c>
      <c r="P1125" s="0" t="str">
        <f aca="false">VLOOKUP(F1125,equipment!$A:$E,4,0)</f>
        <v>PE302</v>
      </c>
      <c r="Q1125" s="0" t="str">
        <f aca="false">VLOOKUP(F1125,equipment!$A:$E,5,0)</f>
        <v>PE302 - 43</v>
      </c>
    </row>
    <row r="1126" customFormat="false" ht="12.8" hidden="true" customHeight="false" outlineLevel="0" collapsed="false">
      <c r="A1126" s="0" t="n">
        <v>467273</v>
      </c>
      <c r="B1126" s="0" t="n">
        <v>467273</v>
      </c>
      <c r="C1126" s="0" t="n">
        <v>3</v>
      </c>
      <c r="D1126" s="0" t="n">
        <v>14</v>
      </c>
      <c r="E1126" s="0" t="n">
        <v>2406</v>
      </c>
      <c r="F1126" s="0" t="n">
        <v>85</v>
      </c>
      <c r="G1126" s="0" t="n">
        <v>152</v>
      </c>
      <c r="H1126" s="0" t="s">
        <v>2221</v>
      </c>
      <c r="I1126" s="0" t="s">
        <v>2242</v>
      </c>
      <c r="J1126" s="9" t="n">
        <v>45904</v>
      </c>
      <c r="K1126" s="0" t="s">
        <v>2243</v>
      </c>
      <c r="L1126" s="0" t="n">
        <v>18</v>
      </c>
      <c r="M1126" s="10" t="n">
        <f aca="false">_xlfn.NUMBERVALUE("" &amp; K1126 &amp; "",".",",")</f>
        <v>0.0813885113888889</v>
      </c>
      <c r="N1126" s="10"/>
      <c r="O1126" s="0" t="str">
        <f aca="false">VLOOKUP(C1126,statusdetails!$A:$D,4,0)</f>
        <v>STANDBY</v>
      </c>
      <c r="P1126" s="0" t="str">
        <f aca="false">VLOOKUP(F1126,equipment!$A:$E,4,0)</f>
        <v>CM02</v>
      </c>
      <c r="Q1126" s="0" t="str">
        <f aca="false">VLOOKUP(F1126,equipment!$A:$E,5,0)</f>
        <v>CM02 - 85</v>
      </c>
    </row>
    <row r="1127" customFormat="false" ht="12.8" hidden="true" customHeight="false" outlineLevel="0" collapsed="false">
      <c r="A1127" s="0" t="n">
        <v>467274</v>
      </c>
      <c r="B1127" s="0" t="n">
        <v>467274</v>
      </c>
      <c r="C1127" s="0" t="n">
        <v>3</v>
      </c>
      <c r="D1127" s="0" t="n">
        <v>14</v>
      </c>
      <c r="E1127" s="0" t="n">
        <v>2406</v>
      </c>
      <c r="F1127" s="0" t="n">
        <v>84</v>
      </c>
      <c r="G1127" s="0" t="n">
        <v>151</v>
      </c>
      <c r="H1127" s="0" t="s">
        <v>2060</v>
      </c>
      <c r="I1127" s="0" t="s">
        <v>2244</v>
      </c>
      <c r="J1127" s="9" t="n">
        <v>45904</v>
      </c>
      <c r="K1127" s="0" t="s">
        <v>2245</v>
      </c>
      <c r="L1127" s="0" t="n">
        <v>18</v>
      </c>
      <c r="M1127" s="10" t="n">
        <f aca="false">_xlfn.NUMBERVALUE("" &amp; K1127 &amp; "",".",",")</f>
        <v>0.123118055555556</v>
      </c>
      <c r="N1127" s="10"/>
      <c r="O1127" s="0" t="str">
        <f aca="false">VLOOKUP(C1127,statusdetails!$A:$D,4,0)</f>
        <v>STANDBY</v>
      </c>
      <c r="P1127" s="0" t="str">
        <f aca="false">VLOOKUP(F1127,equipment!$A:$E,4,0)</f>
        <v>CM01</v>
      </c>
      <c r="Q1127" s="0" t="str">
        <f aca="false">VLOOKUP(F1127,equipment!$A:$E,5,0)</f>
        <v>CM01 - 84</v>
      </c>
    </row>
    <row r="1128" customFormat="false" ht="12.8" hidden="true" customHeight="false" outlineLevel="0" collapsed="false">
      <c r="A1128" s="0" t="n">
        <v>467275</v>
      </c>
      <c r="B1128" s="0" t="n">
        <v>467275</v>
      </c>
      <c r="C1128" s="0" t="n">
        <v>3</v>
      </c>
      <c r="D1128" s="0" t="n">
        <v>12</v>
      </c>
      <c r="E1128" s="0" t="n">
        <v>2453</v>
      </c>
      <c r="F1128" s="0" t="n">
        <v>60</v>
      </c>
      <c r="G1128" s="0" t="n">
        <v>0</v>
      </c>
      <c r="H1128" s="0" t="s">
        <v>2099</v>
      </c>
      <c r="I1128" s="0" t="s">
        <v>2246</v>
      </c>
      <c r="J1128" s="9" t="n">
        <v>45904</v>
      </c>
      <c r="K1128" s="0" t="s">
        <v>2247</v>
      </c>
      <c r="L1128" s="0" t="n">
        <v>18</v>
      </c>
      <c r="M1128" s="10" t="n">
        <f aca="false">_xlfn.NUMBERVALUE("" &amp; K1128 &amp; "",".",",")</f>
        <v>37.5163416077778</v>
      </c>
      <c r="N1128" s="10"/>
      <c r="O1128" s="0" t="str">
        <f aca="false">VLOOKUP(C1128,statusdetails!$A:$D,4,0)</f>
        <v>STANDBY</v>
      </c>
      <c r="P1128" s="0" t="str">
        <f aca="false">VLOOKUP(F1128,equipment!$A:$E,4,0)</f>
        <v>EX802</v>
      </c>
      <c r="Q1128" s="0" t="str">
        <f aca="false">VLOOKUP(F1128,equipment!$A:$E,5,0)</f>
        <v>EX802 - 60</v>
      </c>
    </row>
    <row r="1129" customFormat="false" ht="12.8" hidden="true" customHeight="false" outlineLevel="0" collapsed="false">
      <c r="A1129" s="0" t="n">
        <v>467276</v>
      </c>
      <c r="B1129" s="0" t="n">
        <v>467276</v>
      </c>
      <c r="C1129" s="0" t="n">
        <v>3</v>
      </c>
      <c r="D1129" s="0" t="n">
        <v>14</v>
      </c>
      <c r="E1129" s="0" t="n">
        <v>1788</v>
      </c>
      <c r="F1129" s="0" t="n">
        <v>41</v>
      </c>
      <c r="G1129" s="0" t="n">
        <v>31</v>
      </c>
      <c r="H1129" s="0" t="s">
        <v>2058</v>
      </c>
      <c r="I1129" s="0" t="s">
        <v>2248</v>
      </c>
      <c r="J1129" s="9" t="n">
        <v>45904</v>
      </c>
      <c r="K1129" s="0" t="s">
        <v>2249</v>
      </c>
      <c r="L1129" s="0" t="n">
        <v>18</v>
      </c>
      <c r="M1129" s="10" t="n">
        <f aca="false">_xlfn.NUMBERVALUE("" &amp; K1129 &amp; "",".",",")</f>
        <v>0.0863562333333333</v>
      </c>
      <c r="N1129" s="10"/>
      <c r="O1129" s="0" t="str">
        <f aca="false">VLOOKUP(C1129,statusdetails!$A:$D,4,0)</f>
        <v>STANDBY</v>
      </c>
      <c r="P1129" s="0" t="str">
        <f aca="false">VLOOKUP(F1129,equipment!$A:$E,4,0)</f>
        <v>MO102</v>
      </c>
      <c r="Q1129" s="0" t="str">
        <f aca="false">VLOOKUP(F1129,equipment!$A:$E,5,0)</f>
        <v>MO102 - 41</v>
      </c>
    </row>
    <row r="1130" customFormat="false" ht="12.8" hidden="true" customHeight="false" outlineLevel="0" collapsed="false">
      <c r="A1130" s="0" t="n">
        <v>467277</v>
      </c>
      <c r="B1130" s="0" t="n">
        <v>467277</v>
      </c>
      <c r="C1130" s="0" t="n">
        <v>3</v>
      </c>
      <c r="D1130" s="0" t="n">
        <v>14</v>
      </c>
      <c r="E1130" s="0" t="n">
        <v>2082</v>
      </c>
      <c r="F1130" s="0" t="n">
        <v>74</v>
      </c>
      <c r="G1130" s="0" t="n">
        <v>0</v>
      </c>
      <c r="H1130" s="0" t="s">
        <v>2186</v>
      </c>
      <c r="I1130" s="0" t="s">
        <v>2250</v>
      </c>
      <c r="J1130" s="9" t="n">
        <v>45904</v>
      </c>
      <c r="K1130" s="0" t="s">
        <v>2251</v>
      </c>
      <c r="L1130" s="0" t="n">
        <v>18</v>
      </c>
      <c r="M1130" s="10" t="n">
        <f aca="false">_xlfn.NUMBERVALUE("" &amp; K1130 &amp; "",".",",")</f>
        <v>0.0991877625</v>
      </c>
      <c r="N1130" s="10"/>
      <c r="O1130" s="0" t="str">
        <f aca="false">VLOOKUP(C1130,statusdetails!$A:$D,4,0)</f>
        <v>STANDBY</v>
      </c>
      <c r="P1130" s="0" t="str">
        <f aca="false">VLOOKUP(F1130,equipment!$A:$E,4,0)</f>
        <v>CR701</v>
      </c>
      <c r="Q1130" s="0" t="str">
        <f aca="false">VLOOKUP(F1130,equipment!$A:$E,5,0)</f>
        <v>CR701 - 74</v>
      </c>
    </row>
    <row r="1131" customFormat="false" ht="12.8" hidden="true" customHeight="false" outlineLevel="0" collapsed="false">
      <c r="A1131" s="0" t="n">
        <v>467278</v>
      </c>
      <c r="B1131" s="0" t="n">
        <v>467278</v>
      </c>
      <c r="C1131" s="0" t="n">
        <v>1</v>
      </c>
      <c r="D1131" s="0" t="n">
        <v>6</v>
      </c>
      <c r="E1131" s="0" t="n">
        <v>2404</v>
      </c>
      <c r="F1131" s="0" t="n">
        <v>85</v>
      </c>
      <c r="G1131" s="0" t="n">
        <v>147</v>
      </c>
      <c r="H1131" s="0" t="s">
        <v>2242</v>
      </c>
      <c r="I1131" s="0" t="s">
        <v>2252</v>
      </c>
      <c r="J1131" s="9" t="n">
        <v>45904</v>
      </c>
      <c r="K1131" s="0" t="s">
        <v>2253</v>
      </c>
      <c r="L1131" s="0" t="n">
        <v>18</v>
      </c>
      <c r="M1131" s="10" t="n">
        <f aca="false">_xlfn.NUMBERVALUE("" &amp; K1131 &amp; "",".",",")</f>
        <v>3.14039083333333</v>
      </c>
      <c r="N1131" s="10"/>
      <c r="O1131" s="0" t="str">
        <f aca="false">VLOOKUP(C1131,statusdetails!$A:$D,4,0)</f>
        <v>READY</v>
      </c>
    </row>
    <row r="1132" customFormat="false" ht="12.8" hidden="true" customHeight="false" outlineLevel="0" collapsed="false">
      <c r="A1132" s="0" t="n">
        <v>467279</v>
      </c>
      <c r="B1132" s="0" t="n">
        <v>467279</v>
      </c>
      <c r="C1132" s="0" t="n">
        <v>3</v>
      </c>
      <c r="D1132" s="0" t="n">
        <v>14</v>
      </c>
      <c r="E1132" s="0" t="n">
        <v>2406</v>
      </c>
      <c r="F1132" s="0" t="n">
        <v>89</v>
      </c>
      <c r="G1132" s="0" t="n">
        <v>153</v>
      </c>
      <c r="H1132" s="0" t="s">
        <v>2198</v>
      </c>
      <c r="I1132" s="0" t="s">
        <v>2254</v>
      </c>
      <c r="J1132" s="9" t="n">
        <v>45904</v>
      </c>
      <c r="K1132" s="0" t="s">
        <v>2255</v>
      </c>
      <c r="L1132" s="0" t="n">
        <v>18</v>
      </c>
      <c r="M1132" s="10" t="n">
        <f aca="false">_xlfn.NUMBERVALUE("" &amp; K1132 &amp; "",".",",")</f>
        <v>0.0207311783333333</v>
      </c>
      <c r="N1132" s="10"/>
      <c r="O1132" s="0" t="str">
        <f aca="false">VLOOKUP(C1132,statusdetails!$A:$D,4,0)</f>
        <v>STANDBY</v>
      </c>
      <c r="P1132" s="0" t="str">
        <f aca="false">VLOOKUP(F1132,equipment!$A:$E,4,0)</f>
        <v>CM06</v>
      </c>
      <c r="Q1132" s="0" t="str">
        <f aca="false">VLOOKUP(F1132,equipment!$A:$E,5,0)</f>
        <v>CM06 - 89</v>
      </c>
    </row>
    <row r="1133" customFormat="false" ht="12.8" hidden="true" customHeight="false" outlineLevel="0" collapsed="false">
      <c r="A1133" s="0" t="n">
        <v>467280</v>
      </c>
      <c r="B1133" s="0" t="n">
        <v>467280</v>
      </c>
      <c r="C1133" s="0" t="n">
        <v>3</v>
      </c>
      <c r="D1133" s="0" t="n">
        <v>14</v>
      </c>
      <c r="E1133" s="0" t="n">
        <v>2406</v>
      </c>
      <c r="F1133" s="0" t="n">
        <v>86</v>
      </c>
      <c r="G1133" s="0" t="n">
        <v>149</v>
      </c>
      <c r="H1133" s="0" t="s">
        <v>2238</v>
      </c>
      <c r="I1133" s="0" t="s">
        <v>2256</v>
      </c>
      <c r="J1133" s="9" t="n">
        <v>45904</v>
      </c>
      <c r="K1133" s="0" t="s">
        <v>2257</v>
      </c>
      <c r="L1133" s="0" t="n">
        <v>18</v>
      </c>
      <c r="M1133" s="10" t="n">
        <f aca="false">_xlfn.NUMBERVALUE("" &amp; K1133 &amp; "",".",",")</f>
        <v>0.0130491430555556</v>
      </c>
      <c r="N1133" s="10"/>
      <c r="O1133" s="0" t="str">
        <f aca="false">VLOOKUP(C1133,statusdetails!$A:$D,4,0)</f>
        <v>STANDBY</v>
      </c>
      <c r="P1133" s="0" t="str">
        <f aca="false">VLOOKUP(F1133,equipment!$A:$E,4,0)</f>
        <v>CM03</v>
      </c>
      <c r="Q1133" s="0" t="str">
        <f aca="false">VLOOKUP(F1133,equipment!$A:$E,5,0)</f>
        <v>CM03 - 86</v>
      </c>
    </row>
    <row r="1134" customFormat="false" ht="12.8" hidden="true" customHeight="false" outlineLevel="0" collapsed="false">
      <c r="A1134" s="0" t="n">
        <v>467281</v>
      </c>
      <c r="B1134" s="0" t="n">
        <v>467281</v>
      </c>
      <c r="C1134" s="0" t="n">
        <v>1</v>
      </c>
      <c r="D1134" s="0" t="n">
        <v>6</v>
      </c>
      <c r="E1134" s="0" t="n">
        <v>2404</v>
      </c>
      <c r="F1134" s="0" t="n">
        <v>86</v>
      </c>
      <c r="G1134" s="0" t="n">
        <v>149</v>
      </c>
      <c r="H1134" s="0" t="s">
        <v>2256</v>
      </c>
      <c r="I1134" s="0" t="s">
        <v>2258</v>
      </c>
      <c r="J1134" s="9" t="n">
        <v>45904</v>
      </c>
      <c r="K1134" s="0" t="s">
        <v>2259</v>
      </c>
      <c r="L1134" s="0" t="n">
        <v>18</v>
      </c>
      <c r="M1134" s="10" t="n">
        <f aca="false">_xlfn.NUMBERVALUE("" &amp; K1134 &amp; "",".",",")</f>
        <v>3.14475027777778</v>
      </c>
      <c r="N1134" s="10"/>
      <c r="O1134" s="0" t="str">
        <f aca="false">VLOOKUP(C1134,statusdetails!$A:$D,4,0)</f>
        <v>READY</v>
      </c>
    </row>
    <row r="1135" customFormat="false" ht="12.8" hidden="true" customHeight="false" outlineLevel="0" collapsed="false">
      <c r="A1135" s="0" t="n">
        <v>467282</v>
      </c>
      <c r="B1135" s="0" t="n">
        <v>467282</v>
      </c>
      <c r="C1135" s="0" t="n">
        <v>1</v>
      </c>
      <c r="D1135" s="0" t="n">
        <v>6</v>
      </c>
      <c r="E1135" s="0" t="n">
        <v>2404</v>
      </c>
      <c r="F1135" s="0" t="n">
        <v>89</v>
      </c>
      <c r="G1135" s="0" t="n">
        <v>150</v>
      </c>
      <c r="H1135" s="0" t="s">
        <v>2254</v>
      </c>
      <c r="I1135" s="0" t="s">
        <v>2260</v>
      </c>
      <c r="J1135" s="9" t="n">
        <v>45904</v>
      </c>
      <c r="K1135" s="0" t="s">
        <v>2261</v>
      </c>
      <c r="L1135" s="0" t="n">
        <v>18</v>
      </c>
      <c r="M1135" s="10" t="n">
        <f aca="false">_xlfn.NUMBERVALUE("" &amp; K1135 &amp; "",".",",")</f>
        <v>3.04045441777778</v>
      </c>
      <c r="N1135" s="10"/>
      <c r="O1135" s="0" t="str">
        <f aca="false">VLOOKUP(C1135,statusdetails!$A:$D,4,0)</f>
        <v>READY</v>
      </c>
    </row>
    <row r="1136" customFormat="false" ht="12.8" hidden="true" customHeight="false" outlineLevel="0" collapsed="false">
      <c r="A1136" s="0" t="n">
        <v>467283</v>
      </c>
      <c r="B1136" s="0" t="n">
        <v>467283</v>
      </c>
      <c r="C1136" s="0" t="n">
        <v>1</v>
      </c>
      <c r="D1136" s="0" t="n">
        <v>6</v>
      </c>
      <c r="E1136" s="0" t="n">
        <v>2404</v>
      </c>
      <c r="F1136" s="0" t="n">
        <v>84</v>
      </c>
      <c r="G1136" s="0" t="n">
        <v>82</v>
      </c>
      <c r="H1136" s="0" t="s">
        <v>2244</v>
      </c>
      <c r="I1136" s="0" t="s">
        <v>2262</v>
      </c>
      <c r="J1136" s="9" t="n">
        <v>45904</v>
      </c>
      <c r="K1136" s="0" t="s">
        <v>2263</v>
      </c>
      <c r="L1136" s="0" t="n">
        <v>18</v>
      </c>
      <c r="M1136" s="10" t="n">
        <f aca="false">_xlfn.NUMBERVALUE("" &amp; K1136 &amp; "",".",",")</f>
        <v>3.12905083333333</v>
      </c>
      <c r="N1136" s="10"/>
      <c r="O1136" s="0" t="str">
        <f aca="false">VLOOKUP(C1136,statusdetails!$A:$D,4,0)</f>
        <v>READY</v>
      </c>
    </row>
    <row r="1137" customFormat="false" ht="12.8" hidden="true" customHeight="false" outlineLevel="0" collapsed="false">
      <c r="A1137" s="0" t="n">
        <v>467284</v>
      </c>
      <c r="B1137" s="0" t="n">
        <v>467284</v>
      </c>
      <c r="C1137" s="0" t="n">
        <v>2</v>
      </c>
      <c r="D1137" s="0" t="n">
        <v>7</v>
      </c>
      <c r="E1137" s="0" t="n">
        <v>2385</v>
      </c>
      <c r="F1137" s="0" t="n">
        <v>82</v>
      </c>
      <c r="G1137" s="0" t="n">
        <v>107</v>
      </c>
      <c r="H1137" s="0" t="s">
        <v>2215</v>
      </c>
      <c r="I1137" s="0" t="s">
        <v>2264</v>
      </c>
      <c r="J1137" s="9" t="n">
        <v>45904</v>
      </c>
      <c r="K1137" s="0" t="s">
        <v>2265</v>
      </c>
      <c r="L1137" s="0" t="n">
        <v>18</v>
      </c>
      <c r="M1137" s="3" t="n">
        <f aca="false">_xlfn.NUMBERVALUE("" &amp; K1137 &amp; "",".",",")</f>
        <v>0.287341051388889</v>
      </c>
      <c r="O1137" s="0" t="str">
        <f aca="false">VLOOKUP(C1137,statusdetails!$A:$D,4,0)</f>
        <v>DELAY</v>
      </c>
    </row>
    <row r="1138" customFormat="false" ht="12.8" hidden="true" customHeight="false" outlineLevel="0" collapsed="false">
      <c r="A1138" s="0" t="n">
        <v>467285</v>
      </c>
      <c r="B1138" s="0" t="n">
        <v>467285</v>
      </c>
      <c r="C1138" s="0" t="n">
        <v>1</v>
      </c>
      <c r="D1138" s="0" t="n">
        <v>6</v>
      </c>
      <c r="E1138" s="0" t="n">
        <v>586</v>
      </c>
      <c r="F1138" s="0" t="n">
        <v>41</v>
      </c>
      <c r="G1138" s="0" t="n">
        <v>31</v>
      </c>
      <c r="H1138" s="0" t="s">
        <v>2248</v>
      </c>
      <c r="I1138" s="0" t="s">
        <v>2266</v>
      </c>
      <c r="J1138" s="9" t="n">
        <v>45904</v>
      </c>
      <c r="K1138" s="0" t="s">
        <v>2267</v>
      </c>
      <c r="L1138" s="0" t="n">
        <v>18</v>
      </c>
      <c r="M1138" s="10" t="n">
        <f aca="false">_xlfn.NUMBERVALUE("" &amp; K1138 &amp; "",".",",")</f>
        <v>5.79669152055556</v>
      </c>
      <c r="N1138" s="10"/>
      <c r="O1138" s="0" t="str">
        <f aca="false">VLOOKUP(C1138,statusdetails!$A:$D,4,0)</f>
        <v>READY</v>
      </c>
    </row>
    <row r="1139" customFormat="false" ht="12.8" hidden="true" customHeight="false" outlineLevel="0" collapsed="false">
      <c r="A1139" s="0" t="n">
        <v>467286</v>
      </c>
      <c r="B1139" s="0" t="n">
        <v>467286</v>
      </c>
      <c r="C1139" s="0" t="n">
        <v>3</v>
      </c>
      <c r="D1139" s="0" t="n">
        <v>12</v>
      </c>
      <c r="E1139" s="0" t="n">
        <v>1175</v>
      </c>
      <c r="F1139" s="0" t="n">
        <v>74</v>
      </c>
      <c r="G1139" s="0" t="n">
        <v>0</v>
      </c>
      <c r="H1139" s="0" t="s">
        <v>2250</v>
      </c>
      <c r="I1139" s="0" t="s">
        <v>2268</v>
      </c>
      <c r="J1139" s="9" t="n">
        <v>45904</v>
      </c>
      <c r="K1139" s="0" t="s">
        <v>2269</v>
      </c>
      <c r="L1139" s="0" t="n">
        <v>19</v>
      </c>
      <c r="M1139" s="10" t="n">
        <f aca="false">_xlfn.NUMBERVALUE("" &amp; K1139 &amp; "",".",",")</f>
        <v>0.764749254444444</v>
      </c>
      <c r="N1139" s="10"/>
      <c r="O1139" s="0" t="str">
        <f aca="false">VLOOKUP(C1139,statusdetails!$A:$D,4,0)</f>
        <v>STANDBY</v>
      </c>
      <c r="P1139" s="0" t="str">
        <f aca="false">VLOOKUP(F1139,equipment!$A:$E,4,0)</f>
        <v>CR701</v>
      </c>
      <c r="Q1139" s="0" t="str">
        <f aca="false">VLOOKUP(F1139,equipment!$A:$E,5,0)</f>
        <v>CR701 - 74</v>
      </c>
    </row>
    <row r="1140" customFormat="false" ht="12.8" hidden="true" customHeight="false" outlineLevel="0" collapsed="false">
      <c r="A1140" s="0" t="n">
        <v>467287</v>
      </c>
      <c r="B1140" s="0" t="n">
        <v>467287</v>
      </c>
      <c r="C1140" s="0" t="n">
        <v>3</v>
      </c>
      <c r="D1140" s="0" t="n">
        <v>12</v>
      </c>
      <c r="E1140" s="0" t="n">
        <v>394</v>
      </c>
      <c r="F1140" s="0" t="n">
        <v>37</v>
      </c>
      <c r="G1140" s="0" t="n">
        <v>44</v>
      </c>
      <c r="H1140" s="0" t="s">
        <v>2236</v>
      </c>
      <c r="I1140" s="0" t="s">
        <v>2270</v>
      </c>
      <c r="J1140" s="9" t="n">
        <v>45904</v>
      </c>
      <c r="K1140" s="0" t="s">
        <v>2271</v>
      </c>
      <c r="L1140" s="0" t="n">
        <v>19</v>
      </c>
      <c r="M1140" s="10" t="n">
        <f aca="false">_xlfn.NUMBERVALUE("" &amp; K1140 &amp; "",".",",")</f>
        <v>0.633651898055556</v>
      </c>
      <c r="N1140" s="10"/>
      <c r="O1140" s="0" t="str">
        <f aca="false">VLOOKUP(C1140,statusdetails!$A:$D,4,0)</f>
        <v>STANDBY</v>
      </c>
      <c r="P1140" s="0" t="str">
        <f aca="false">VLOOKUP(F1140,equipment!$A:$E,4,0)</f>
        <v>DZ201</v>
      </c>
      <c r="Q1140" s="0" t="str">
        <f aca="false">VLOOKUP(F1140,equipment!$A:$E,5,0)</f>
        <v>DZ201 - 37</v>
      </c>
    </row>
    <row r="1141" customFormat="false" ht="12.8" hidden="true" customHeight="false" outlineLevel="0" collapsed="false">
      <c r="A1141" s="0" t="n">
        <v>467288</v>
      </c>
      <c r="B1141" s="0" t="n">
        <v>467288</v>
      </c>
      <c r="C1141" s="0" t="n">
        <v>1</v>
      </c>
      <c r="D1141" s="0" t="n">
        <v>6</v>
      </c>
      <c r="E1141" s="0" t="n">
        <v>260</v>
      </c>
      <c r="F1141" s="0" t="n">
        <v>35</v>
      </c>
      <c r="G1141" s="0" t="n">
        <v>62</v>
      </c>
      <c r="H1141" s="0" t="s">
        <v>2219</v>
      </c>
      <c r="I1141" s="0" t="s">
        <v>2272</v>
      </c>
      <c r="J1141" s="9" t="n">
        <v>45904</v>
      </c>
      <c r="K1141" s="0" t="s">
        <v>2273</v>
      </c>
      <c r="L1141" s="0" t="n">
        <v>19</v>
      </c>
      <c r="M1141" s="10" t="n">
        <f aca="false">_xlfn.NUMBERVALUE("" &amp; K1141 &amp; "",".",",")</f>
        <v>0.0814261958333333</v>
      </c>
      <c r="N1141" s="10"/>
      <c r="O1141" s="0" t="str">
        <f aca="false">VLOOKUP(C1141,statusdetails!$A:$D,4,0)</f>
        <v>READY</v>
      </c>
    </row>
    <row r="1142" customFormat="false" ht="12.8" hidden="true" customHeight="false" outlineLevel="0" collapsed="false">
      <c r="A1142" s="0" t="n">
        <v>467289</v>
      </c>
      <c r="B1142" s="0" t="n">
        <v>467289</v>
      </c>
      <c r="C1142" s="0" t="n">
        <v>4</v>
      </c>
      <c r="D1142" s="0" t="n">
        <v>16</v>
      </c>
      <c r="E1142" s="0" t="n">
        <v>1042</v>
      </c>
      <c r="F1142" s="0" t="n">
        <v>47</v>
      </c>
      <c r="G1142" s="0" t="n">
        <v>103</v>
      </c>
      <c r="H1142" s="0" t="s">
        <v>2070</v>
      </c>
      <c r="I1142" s="0" t="s">
        <v>2274</v>
      </c>
      <c r="J1142" s="9" t="n">
        <v>45904</v>
      </c>
      <c r="K1142" s="0" t="s">
        <v>2275</v>
      </c>
      <c r="L1142" s="0" t="n">
        <v>19</v>
      </c>
      <c r="M1142" s="10" t="n">
        <f aca="false">_xlfn.NUMBERVALUE("" &amp; K1142 &amp; "",".",",")</f>
        <v>3.40147645666667</v>
      </c>
      <c r="N1142" s="10"/>
      <c r="O1142" s="0" t="str">
        <f aca="false">VLOOKUP(C1142,statusdetails!$A:$D,4,0)</f>
        <v>MAINT</v>
      </c>
    </row>
    <row r="1143" customFormat="false" ht="12.8" hidden="true" customHeight="false" outlineLevel="0" collapsed="false">
      <c r="A1143" s="0" t="n">
        <v>467290</v>
      </c>
      <c r="B1143" s="0" t="n">
        <v>467290</v>
      </c>
      <c r="C1143" s="0" t="n">
        <v>1</v>
      </c>
      <c r="D1143" s="0" t="n">
        <v>6</v>
      </c>
      <c r="E1143" s="0" t="n">
        <v>260</v>
      </c>
      <c r="F1143" s="0" t="n">
        <v>32</v>
      </c>
      <c r="G1143" s="0" t="n">
        <v>67</v>
      </c>
      <c r="H1143" s="0" t="s">
        <v>2213</v>
      </c>
      <c r="I1143" s="0" t="s">
        <v>2276</v>
      </c>
      <c r="J1143" s="9" t="n">
        <v>45904</v>
      </c>
      <c r="K1143" s="0" t="s">
        <v>2277</v>
      </c>
      <c r="L1143" s="0" t="n">
        <v>19</v>
      </c>
      <c r="M1143" s="10" t="n">
        <f aca="false">_xlfn.NUMBERVALUE("" &amp; K1143 &amp; "",".",",")</f>
        <v>0.0397294286111111</v>
      </c>
      <c r="N1143" s="10"/>
      <c r="O1143" s="0" t="str">
        <f aca="false">VLOOKUP(C1143,statusdetails!$A:$D,4,0)</f>
        <v>READY</v>
      </c>
    </row>
    <row r="1144" customFormat="false" ht="12.8" hidden="true" customHeight="false" outlineLevel="0" collapsed="false">
      <c r="A1144" s="0" t="n">
        <v>467291</v>
      </c>
      <c r="B1144" s="0" t="n">
        <v>467291</v>
      </c>
      <c r="C1144" s="0" t="n">
        <v>2</v>
      </c>
      <c r="D1144" s="0" t="n">
        <v>7</v>
      </c>
      <c r="E1144" s="0" t="n">
        <v>1026</v>
      </c>
      <c r="F1144" s="0" t="n">
        <v>33</v>
      </c>
      <c r="G1144" s="0" t="n">
        <v>7</v>
      </c>
      <c r="H1144" s="0" t="s">
        <v>2223</v>
      </c>
      <c r="I1144" s="0" t="s">
        <v>2278</v>
      </c>
      <c r="J1144" s="9" t="n">
        <v>45904</v>
      </c>
      <c r="K1144" s="0" t="s">
        <v>2279</v>
      </c>
      <c r="L1144" s="0" t="n">
        <v>19</v>
      </c>
      <c r="M1144" s="3" t="n">
        <f aca="false">_xlfn.NUMBERVALUE("" &amp; K1144 &amp; "",".",",")</f>
        <v>0.0233266277777778</v>
      </c>
      <c r="O1144" s="0" t="str">
        <f aca="false">VLOOKUP(C1144,statusdetails!$A:$D,4,0)</f>
        <v>DELAY</v>
      </c>
    </row>
    <row r="1145" customFormat="false" ht="12.8" hidden="true" customHeight="false" outlineLevel="0" collapsed="false">
      <c r="A1145" s="0" t="n">
        <v>467292</v>
      </c>
      <c r="B1145" s="0" t="n">
        <v>467292</v>
      </c>
      <c r="C1145" s="0" t="n">
        <v>2</v>
      </c>
      <c r="D1145" s="0" t="n">
        <v>7</v>
      </c>
      <c r="E1145" s="0" t="n">
        <v>1026</v>
      </c>
      <c r="F1145" s="0" t="n">
        <v>35</v>
      </c>
      <c r="G1145" s="0" t="n">
        <v>62</v>
      </c>
      <c r="H1145" s="0" t="s">
        <v>2272</v>
      </c>
      <c r="I1145" s="0" t="s">
        <v>2280</v>
      </c>
      <c r="J1145" s="9" t="n">
        <v>45904</v>
      </c>
      <c r="K1145" s="0" t="s">
        <v>2281</v>
      </c>
      <c r="L1145" s="0" t="n">
        <v>19</v>
      </c>
      <c r="M1145" s="3" t="n">
        <f aca="false">_xlfn.NUMBERVALUE("" &amp; K1145 &amp; "",".",",")</f>
        <v>0.113865193055556</v>
      </c>
      <c r="O1145" s="0" t="str">
        <f aca="false">VLOOKUP(C1145,statusdetails!$A:$D,4,0)</f>
        <v>DELAY</v>
      </c>
    </row>
    <row r="1146" customFormat="false" ht="12.8" hidden="true" customHeight="false" outlineLevel="0" collapsed="false">
      <c r="A1146" s="0" t="n">
        <v>467293</v>
      </c>
      <c r="B1146" s="0" t="n">
        <v>467293</v>
      </c>
      <c r="C1146" s="0" t="n">
        <v>2</v>
      </c>
      <c r="D1146" s="0" t="n">
        <v>7</v>
      </c>
      <c r="E1146" s="0" t="n">
        <v>1026</v>
      </c>
      <c r="F1146" s="0" t="n">
        <v>32</v>
      </c>
      <c r="G1146" s="0" t="n">
        <v>67</v>
      </c>
      <c r="H1146" s="0" t="s">
        <v>2276</v>
      </c>
      <c r="I1146" s="0" t="s">
        <v>2282</v>
      </c>
      <c r="J1146" s="9" t="n">
        <v>45904</v>
      </c>
      <c r="K1146" s="0" t="s">
        <v>2283</v>
      </c>
      <c r="L1146" s="0" t="n">
        <v>19</v>
      </c>
      <c r="M1146" s="3" t="n">
        <f aca="false">_xlfn.NUMBERVALUE("" &amp; K1146 &amp; "",".",",")</f>
        <v>0.118179817222222</v>
      </c>
      <c r="O1146" s="0" t="str">
        <f aca="false">VLOOKUP(C1146,statusdetails!$A:$D,4,0)</f>
        <v>DELAY</v>
      </c>
    </row>
    <row r="1147" customFormat="false" ht="12.8" hidden="true" customHeight="false" outlineLevel="0" collapsed="false">
      <c r="A1147" s="0" t="n">
        <v>467294</v>
      </c>
      <c r="B1147" s="0" t="n">
        <v>467294</v>
      </c>
      <c r="C1147" s="0" t="n">
        <v>1</v>
      </c>
      <c r="D1147" s="0" t="n">
        <v>6</v>
      </c>
      <c r="E1147" s="0" t="n">
        <v>2518</v>
      </c>
      <c r="F1147" s="0" t="n">
        <v>82</v>
      </c>
      <c r="G1147" s="0" t="n">
        <v>107</v>
      </c>
      <c r="H1147" s="0" t="s">
        <v>2264</v>
      </c>
      <c r="I1147" s="0" t="s">
        <v>2284</v>
      </c>
      <c r="J1147" s="9" t="n">
        <v>45904</v>
      </c>
      <c r="K1147" s="0" t="s">
        <v>2285</v>
      </c>
      <c r="L1147" s="0" t="n">
        <v>19</v>
      </c>
      <c r="M1147" s="10" t="n">
        <f aca="false">_xlfn.NUMBERVALUE("" &amp; K1147 &amp; "",".",",")</f>
        <v>2.27303217305556</v>
      </c>
      <c r="N1147" s="10"/>
      <c r="O1147" s="0" t="str">
        <f aca="false">VLOOKUP(C1147,statusdetails!$A:$D,4,0)</f>
        <v>READY</v>
      </c>
    </row>
    <row r="1148" customFormat="false" ht="12.8" hidden="true" customHeight="false" outlineLevel="0" collapsed="false">
      <c r="A1148" s="0" t="n">
        <v>467295</v>
      </c>
      <c r="B1148" s="0" t="n">
        <v>467295</v>
      </c>
      <c r="C1148" s="0" t="n">
        <v>1</v>
      </c>
      <c r="D1148" s="0" t="n">
        <v>6</v>
      </c>
      <c r="E1148" s="0" t="n">
        <v>260</v>
      </c>
      <c r="F1148" s="0" t="n">
        <v>33</v>
      </c>
      <c r="G1148" s="0" t="n">
        <v>7</v>
      </c>
      <c r="H1148" s="0" t="s">
        <v>2278</v>
      </c>
      <c r="I1148" s="0" t="s">
        <v>2286</v>
      </c>
      <c r="J1148" s="9" t="n">
        <v>45904</v>
      </c>
      <c r="K1148" s="0" t="s">
        <v>2287</v>
      </c>
      <c r="L1148" s="0" t="n">
        <v>19</v>
      </c>
      <c r="M1148" s="10" t="n">
        <f aca="false">_xlfn.NUMBERVALUE("" &amp; K1148 &amp; "",".",",")</f>
        <v>2.33819399722222</v>
      </c>
      <c r="N1148" s="10"/>
      <c r="O1148" s="0" t="str">
        <f aca="false">VLOOKUP(C1148,statusdetails!$A:$D,4,0)</f>
        <v>READY</v>
      </c>
    </row>
    <row r="1149" customFormat="false" ht="12.8" hidden="true" customHeight="false" outlineLevel="0" collapsed="false">
      <c r="A1149" s="0" t="n">
        <v>467296</v>
      </c>
      <c r="B1149" s="0" t="n">
        <v>467296</v>
      </c>
      <c r="C1149" s="0" t="n">
        <v>1</v>
      </c>
      <c r="D1149" s="0" t="n">
        <v>6</v>
      </c>
      <c r="E1149" s="0" t="n">
        <v>260</v>
      </c>
      <c r="F1149" s="0" t="n">
        <v>35</v>
      </c>
      <c r="G1149" s="0" t="n">
        <v>62</v>
      </c>
      <c r="H1149" s="0" t="s">
        <v>2280</v>
      </c>
      <c r="I1149" s="0" t="s">
        <v>2288</v>
      </c>
      <c r="J1149" s="9" t="n">
        <v>45904</v>
      </c>
      <c r="K1149" s="0" t="s">
        <v>2289</v>
      </c>
      <c r="L1149" s="0" t="n">
        <v>19</v>
      </c>
      <c r="M1149" s="10" t="n">
        <f aca="false">_xlfn.NUMBERVALUE("" &amp; K1149 &amp; "",".",",")</f>
        <v>2.25767388888889</v>
      </c>
      <c r="N1149" s="10"/>
      <c r="O1149" s="0" t="str">
        <f aca="false">VLOOKUP(C1149,statusdetails!$A:$D,4,0)</f>
        <v>READY</v>
      </c>
    </row>
    <row r="1150" customFormat="false" ht="12.8" hidden="true" customHeight="false" outlineLevel="0" collapsed="false">
      <c r="A1150" s="0" t="n">
        <v>467297</v>
      </c>
      <c r="B1150" s="0" t="n">
        <v>467297</v>
      </c>
      <c r="C1150" s="0" t="n">
        <v>1</v>
      </c>
      <c r="D1150" s="0" t="n">
        <v>6</v>
      </c>
      <c r="E1150" s="0" t="n">
        <v>260</v>
      </c>
      <c r="F1150" s="0" t="n">
        <v>32</v>
      </c>
      <c r="G1150" s="0" t="n">
        <v>67</v>
      </c>
      <c r="H1150" s="0" t="s">
        <v>2282</v>
      </c>
      <c r="I1150" s="0" t="s">
        <v>2290</v>
      </c>
      <c r="J1150" s="9" t="n">
        <v>45904</v>
      </c>
      <c r="K1150" s="0" t="s">
        <v>2291</v>
      </c>
      <c r="L1150" s="0" t="n">
        <v>19</v>
      </c>
      <c r="M1150" s="10" t="n">
        <f aca="false">_xlfn.NUMBERVALUE("" &amp; K1150 &amp; "",".",",")</f>
        <v>2.14875880972222</v>
      </c>
      <c r="N1150" s="10"/>
      <c r="O1150" s="0" t="str">
        <f aca="false">VLOOKUP(C1150,statusdetails!$A:$D,4,0)</f>
        <v>READY</v>
      </c>
    </row>
    <row r="1151" customFormat="false" ht="12.8" hidden="true" customHeight="false" outlineLevel="0" collapsed="false">
      <c r="A1151" s="0" t="n">
        <v>467298</v>
      </c>
      <c r="B1151" s="0" t="n">
        <v>467298</v>
      </c>
      <c r="C1151" s="0" t="n">
        <v>1</v>
      </c>
      <c r="D1151" s="0" t="n">
        <v>6</v>
      </c>
      <c r="E1151" s="0" t="n">
        <v>372</v>
      </c>
      <c r="F1151" s="0" t="n">
        <v>37</v>
      </c>
      <c r="G1151" s="0" t="n">
        <v>54</v>
      </c>
      <c r="H1151" s="0" t="s">
        <v>2270</v>
      </c>
      <c r="I1151" s="0" t="s">
        <v>2292</v>
      </c>
      <c r="J1151" s="9" t="n">
        <v>45904</v>
      </c>
      <c r="K1151" s="0" t="s">
        <v>2293</v>
      </c>
      <c r="L1151" s="0" t="n">
        <v>19</v>
      </c>
      <c r="M1151" s="10" t="n">
        <f aca="false">_xlfn.NUMBERVALUE("" &amp; K1151 &amp; "",".",",")</f>
        <v>0.556456428611111</v>
      </c>
      <c r="N1151" s="10"/>
      <c r="O1151" s="0" t="str">
        <f aca="false">VLOOKUP(C1151,statusdetails!$A:$D,4,0)</f>
        <v>READY</v>
      </c>
    </row>
    <row r="1152" customFormat="false" ht="12.8" hidden="true" customHeight="false" outlineLevel="0" collapsed="false">
      <c r="A1152" s="0" t="n">
        <v>467299</v>
      </c>
      <c r="B1152" s="0" t="n">
        <v>467299</v>
      </c>
      <c r="C1152" s="0" t="n">
        <v>1</v>
      </c>
      <c r="D1152" s="0" t="n">
        <v>6</v>
      </c>
      <c r="E1152" s="0" t="n">
        <v>2524</v>
      </c>
      <c r="F1152" s="0" t="n">
        <v>74</v>
      </c>
      <c r="G1152" s="0" t="n">
        <v>0</v>
      </c>
      <c r="H1152" s="0" t="s">
        <v>2268</v>
      </c>
      <c r="I1152" s="0" t="s">
        <v>2294</v>
      </c>
      <c r="J1152" s="9" t="n">
        <v>45904</v>
      </c>
      <c r="K1152" s="0" t="s">
        <v>2295</v>
      </c>
      <c r="L1152" s="0" t="n">
        <v>19</v>
      </c>
      <c r="M1152" s="10" t="n">
        <f aca="false">_xlfn.NUMBERVALUE("" &amp; K1152 &amp; "",".",",")</f>
        <v>5.01852519222222</v>
      </c>
      <c r="N1152" s="10"/>
      <c r="O1152" s="0" t="str">
        <f aca="false">VLOOKUP(C1152,statusdetails!$A:$D,4,0)</f>
        <v>READY</v>
      </c>
    </row>
    <row r="1153" customFormat="false" ht="12.8" hidden="true" customHeight="false" outlineLevel="0" collapsed="false">
      <c r="A1153" s="0" t="n">
        <v>467300</v>
      </c>
      <c r="B1153" s="0" t="n">
        <v>467300</v>
      </c>
      <c r="C1153" s="0" t="n">
        <v>4</v>
      </c>
      <c r="D1153" s="0" t="n">
        <v>16</v>
      </c>
      <c r="E1153" s="0" t="n">
        <v>474</v>
      </c>
      <c r="F1153" s="0" t="n">
        <v>37</v>
      </c>
      <c r="G1153" s="0" t="n">
        <v>54</v>
      </c>
      <c r="H1153" s="0" t="s">
        <v>2292</v>
      </c>
      <c r="I1153" s="0" t="s">
        <v>2296</v>
      </c>
      <c r="J1153" s="9" t="n">
        <v>45904</v>
      </c>
      <c r="K1153" s="0" t="s">
        <v>2297</v>
      </c>
      <c r="L1153" s="0" t="n">
        <v>20</v>
      </c>
      <c r="M1153" s="10" t="n">
        <f aca="false">_xlfn.NUMBERVALUE("" &amp; K1153 &amp; "",".",",")</f>
        <v>0.346219699722222</v>
      </c>
      <c r="N1153" s="10"/>
      <c r="O1153" s="0" t="str">
        <f aca="false">VLOOKUP(C1153,statusdetails!$A:$D,4,0)</f>
        <v>MAINT</v>
      </c>
    </row>
    <row r="1154" customFormat="false" ht="12.8" hidden="true" customHeight="false" outlineLevel="0" collapsed="false">
      <c r="A1154" s="0" t="n">
        <v>467301</v>
      </c>
      <c r="B1154" s="0" t="n">
        <v>467301</v>
      </c>
      <c r="C1154" s="0" t="n">
        <v>4</v>
      </c>
      <c r="D1154" s="0" t="n">
        <v>16</v>
      </c>
      <c r="E1154" s="0" t="n">
        <v>1467</v>
      </c>
      <c r="F1154" s="0" t="n">
        <v>90</v>
      </c>
      <c r="G1154" s="0" t="n">
        <v>163</v>
      </c>
      <c r="H1154" s="0" t="s">
        <v>1772</v>
      </c>
      <c r="I1154" s="0" t="s">
        <v>2298</v>
      </c>
      <c r="J1154" s="9" t="n">
        <v>45904</v>
      </c>
      <c r="K1154" s="0" t="s">
        <v>2299</v>
      </c>
      <c r="L1154" s="0" t="n">
        <v>20</v>
      </c>
      <c r="M1154" s="10" t="n">
        <f aca="false">_xlfn.NUMBERVALUE("" &amp; K1154 &amp; "",".",",")</f>
        <v>2.36437849166667</v>
      </c>
      <c r="N1154" s="10"/>
      <c r="O1154" s="0" t="str">
        <f aca="false">VLOOKUP(C1154,statusdetails!$A:$D,4,0)</f>
        <v>MAINT</v>
      </c>
    </row>
    <row r="1155" customFormat="false" ht="12.8" hidden="true" customHeight="false" outlineLevel="0" collapsed="false">
      <c r="A1155" s="0" t="n">
        <v>467302</v>
      </c>
      <c r="B1155" s="0" t="n">
        <v>467302</v>
      </c>
      <c r="C1155" s="0" t="n">
        <v>1</v>
      </c>
      <c r="D1155" s="0" t="n">
        <v>6</v>
      </c>
      <c r="E1155" s="0" t="n">
        <v>1526</v>
      </c>
      <c r="F1155" s="0" t="n">
        <v>37</v>
      </c>
      <c r="G1155" s="0" t="n">
        <v>54</v>
      </c>
      <c r="H1155" s="0" t="s">
        <v>2296</v>
      </c>
      <c r="I1155" s="0" t="s">
        <v>2300</v>
      </c>
      <c r="J1155" s="9" t="n">
        <v>45904</v>
      </c>
      <c r="K1155" s="0" t="s">
        <v>2301</v>
      </c>
      <c r="L1155" s="0" t="n">
        <v>20</v>
      </c>
      <c r="M1155" s="10" t="n">
        <f aca="false">_xlfn.NUMBERVALUE("" &amp; K1155 &amp; "",".",",")</f>
        <v>5.27089433027778</v>
      </c>
      <c r="N1155" s="10"/>
      <c r="O1155" s="0" t="str">
        <f aca="false">VLOOKUP(C1155,statusdetails!$A:$D,4,0)</f>
        <v>READY</v>
      </c>
    </row>
    <row r="1156" customFormat="false" ht="12.8" hidden="true" customHeight="false" outlineLevel="0" collapsed="false">
      <c r="A1156" s="0" t="n">
        <v>467303</v>
      </c>
      <c r="B1156" s="0" t="n">
        <v>467303</v>
      </c>
      <c r="C1156" s="0" t="n">
        <v>3</v>
      </c>
      <c r="D1156" s="0" t="n">
        <v>14</v>
      </c>
      <c r="E1156" s="0" t="n">
        <v>1159</v>
      </c>
      <c r="F1156" s="0" t="n">
        <v>42</v>
      </c>
      <c r="G1156" s="0" t="n">
        <v>16</v>
      </c>
      <c r="H1156" s="0" t="s">
        <v>2162</v>
      </c>
      <c r="I1156" s="0" t="s">
        <v>2302</v>
      </c>
      <c r="J1156" s="9" t="n">
        <v>45904</v>
      </c>
      <c r="K1156" s="0" t="s">
        <v>2303</v>
      </c>
      <c r="L1156" s="0" t="n">
        <v>21</v>
      </c>
      <c r="M1156" s="10" t="n">
        <f aca="false">_xlfn.NUMBERVALUE("" &amp; K1156 &amp; "",".",",")</f>
        <v>0.549568888888889</v>
      </c>
      <c r="N1156" s="10"/>
      <c r="O1156" s="0" t="str">
        <f aca="false">VLOOKUP(C1156,statusdetails!$A:$D,4,0)</f>
        <v>STANDBY</v>
      </c>
      <c r="P1156" s="0" t="str">
        <f aca="false">VLOOKUP(F1156,equipment!$A:$E,4,0)</f>
        <v>PE301</v>
      </c>
      <c r="Q1156" s="0" t="str">
        <f aca="false">VLOOKUP(F1156,equipment!$A:$E,5,0)</f>
        <v>PE301 - 42</v>
      </c>
    </row>
    <row r="1157" customFormat="false" ht="12.8" hidden="true" customHeight="false" outlineLevel="0" collapsed="false">
      <c r="A1157" s="0" t="n">
        <v>467304</v>
      </c>
      <c r="B1157" s="0" t="n">
        <v>467304</v>
      </c>
      <c r="C1157" s="0" t="n">
        <v>1</v>
      </c>
      <c r="D1157" s="0" t="n">
        <v>6</v>
      </c>
      <c r="E1157" s="0" t="n">
        <v>260</v>
      </c>
      <c r="F1157" s="0" t="n">
        <v>66</v>
      </c>
      <c r="G1157" s="0" t="n">
        <v>66</v>
      </c>
      <c r="H1157" s="0" t="s">
        <v>2233</v>
      </c>
      <c r="I1157" s="11" t="n">
        <v>45904.9428240741</v>
      </c>
      <c r="J1157" s="9" t="n">
        <v>45904</v>
      </c>
      <c r="K1157" s="0" t="s">
        <v>2304</v>
      </c>
      <c r="L1157" s="0" t="n">
        <v>22</v>
      </c>
      <c r="M1157" s="10" t="n">
        <f aca="false">_xlfn.NUMBERVALUE("" &amp; K1157 &amp; "",".",",")</f>
        <v>0.626967222222222</v>
      </c>
      <c r="N1157" s="10"/>
      <c r="O1157" s="0" t="str">
        <f aca="false">VLOOKUP(C1157,statusdetails!$A:$D,4,0)</f>
        <v>READY</v>
      </c>
    </row>
    <row r="1158" customFormat="false" ht="12.8" hidden="true" customHeight="false" outlineLevel="0" collapsed="false">
      <c r="A1158" s="0" t="n">
        <v>467305</v>
      </c>
      <c r="B1158" s="0" t="n">
        <v>467305</v>
      </c>
      <c r="C1158" s="0" t="n">
        <v>2</v>
      </c>
      <c r="D1158" s="0" t="n">
        <v>9</v>
      </c>
      <c r="E1158" s="0" t="n">
        <v>2507</v>
      </c>
      <c r="F1158" s="0" t="n">
        <v>86</v>
      </c>
      <c r="G1158" s="0" t="n">
        <v>149</v>
      </c>
      <c r="H1158" s="0" t="s">
        <v>2258</v>
      </c>
      <c r="I1158" s="0" t="s">
        <v>2305</v>
      </c>
      <c r="J1158" s="9" t="n">
        <v>45904</v>
      </c>
      <c r="K1158" s="0" t="s">
        <v>2306</v>
      </c>
      <c r="L1158" s="0" t="n">
        <v>22</v>
      </c>
      <c r="M1158" s="3" t="n">
        <f aca="false">_xlfn.NUMBERVALUE("" &amp; K1158 &amp; "",".",",")</f>
        <v>0.0878513888888889</v>
      </c>
      <c r="O1158" s="0" t="str">
        <f aca="false">VLOOKUP(C1158,statusdetails!$A:$D,4,0)</f>
        <v>DELAY</v>
      </c>
    </row>
    <row r="1159" customFormat="false" ht="12.8" hidden="true" customHeight="false" outlineLevel="0" collapsed="false">
      <c r="A1159" s="0" t="n">
        <v>467306</v>
      </c>
      <c r="B1159" s="0" t="n">
        <v>467306</v>
      </c>
      <c r="C1159" s="0" t="n">
        <v>3</v>
      </c>
      <c r="D1159" s="0" t="n">
        <v>14</v>
      </c>
      <c r="E1159" s="0" t="n">
        <v>2503</v>
      </c>
      <c r="F1159" s="0" t="n">
        <v>86</v>
      </c>
      <c r="G1159" s="0" t="n">
        <v>149</v>
      </c>
      <c r="H1159" s="0" t="s">
        <v>2305</v>
      </c>
      <c r="I1159" s="0" t="s">
        <v>2307</v>
      </c>
      <c r="J1159" s="9" t="n">
        <v>45904</v>
      </c>
      <c r="K1159" s="0" t="s">
        <v>2308</v>
      </c>
      <c r="L1159" s="0" t="n">
        <v>22</v>
      </c>
      <c r="M1159" s="10" t="n">
        <f aca="false">_xlfn.NUMBERVALUE("" &amp; K1159 &amp; "",".",",")</f>
        <v>0.00559555555555556</v>
      </c>
      <c r="N1159" s="10"/>
      <c r="O1159" s="0" t="str">
        <f aca="false">VLOOKUP(C1159,statusdetails!$A:$D,4,0)</f>
        <v>STANDBY</v>
      </c>
      <c r="P1159" s="0" t="str">
        <f aca="false">VLOOKUP(F1159,equipment!$A:$E,4,0)</f>
        <v>CM03</v>
      </c>
      <c r="Q1159" s="0" t="str">
        <f aca="false">VLOOKUP(F1159,equipment!$A:$E,5,0)</f>
        <v>CM03 - 86</v>
      </c>
    </row>
    <row r="1160" customFormat="false" ht="12.8" hidden="true" customHeight="false" outlineLevel="0" collapsed="false">
      <c r="A1160" s="0" t="n">
        <v>467307</v>
      </c>
      <c r="B1160" s="0" t="n">
        <v>467307</v>
      </c>
      <c r="C1160" s="0" t="n">
        <v>1</v>
      </c>
      <c r="D1160" s="0" t="n">
        <v>6</v>
      </c>
      <c r="E1160" s="0" t="n">
        <v>2404</v>
      </c>
      <c r="F1160" s="0" t="n">
        <v>86</v>
      </c>
      <c r="G1160" s="0" t="n">
        <v>149</v>
      </c>
      <c r="H1160" s="0" t="s">
        <v>2307</v>
      </c>
      <c r="I1160" s="0" t="s">
        <v>2309</v>
      </c>
      <c r="J1160" s="9" t="n">
        <v>45904</v>
      </c>
      <c r="K1160" s="0" t="s">
        <v>2310</v>
      </c>
      <c r="L1160" s="0" t="n">
        <v>22</v>
      </c>
      <c r="M1160" s="10" t="n">
        <f aca="false">_xlfn.NUMBERVALUE("" &amp; K1160 &amp; "",".",",")</f>
        <v>1.55778611111111</v>
      </c>
      <c r="N1160" s="10"/>
      <c r="O1160" s="0" t="str">
        <f aca="false">VLOOKUP(C1160,statusdetails!$A:$D,4,0)</f>
        <v>READY</v>
      </c>
    </row>
    <row r="1161" customFormat="false" ht="12.8" hidden="true" customHeight="false" outlineLevel="0" collapsed="false">
      <c r="A1161" s="0" t="n">
        <v>467308</v>
      </c>
      <c r="B1161" s="0" t="n">
        <v>467308</v>
      </c>
      <c r="C1161" s="0" t="n">
        <v>1</v>
      </c>
      <c r="D1161" s="0" t="n">
        <v>6</v>
      </c>
      <c r="E1161" s="0" t="n">
        <v>811</v>
      </c>
      <c r="F1161" s="0" t="n">
        <v>42</v>
      </c>
      <c r="G1161" s="0" t="n">
        <v>16</v>
      </c>
      <c r="H1161" s="0" t="s">
        <v>2302</v>
      </c>
      <c r="I1161" s="0" t="s">
        <v>2311</v>
      </c>
      <c r="J1161" s="9" t="n">
        <v>45904</v>
      </c>
      <c r="K1161" s="0" t="s">
        <v>2312</v>
      </c>
      <c r="L1161" s="0" t="n">
        <v>22</v>
      </c>
      <c r="M1161" s="10" t="n">
        <f aca="false">_xlfn.NUMBERVALUE("" &amp; K1161 &amp; "",".",",")</f>
        <v>3.0241375</v>
      </c>
      <c r="N1161" s="10"/>
      <c r="O1161" s="0" t="str">
        <f aca="false">VLOOKUP(C1161,statusdetails!$A:$D,4,0)</f>
        <v>READY</v>
      </c>
    </row>
    <row r="1162" customFormat="false" ht="12.8" hidden="true" customHeight="false" outlineLevel="0" collapsed="false">
      <c r="A1162" s="0" t="n">
        <v>467309</v>
      </c>
      <c r="B1162" s="0" t="n">
        <v>467309</v>
      </c>
      <c r="C1162" s="0" t="n">
        <v>2</v>
      </c>
      <c r="D1162" s="0" t="n">
        <v>9</v>
      </c>
      <c r="E1162" s="0" t="n">
        <v>1004</v>
      </c>
      <c r="F1162" s="0" t="n">
        <v>32</v>
      </c>
      <c r="G1162" s="0" t="n">
        <v>67</v>
      </c>
      <c r="H1162" s="0" t="s">
        <v>2290</v>
      </c>
      <c r="I1162" s="0" t="s">
        <v>2313</v>
      </c>
      <c r="J1162" s="9" t="n">
        <v>45904</v>
      </c>
      <c r="K1162" s="0" t="s">
        <v>2314</v>
      </c>
      <c r="L1162" s="0" t="n">
        <v>21</v>
      </c>
      <c r="M1162" s="3" t="n">
        <f aca="false">_xlfn.NUMBERVALUE("" &amp; K1162 &amp; "",".",",")</f>
        <v>0.240766666666667</v>
      </c>
      <c r="O1162" s="0" t="str">
        <f aca="false">VLOOKUP(C1162,statusdetails!$A:$D,4,0)</f>
        <v>DELAY</v>
      </c>
    </row>
    <row r="1163" customFormat="false" ht="12.8" hidden="true" customHeight="false" outlineLevel="0" collapsed="false">
      <c r="A1163" s="0" t="n">
        <v>467310</v>
      </c>
      <c r="B1163" s="0" t="n">
        <v>467310</v>
      </c>
      <c r="C1163" s="0" t="n">
        <v>2</v>
      </c>
      <c r="D1163" s="0" t="n">
        <v>9</v>
      </c>
      <c r="E1163" s="0" t="n">
        <v>1004</v>
      </c>
      <c r="F1163" s="0" t="n">
        <v>35</v>
      </c>
      <c r="G1163" s="0" t="n">
        <v>62</v>
      </c>
      <c r="H1163" s="0" t="s">
        <v>2288</v>
      </c>
      <c r="I1163" s="0" t="s">
        <v>2315</v>
      </c>
      <c r="J1163" s="9" t="n">
        <v>45904</v>
      </c>
      <c r="K1163" s="0" t="s">
        <v>2316</v>
      </c>
      <c r="L1163" s="0" t="n">
        <v>21</v>
      </c>
      <c r="M1163" s="3" t="n">
        <f aca="false">_xlfn.NUMBERVALUE("" &amp; K1163 &amp; "",".",",")</f>
        <v>0.299245277777778</v>
      </c>
      <c r="O1163" s="0" t="str">
        <f aca="false">VLOOKUP(C1163,statusdetails!$A:$D,4,0)</f>
        <v>DELAY</v>
      </c>
    </row>
    <row r="1164" customFormat="false" ht="12.8" hidden="true" customHeight="false" outlineLevel="0" collapsed="false">
      <c r="A1164" s="0" t="n">
        <v>467311</v>
      </c>
      <c r="B1164" s="0" t="n">
        <v>467311</v>
      </c>
      <c r="C1164" s="0" t="n">
        <v>2</v>
      </c>
      <c r="D1164" s="0" t="n">
        <v>9</v>
      </c>
      <c r="E1164" s="0" t="n">
        <v>2448</v>
      </c>
      <c r="F1164" s="0" t="n">
        <v>89</v>
      </c>
      <c r="G1164" s="0" t="n">
        <v>150</v>
      </c>
      <c r="H1164" s="0" t="s">
        <v>2260</v>
      </c>
      <c r="I1164" s="0" t="s">
        <v>2317</v>
      </c>
      <c r="J1164" s="9" t="n">
        <v>45904</v>
      </c>
      <c r="K1164" s="0" t="s">
        <v>2318</v>
      </c>
      <c r="L1164" s="0" t="n">
        <v>21</v>
      </c>
      <c r="M1164" s="3" t="n">
        <f aca="false">_xlfn.NUMBERVALUE("" &amp; K1164 &amp; "",".",",")</f>
        <v>0.0555583333333333</v>
      </c>
      <c r="O1164" s="0" t="str">
        <f aca="false">VLOOKUP(C1164,statusdetails!$A:$D,4,0)</f>
        <v>DELAY</v>
      </c>
    </row>
    <row r="1165" customFormat="false" ht="12.8" hidden="true" customHeight="false" outlineLevel="0" collapsed="false">
      <c r="A1165" s="0" t="n">
        <v>467312</v>
      </c>
      <c r="B1165" s="0" t="n">
        <v>467312</v>
      </c>
      <c r="C1165" s="0" t="n">
        <v>1</v>
      </c>
      <c r="D1165" s="0" t="n">
        <v>6</v>
      </c>
      <c r="E1165" s="0" t="n">
        <v>260</v>
      </c>
      <c r="F1165" s="0" t="n">
        <v>35</v>
      </c>
      <c r="G1165" s="0" t="n">
        <v>62</v>
      </c>
      <c r="H1165" s="0" t="s">
        <v>2315</v>
      </c>
      <c r="I1165" s="0" t="s">
        <v>2319</v>
      </c>
      <c r="J1165" s="9" t="n">
        <v>45904</v>
      </c>
      <c r="K1165" s="0" t="s">
        <v>2320</v>
      </c>
      <c r="L1165" s="0" t="n">
        <v>21</v>
      </c>
      <c r="M1165" s="10" t="n">
        <f aca="false">_xlfn.NUMBERVALUE("" &amp; K1165 &amp; "",".",",")</f>
        <v>2.27433316638889</v>
      </c>
      <c r="N1165" s="10"/>
      <c r="O1165" s="0" t="str">
        <f aca="false">VLOOKUP(C1165,statusdetails!$A:$D,4,0)</f>
        <v>READY</v>
      </c>
    </row>
    <row r="1166" customFormat="false" ht="12.8" hidden="true" customHeight="false" outlineLevel="0" collapsed="false">
      <c r="A1166" s="0" t="n">
        <v>467313</v>
      </c>
      <c r="B1166" s="0" t="n">
        <v>467313</v>
      </c>
      <c r="C1166" s="0" t="n">
        <v>2</v>
      </c>
      <c r="D1166" s="0" t="n">
        <v>7</v>
      </c>
      <c r="E1166" s="0" t="n">
        <v>2405</v>
      </c>
      <c r="F1166" s="0" t="n">
        <v>84</v>
      </c>
      <c r="G1166" s="0" t="n">
        <v>82</v>
      </c>
      <c r="H1166" s="0" t="s">
        <v>2262</v>
      </c>
      <c r="I1166" s="0" t="s">
        <v>2321</v>
      </c>
      <c r="J1166" s="9" t="n">
        <v>45904</v>
      </c>
      <c r="K1166" s="0" t="s">
        <v>2322</v>
      </c>
      <c r="L1166" s="0" t="n">
        <v>22</v>
      </c>
      <c r="M1166" s="3" t="n">
        <f aca="false">_xlfn.NUMBERVALUE("" &amp; K1166 &amp; "",".",",")</f>
        <v>0.0477872222222222</v>
      </c>
      <c r="O1166" s="0" t="str">
        <f aca="false">VLOOKUP(C1166,statusdetails!$A:$D,4,0)</f>
        <v>DELAY</v>
      </c>
    </row>
    <row r="1167" customFormat="false" ht="12.8" hidden="true" customHeight="false" outlineLevel="0" collapsed="false">
      <c r="A1167" s="0" t="n">
        <v>467314</v>
      </c>
      <c r="B1167" s="0" t="n">
        <v>467314</v>
      </c>
      <c r="C1167" s="0" t="n">
        <v>3</v>
      </c>
      <c r="D1167" s="0" t="n">
        <v>14</v>
      </c>
      <c r="E1167" s="0" t="n">
        <v>2503</v>
      </c>
      <c r="F1167" s="0" t="n">
        <v>84</v>
      </c>
      <c r="G1167" s="0" t="n">
        <v>82</v>
      </c>
      <c r="H1167" s="0" t="s">
        <v>2321</v>
      </c>
      <c r="I1167" s="0" t="s">
        <v>2323</v>
      </c>
      <c r="J1167" s="9" t="n">
        <v>45904</v>
      </c>
      <c r="K1167" s="0" t="s">
        <v>2324</v>
      </c>
      <c r="L1167" s="0" t="n">
        <v>22</v>
      </c>
      <c r="M1167" s="10" t="n">
        <f aca="false">_xlfn.NUMBERVALUE("" &amp; K1167 &amp; "",".",",")</f>
        <v>0.0597022222222222</v>
      </c>
      <c r="N1167" s="10"/>
      <c r="O1167" s="0" t="str">
        <f aca="false">VLOOKUP(C1167,statusdetails!$A:$D,4,0)</f>
        <v>STANDBY</v>
      </c>
      <c r="P1167" s="0" t="str">
        <f aca="false">VLOOKUP(F1167,equipment!$A:$E,4,0)</f>
        <v>CM01</v>
      </c>
      <c r="Q1167" s="0" t="str">
        <f aca="false">VLOOKUP(F1167,equipment!$A:$E,5,0)</f>
        <v>CM01 - 84</v>
      </c>
    </row>
    <row r="1168" customFormat="false" ht="12.8" hidden="true" customHeight="false" outlineLevel="0" collapsed="false">
      <c r="A1168" s="0" t="n">
        <v>467315</v>
      </c>
      <c r="B1168" s="0" t="n">
        <v>467315</v>
      </c>
      <c r="C1168" s="0" t="n">
        <v>1</v>
      </c>
      <c r="D1168" s="0" t="n">
        <v>6</v>
      </c>
      <c r="E1168" s="0" t="n">
        <v>2404</v>
      </c>
      <c r="F1168" s="0" t="n">
        <v>89</v>
      </c>
      <c r="G1168" s="0" t="n">
        <v>150</v>
      </c>
      <c r="H1168" s="0" t="s">
        <v>2317</v>
      </c>
      <c r="I1168" s="0" t="s">
        <v>2325</v>
      </c>
      <c r="J1168" s="9" t="n">
        <v>45904</v>
      </c>
      <c r="K1168" s="0" t="s">
        <v>2326</v>
      </c>
      <c r="L1168" s="0" t="n">
        <v>22</v>
      </c>
      <c r="M1168" s="10" t="n">
        <f aca="false">_xlfn.NUMBERVALUE("" &amp; K1168 &amp; "",".",",")</f>
        <v>8.89411111111111</v>
      </c>
      <c r="N1168" s="10"/>
      <c r="O1168" s="0" t="str">
        <f aca="false">VLOOKUP(C1168,statusdetails!$A:$D,4,0)</f>
        <v>READY</v>
      </c>
    </row>
    <row r="1169" customFormat="false" ht="12.8" hidden="true" customHeight="false" outlineLevel="0" collapsed="false">
      <c r="A1169" s="0" t="n">
        <v>467316</v>
      </c>
      <c r="B1169" s="0" t="n">
        <v>467316</v>
      </c>
      <c r="C1169" s="0" t="n">
        <v>1</v>
      </c>
      <c r="D1169" s="0" t="n">
        <v>6</v>
      </c>
      <c r="E1169" s="0" t="n">
        <v>2404</v>
      </c>
      <c r="F1169" s="0" t="n">
        <v>84</v>
      </c>
      <c r="G1169" s="0" t="n">
        <v>82</v>
      </c>
      <c r="H1169" s="0" t="s">
        <v>2323</v>
      </c>
      <c r="I1169" s="0" t="s">
        <v>2327</v>
      </c>
      <c r="J1169" s="9" t="n">
        <v>45904</v>
      </c>
      <c r="K1169" s="0" t="s">
        <v>2328</v>
      </c>
      <c r="L1169" s="0" t="n">
        <v>22</v>
      </c>
      <c r="M1169" s="10" t="n">
        <f aca="false">_xlfn.NUMBERVALUE("" &amp; K1169 &amp; "",".",",")</f>
        <v>5.46968527777778</v>
      </c>
      <c r="N1169" s="10"/>
      <c r="O1169" s="0" t="str">
        <f aca="false">VLOOKUP(C1169,statusdetails!$A:$D,4,0)</f>
        <v>READY</v>
      </c>
    </row>
    <row r="1170" customFormat="false" ht="12.8" hidden="true" customHeight="false" outlineLevel="0" collapsed="false">
      <c r="A1170" s="0" t="n">
        <v>467317</v>
      </c>
      <c r="B1170" s="0" t="n">
        <v>467317</v>
      </c>
      <c r="C1170" s="0" t="n">
        <v>2</v>
      </c>
      <c r="D1170" s="0" t="n">
        <v>9</v>
      </c>
      <c r="E1170" s="0" t="n">
        <v>2448</v>
      </c>
      <c r="F1170" s="0" t="n">
        <v>85</v>
      </c>
      <c r="G1170" s="0" t="n">
        <v>147</v>
      </c>
      <c r="H1170" s="0" t="s">
        <v>2252</v>
      </c>
      <c r="I1170" s="0" t="s">
        <v>2329</v>
      </c>
      <c r="J1170" s="9" t="n">
        <v>45904</v>
      </c>
      <c r="K1170" s="0" t="s">
        <v>2330</v>
      </c>
      <c r="L1170" s="0" t="n">
        <v>22</v>
      </c>
      <c r="M1170" s="3" t="n">
        <f aca="false">_xlfn.NUMBERVALUE("" &amp; K1170 &amp; "",".",",")</f>
        <v>0.0319280555555556</v>
      </c>
      <c r="O1170" s="0" t="str">
        <f aca="false">VLOOKUP(C1170,statusdetails!$A:$D,4,0)</f>
        <v>DELAY</v>
      </c>
    </row>
    <row r="1171" customFormat="false" ht="12.8" hidden="true" customHeight="false" outlineLevel="0" collapsed="false">
      <c r="A1171" s="0" t="n">
        <v>467318</v>
      </c>
      <c r="B1171" s="0" t="n">
        <v>467318</v>
      </c>
      <c r="C1171" s="0" t="n">
        <v>1</v>
      </c>
      <c r="D1171" s="0" t="n">
        <v>6</v>
      </c>
      <c r="E1171" s="0" t="n">
        <v>2404</v>
      </c>
      <c r="F1171" s="0" t="n">
        <v>85</v>
      </c>
      <c r="G1171" s="0" t="n">
        <v>147</v>
      </c>
      <c r="H1171" s="0" t="s">
        <v>2329</v>
      </c>
      <c r="I1171" s="0" t="s">
        <v>2331</v>
      </c>
      <c r="J1171" s="9" t="n">
        <v>45904</v>
      </c>
      <c r="K1171" s="0" t="s">
        <v>2332</v>
      </c>
      <c r="L1171" s="0" t="n">
        <v>22</v>
      </c>
      <c r="M1171" s="10" t="n">
        <f aca="false">_xlfn.NUMBERVALUE("" &amp; K1171 &amp; "",".",",")</f>
        <v>0.0102577777777778</v>
      </c>
      <c r="N1171" s="10"/>
      <c r="O1171" s="0" t="str">
        <f aca="false">VLOOKUP(C1171,statusdetails!$A:$D,4,0)</f>
        <v>READY</v>
      </c>
    </row>
    <row r="1172" customFormat="false" ht="12.8" hidden="true" customHeight="false" outlineLevel="0" collapsed="false">
      <c r="A1172" s="0" t="n">
        <v>467319</v>
      </c>
      <c r="B1172" s="0" t="n">
        <v>467319</v>
      </c>
      <c r="C1172" s="0" t="n">
        <v>2</v>
      </c>
      <c r="D1172" s="0" t="n">
        <v>9</v>
      </c>
      <c r="E1172" s="0" t="n">
        <v>2448</v>
      </c>
      <c r="F1172" s="0" t="n">
        <v>85</v>
      </c>
      <c r="G1172" s="0" t="n">
        <v>147</v>
      </c>
      <c r="H1172" s="0" t="s">
        <v>2331</v>
      </c>
      <c r="I1172" s="0" t="s">
        <v>2333</v>
      </c>
      <c r="J1172" s="9" t="n">
        <v>45904</v>
      </c>
      <c r="K1172" s="0" t="s">
        <v>2334</v>
      </c>
      <c r="L1172" s="0" t="n">
        <v>22</v>
      </c>
      <c r="M1172" s="3" t="n">
        <f aca="false">_xlfn.NUMBERVALUE("" &amp; K1172 &amp; "",".",",")</f>
        <v>0.0575316666666667</v>
      </c>
      <c r="O1172" s="0" t="str">
        <f aca="false">VLOOKUP(C1172,statusdetails!$A:$D,4,0)</f>
        <v>DELAY</v>
      </c>
    </row>
    <row r="1173" customFormat="false" ht="12.8" hidden="true" customHeight="false" outlineLevel="0" collapsed="false">
      <c r="A1173" s="0" t="n">
        <v>467320</v>
      </c>
      <c r="B1173" s="0" t="n">
        <v>467320</v>
      </c>
      <c r="C1173" s="0" t="n">
        <v>1</v>
      </c>
      <c r="D1173" s="0" t="n">
        <v>6</v>
      </c>
      <c r="E1173" s="0" t="n">
        <v>260</v>
      </c>
      <c r="F1173" s="0" t="n">
        <v>32</v>
      </c>
      <c r="G1173" s="0" t="n">
        <v>67</v>
      </c>
      <c r="H1173" s="0" t="s">
        <v>2313</v>
      </c>
      <c r="I1173" s="0" t="s">
        <v>2335</v>
      </c>
      <c r="J1173" s="9" t="n">
        <v>45904</v>
      </c>
      <c r="K1173" s="0" t="s">
        <v>2336</v>
      </c>
      <c r="L1173" s="0" t="n">
        <v>21</v>
      </c>
      <c r="M1173" s="10" t="n">
        <f aca="false">_xlfn.NUMBERVALUE("" &amp; K1173 &amp; "",".",",")</f>
        <v>0.531439722222222</v>
      </c>
      <c r="N1173" s="10"/>
      <c r="O1173" s="0" t="str">
        <f aca="false">VLOOKUP(C1173,statusdetails!$A:$D,4,0)</f>
        <v>READY</v>
      </c>
    </row>
    <row r="1174" customFormat="false" ht="12.8" hidden="true" customHeight="false" outlineLevel="0" collapsed="false">
      <c r="A1174" s="0" t="n">
        <v>467321</v>
      </c>
      <c r="B1174" s="0" t="n">
        <v>467321</v>
      </c>
      <c r="C1174" s="0" t="n">
        <v>1</v>
      </c>
      <c r="D1174" s="0" t="n">
        <v>6</v>
      </c>
      <c r="E1174" s="0" t="n">
        <v>2404</v>
      </c>
      <c r="F1174" s="0" t="n">
        <v>85</v>
      </c>
      <c r="G1174" s="0" t="n">
        <v>147</v>
      </c>
      <c r="H1174" s="0" t="s">
        <v>2333</v>
      </c>
      <c r="I1174" s="0" t="s">
        <v>2337</v>
      </c>
      <c r="J1174" s="9" t="n">
        <v>45904</v>
      </c>
      <c r="K1174" s="0" t="s">
        <v>2338</v>
      </c>
      <c r="L1174" s="0" t="n">
        <v>22</v>
      </c>
      <c r="M1174" s="10" t="n">
        <f aca="false">_xlfn.NUMBERVALUE("" &amp; K1174 &amp; "",".",",")</f>
        <v>0.50153748</v>
      </c>
      <c r="N1174" s="10"/>
      <c r="O1174" s="0" t="str">
        <f aca="false">VLOOKUP(C1174,statusdetails!$A:$D,4,0)</f>
        <v>READY</v>
      </c>
    </row>
    <row r="1175" customFormat="false" ht="12.8" hidden="true" customHeight="false" outlineLevel="0" collapsed="false">
      <c r="A1175" s="0" t="n">
        <v>467322</v>
      </c>
      <c r="B1175" s="0" t="n">
        <v>467322</v>
      </c>
      <c r="C1175" s="0" t="n">
        <v>2</v>
      </c>
      <c r="D1175" s="0" t="n">
        <v>9</v>
      </c>
      <c r="E1175" s="0" t="n">
        <v>1004</v>
      </c>
      <c r="F1175" s="0" t="n">
        <v>33</v>
      </c>
      <c r="G1175" s="0" t="n">
        <v>7</v>
      </c>
      <c r="H1175" s="0" t="s">
        <v>2286</v>
      </c>
      <c r="I1175" s="0" t="s">
        <v>2339</v>
      </c>
      <c r="J1175" s="9" t="n">
        <v>45904</v>
      </c>
      <c r="K1175" s="0" t="s">
        <v>2340</v>
      </c>
      <c r="L1175" s="0" t="n">
        <v>21</v>
      </c>
      <c r="M1175" s="3" t="n">
        <f aca="false">_xlfn.NUMBERVALUE("" &amp; K1175 &amp; "",".",",")</f>
        <v>0.243363611111111</v>
      </c>
      <c r="O1175" s="0" t="str">
        <f aca="false">VLOOKUP(C1175,statusdetails!$A:$D,4,0)</f>
        <v>DELAY</v>
      </c>
    </row>
    <row r="1176" customFormat="false" ht="12.8" hidden="true" customHeight="false" outlineLevel="0" collapsed="false">
      <c r="A1176" s="0" t="n">
        <v>467323</v>
      </c>
      <c r="B1176" s="0" t="n">
        <v>467323</v>
      </c>
      <c r="C1176" s="0" t="n">
        <v>1</v>
      </c>
      <c r="D1176" s="0" t="n">
        <v>6</v>
      </c>
      <c r="E1176" s="0" t="n">
        <v>260</v>
      </c>
      <c r="F1176" s="0" t="n">
        <v>32</v>
      </c>
      <c r="G1176" s="0" t="n">
        <v>67</v>
      </c>
      <c r="H1176" s="0" t="s">
        <v>2335</v>
      </c>
      <c r="I1176" s="0" t="s">
        <v>2341</v>
      </c>
      <c r="J1176" s="9" t="n">
        <v>45904</v>
      </c>
      <c r="K1176" s="0" t="s">
        <v>2342</v>
      </c>
      <c r="L1176" s="0" t="n">
        <v>22</v>
      </c>
      <c r="M1176" s="10" t="n">
        <f aca="false">_xlfn.NUMBERVALUE("" &amp; K1176 &amp; "",".",",")</f>
        <v>1.3438480175</v>
      </c>
      <c r="N1176" s="10"/>
      <c r="O1176" s="0" t="str">
        <f aca="false">VLOOKUP(C1176,statusdetails!$A:$D,4,0)</f>
        <v>READY</v>
      </c>
    </row>
    <row r="1177" customFormat="false" ht="12.8" hidden="true" customHeight="false" outlineLevel="0" collapsed="false">
      <c r="A1177" s="0" t="n">
        <v>467325</v>
      </c>
      <c r="B1177" s="0" t="n">
        <v>467325</v>
      </c>
      <c r="C1177" s="0" t="n">
        <v>3</v>
      </c>
      <c r="D1177" s="0" t="n">
        <v>14</v>
      </c>
      <c r="E1177" s="0" t="n">
        <v>2387</v>
      </c>
      <c r="F1177" s="0" t="n">
        <v>82</v>
      </c>
      <c r="G1177" s="0" t="n">
        <v>107</v>
      </c>
      <c r="H1177" s="0" t="s">
        <v>2284</v>
      </c>
      <c r="I1177" s="11" t="n">
        <v>45904.9108564815</v>
      </c>
      <c r="J1177" s="9" t="n">
        <v>45904</v>
      </c>
      <c r="K1177" s="0" t="s">
        <v>2343</v>
      </c>
      <c r="L1177" s="0" t="n">
        <v>21</v>
      </c>
      <c r="M1177" s="10" t="n">
        <f aca="false">_xlfn.NUMBERVALUE("" &amp; K1177 &amp; "",".",",")</f>
        <v>0.321280833333333</v>
      </c>
      <c r="N1177" s="10"/>
      <c r="O1177" s="0" t="str">
        <f aca="false">VLOOKUP(C1177,statusdetails!$A:$D,4,0)</f>
        <v>STANDBY</v>
      </c>
      <c r="P1177" s="0" t="str">
        <f aca="false">VLOOKUP(F1177,equipment!$A:$E,4,0)</f>
        <v>EX502</v>
      </c>
      <c r="Q1177" s="0" t="str">
        <f aca="false">VLOOKUP(F1177,equipment!$A:$E,5,0)</f>
        <v>EX502 - 82</v>
      </c>
    </row>
    <row r="1178" customFormat="false" ht="12.8" hidden="true" customHeight="false" outlineLevel="0" collapsed="false">
      <c r="A1178" s="0" t="n">
        <v>467326</v>
      </c>
      <c r="B1178" s="0" t="n">
        <v>467326</v>
      </c>
      <c r="C1178" s="0" t="n">
        <v>1</v>
      </c>
      <c r="D1178" s="0" t="n">
        <v>6</v>
      </c>
      <c r="E1178" s="0" t="n">
        <v>260</v>
      </c>
      <c r="F1178" s="0" t="n">
        <v>33</v>
      </c>
      <c r="G1178" s="0" t="n">
        <v>7</v>
      </c>
      <c r="H1178" s="0" t="s">
        <v>2339</v>
      </c>
      <c r="I1178" s="0" t="s">
        <v>2344</v>
      </c>
      <c r="J1178" s="9" t="n">
        <v>45904</v>
      </c>
      <c r="K1178" s="0" t="s">
        <v>2345</v>
      </c>
      <c r="L1178" s="0" t="n">
        <v>21</v>
      </c>
      <c r="M1178" s="10" t="n">
        <f aca="false">_xlfn.NUMBERVALUE("" &amp; K1178 &amp; "",".",",")</f>
        <v>0.465491388888889</v>
      </c>
      <c r="N1178" s="10"/>
      <c r="O1178" s="0" t="str">
        <f aca="false">VLOOKUP(C1178,statusdetails!$A:$D,4,0)</f>
        <v>READY</v>
      </c>
    </row>
    <row r="1179" customFormat="false" ht="12.8" hidden="true" customHeight="false" outlineLevel="0" collapsed="false">
      <c r="A1179" s="0" t="n">
        <v>467329</v>
      </c>
      <c r="B1179" s="0" t="n">
        <v>467329</v>
      </c>
      <c r="C1179" s="0" t="n">
        <v>1</v>
      </c>
      <c r="D1179" s="0" t="n">
        <v>6</v>
      </c>
      <c r="E1179" s="0" t="n">
        <v>260</v>
      </c>
      <c r="F1179" s="0" t="n">
        <v>33</v>
      </c>
      <c r="G1179" s="0" t="n">
        <v>7</v>
      </c>
      <c r="H1179" s="0" t="s">
        <v>2344</v>
      </c>
      <c r="I1179" s="11" t="n">
        <v>45904.9442939815</v>
      </c>
      <c r="J1179" s="9" t="n">
        <v>45904</v>
      </c>
      <c r="K1179" s="0" t="s">
        <v>2346</v>
      </c>
      <c r="L1179" s="0" t="n">
        <v>22</v>
      </c>
      <c r="M1179" s="10" t="n">
        <f aca="false">_xlfn.NUMBERVALUE("" &amp; K1179 &amp; "",".",",")</f>
        <v>0.342552777777778</v>
      </c>
      <c r="N1179" s="10"/>
      <c r="O1179" s="0" t="str">
        <f aca="false">VLOOKUP(C1179,statusdetails!$A:$D,4,0)</f>
        <v>READY</v>
      </c>
    </row>
    <row r="1180" customFormat="false" ht="12.8" hidden="true" customHeight="false" outlineLevel="0" collapsed="false">
      <c r="A1180" s="0" t="n">
        <v>467331</v>
      </c>
      <c r="B1180" s="0" t="n">
        <v>467331</v>
      </c>
      <c r="C1180" s="0" t="n">
        <v>1</v>
      </c>
      <c r="D1180" s="0" t="n">
        <v>6</v>
      </c>
      <c r="E1180" s="0" t="n">
        <v>1040</v>
      </c>
      <c r="F1180" s="0" t="n">
        <v>47</v>
      </c>
      <c r="G1180" s="0" t="n">
        <v>103</v>
      </c>
      <c r="H1180" s="0" t="s">
        <v>2274</v>
      </c>
      <c r="I1180" s="0" t="s">
        <v>2347</v>
      </c>
      <c r="J1180" s="9" t="n">
        <v>45904</v>
      </c>
      <c r="K1180" s="0" t="s">
        <v>2348</v>
      </c>
      <c r="L1180" s="0" t="n">
        <v>22</v>
      </c>
      <c r="M1180" s="10" t="n">
        <f aca="false">_xlfn.NUMBERVALUE("" &amp; K1180 &amp; "",".",",")</f>
        <v>0.184848771111111</v>
      </c>
      <c r="N1180" s="10"/>
      <c r="O1180" s="0" t="str">
        <f aca="false">VLOOKUP(C1180,statusdetails!$A:$D,4,0)</f>
        <v>READY</v>
      </c>
    </row>
    <row r="1181" customFormat="false" ht="12.8" hidden="true" customHeight="false" outlineLevel="0" collapsed="false">
      <c r="A1181" s="0" t="n">
        <v>467332</v>
      </c>
      <c r="B1181" s="0" t="n">
        <v>467332</v>
      </c>
      <c r="C1181" s="0" t="n">
        <v>3</v>
      </c>
      <c r="D1181" s="0" t="n">
        <v>14</v>
      </c>
      <c r="E1181" s="0" t="n">
        <v>2503</v>
      </c>
      <c r="F1181" s="0" t="n">
        <v>85</v>
      </c>
      <c r="G1181" s="0" t="n">
        <v>147</v>
      </c>
      <c r="H1181" s="0" t="s">
        <v>2337</v>
      </c>
      <c r="I1181" s="0" t="s">
        <v>2349</v>
      </c>
      <c r="J1181" s="9" t="n">
        <v>45904</v>
      </c>
      <c r="K1181" s="0" t="s">
        <v>2350</v>
      </c>
      <c r="L1181" s="0" t="n">
        <v>22</v>
      </c>
      <c r="M1181" s="10" t="n">
        <f aca="false">_xlfn.NUMBERVALUE("" &amp; K1181 &amp; "",".",",")</f>
        <v>0.0413661311111111</v>
      </c>
      <c r="N1181" s="10"/>
      <c r="O1181" s="0" t="str">
        <f aca="false">VLOOKUP(C1181,statusdetails!$A:$D,4,0)</f>
        <v>STANDBY</v>
      </c>
      <c r="P1181" s="0" t="str">
        <f aca="false">VLOOKUP(F1181,equipment!$A:$E,4,0)</f>
        <v>CM02</v>
      </c>
      <c r="Q1181" s="0" t="str">
        <f aca="false">VLOOKUP(F1181,equipment!$A:$E,5,0)</f>
        <v>CM02 - 85</v>
      </c>
    </row>
    <row r="1182" customFormat="false" ht="12.8" hidden="true" customHeight="false" outlineLevel="0" collapsed="false">
      <c r="A1182" s="0" t="n">
        <v>467333</v>
      </c>
      <c r="B1182" s="0" t="n">
        <v>467333</v>
      </c>
      <c r="C1182" s="0" t="n">
        <v>1</v>
      </c>
      <c r="D1182" s="0" t="n">
        <v>6</v>
      </c>
      <c r="E1182" s="0" t="n">
        <v>1397</v>
      </c>
      <c r="F1182" s="0" t="n">
        <v>90</v>
      </c>
      <c r="G1182" s="0" t="n">
        <v>163</v>
      </c>
      <c r="H1182" s="0" t="s">
        <v>2298</v>
      </c>
      <c r="I1182" s="0" t="s">
        <v>2351</v>
      </c>
      <c r="J1182" s="9" t="n">
        <v>45904</v>
      </c>
      <c r="K1182" s="0" t="s">
        <v>2352</v>
      </c>
      <c r="L1182" s="0" t="n">
        <v>22</v>
      </c>
      <c r="M1182" s="10" t="n">
        <f aca="false">_xlfn.NUMBERVALUE("" &amp; K1182 &amp; "",".",",")</f>
        <v>1.43258941611111</v>
      </c>
      <c r="N1182" s="10"/>
      <c r="O1182" s="0" t="str">
        <f aca="false">VLOOKUP(C1182,statusdetails!$A:$D,4,0)</f>
        <v>READY</v>
      </c>
    </row>
    <row r="1183" customFormat="false" ht="12.8" hidden="true" customHeight="false" outlineLevel="0" collapsed="false">
      <c r="A1183" s="0" t="n">
        <v>467334</v>
      </c>
      <c r="B1183" s="0" t="n">
        <v>467334</v>
      </c>
      <c r="C1183" s="0" t="n">
        <v>1</v>
      </c>
      <c r="D1183" s="0" t="n">
        <v>6</v>
      </c>
      <c r="E1183" s="0" t="n">
        <v>2404</v>
      </c>
      <c r="F1183" s="0" t="n">
        <v>85</v>
      </c>
      <c r="G1183" s="0" t="n">
        <v>147</v>
      </c>
      <c r="H1183" s="0" t="s">
        <v>2349</v>
      </c>
      <c r="I1183" s="0" t="s">
        <v>2353</v>
      </c>
      <c r="J1183" s="9" t="n">
        <v>45904</v>
      </c>
      <c r="K1183" s="0" t="s">
        <v>2354</v>
      </c>
      <c r="L1183" s="0" t="n">
        <v>22</v>
      </c>
      <c r="M1183" s="10" t="n">
        <f aca="false">_xlfn.NUMBERVALUE("" &amp; K1183 &amp; "",".",",")</f>
        <v>4.75177972222222</v>
      </c>
      <c r="N1183" s="10"/>
      <c r="O1183" s="0" t="str">
        <f aca="false">VLOOKUP(C1183,statusdetails!$A:$D,4,0)</f>
        <v>READY</v>
      </c>
    </row>
    <row r="1184" customFormat="false" ht="12.8" hidden="true" customHeight="false" outlineLevel="0" collapsed="false">
      <c r="A1184" s="0" t="n">
        <v>467338</v>
      </c>
      <c r="B1184" s="0" t="n">
        <v>467337</v>
      </c>
      <c r="C1184" s="0" t="n">
        <v>2</v>
      </c>
      <c r="D1184" s="0" t="n">
        <v>9</v>
      </c>
      <c r="E1184" s="0" t="n">
        <v>2399</v>
      </c>
      <c r="F1184" s="0" t="n">
        <v>96</v>
      </c>
      <c r="G1184" s="0" t="n">
        <v>89</v>
      </c>
      <c r="H1184" s="11" t="n">
        <v>45904.944375</v>
      </c>
      <c r="I1184" s="0" t="s">
        <v>2355</v>
      </c>
      <c r="J1184" s="9" t="n">
        <v>45904</v>
      </c>
      <c r="K1184" s="0" t="s">
        <v>2356</v>
      </c>
      <c r="L1184" s="0" t="n">
        <v>22</v>
      </c>
      <c r="M1184" s="3" t="n">
        <f aca="false">_xlfn.NUMBERVALUE("" &amp; K1184 &amp; "",".",",")</f>
        <v>0.393540793055556</v>
      </c>
      <c r="O1184" s="0" t="str">
        <f aca="false">VLOOKUP(C1184,statusdetails!$A:$D,4,0)</f>
        <v>DELAY</v>
      </c>
    </row>
    <row r="1185" customFormat="false" ht="12.8" hidden="true" customHeight="false" outlineLevel="0" collapsed="false">
      <c r="A1185" s="0" t="n">
        <v>467339</v>
      </c>
      <c r="B1185" s="0" t="n">
        <v>467336</v>
      </c>
      <c r="C1185" s="0" t="n">
        <v>2</v>
      </c>
      <c r="D1185" s="0" t="n">
        <v>9</v>
      </c>
      <c r="E1185" s="0" t="n">
        <v>2632</v>
      </c>
      <c r="F1185" s="0" t="n">
        <v>33</v>
      </c>
      <c r="G1185" s="0" t="n">
        <v>7</v>
      </c>
      <c r="H1185" s="11" t="n">
        <v>45904.9442939815</v>
      </c>
      <c r="I1185" s="0" t="s">
        <v>2357</v>
      </c>
      <c r="J1185" s="9" t="n">
        <v>45904</v>
      </c>
      <c r="K1185" s="0" t="s">
        <v>2358</v>
      </c>
      <c r="L1185" s="0" t="n">
        <v>22</v>
      </c>
      <c r="M1185" s="3" t="n">
        <f aca="false">_xlfn.NUMBERVALUE("" &amp; K1185 &amp; "",".",",")</f>
        <v>0.402503206111111</v>
      </c>
      <c r="O1185" s="0" t="str">
        <f aca="false">VLOOKUP(C1185,statusdetails!$A:$D,4,0)</f>
        <v>DELAY</v>
      </c>
    </row>
    <row r="1186" customFormat="false" ht="12.8" hidden="true" customHeight="false" outlineLevel="0" collapsed="false">
      <c r="A1186" s="0" t="n">
        <v>467340</v>
      </c>
      <c r="B1186" s="0" t="n">
        <v>467335</v>
      </c>
      <c r="C1186" s="0" t="n">
        <v>2</v>
      </c>
      <c r="D1186" s="0" t="n">
        <v>9</v>
      </c>
      <c r="E1186" s="0" t="n">
        <v>2305</v>
      </c>
      <c r="F1186" s="0" t="n">
        <v>66</v>
      </c>
      <c r="G1186" s="0" t="n">
        <v>66</v>
      </c>
      <c r="H1186" s="11" t="n">
        <v>45904.9428240741</v>
      </c>
      <c r="I1186" s="0" t="s">
        <v>2359</v>
      </c>
      <c r="J1186" s="9" t="n">
        <v>45904</v>
      </c>
      <c r="K1186" s="0" t="s">
        <v>2360</v>
      </c>
      <c r="L1186" s="0" t="n">
        <v>22</v>
      </c>
      <c r="M1186" s="3" t="n">
        <f aca="false">_xlfn.NUMBERVALUE("" &amp; K1186 &amp; "",".",",")</f>
        <v>0.435688366111111</v>
      </c>
      <c r="O1186" s="0" t="str">
        <f aca="false">VLOOKUP(C1186,statusdetails!$A:$D,4,0)</f>
        <v>DELAY</v>
      </c>
    </row>
    <row r="1187" customFormat="false" ht="12.8" hidden="true" customHeight="false" outlineLevel="0" collapsed="false">
      <c r="A1187" s="0" t="n">
        <v>467341</v>
      </c>
      <c r="B1187" s="0" t="n">
        <v>467341</v>
      </c>
      <c r="C1187" s="0" t="n">
        <v>3</v>
      </c>
      <c r="D1187" s="0" t="n">
        <v>12</v>
      </c>
      <c r="E1187" s="0" t="n">
        <v>2076</v>
      </c>
      <c r="F1187" s="0" t="n">
        <v>47</v>
      </c>
      <c r="G1187" s="0" t="n">
        <v>103</v>
      </c>
      <c r="H1187" s="0" t="s">
        <v>2347</v>
      </c>
      <c r="I1187" s="0" t="s">
        <v>2361</v>
      </c>
      <c r="J1187" s="9" t="n">
        <v>45904</v>
      </c>
      <c r="K1187" s="0" t="s">
        <v>2362</v>
      </c>
      <c r="L1187" s="0" t="n">
        <v>22</v>
      </c>
      <c r="M1187" s="10" t="n">
        <f aca="false">_xlfn.NUMBERVALUE("" &amp; K1187 &amp; "",".",",")</f>
        <v>0.405163581666667</v>
      </c>
      <c r="N1187" s="10"/>
      <c r="O1187" s="0" t="str">
        <f aca="false">VLOOKUP(C1187,statusdetails!$A:$D,4,0)</f>
        <v>STANDBY</v>
      </c>
      <c r="P1187" s="0" t="str">
        <f aca="false">VLOOKUP(F1187,equipment!$A:$E,4,0)</f>
        <v>Ch1</v>
      </c>
      <c r="Q1187" s="0" t="str">
        <f aca="false">VLOOKUP(F1187,equipment!$A:$E,5,0)</f>
        <v>Ch1 - 47</v>
      </c>
    </row>
    <row r="1188" customFormat="false" ht="12.8" hidden="true" customHeight="false" outlineLevel="0" collapsed="false">
      <c r="A1188" s="0" t="n">
        <v>467342</v>
      </c>
      <c r="B1188" s="0" t="n">
        <v>467342</v>
      </c>
      <c r="C1188" s="0" t="n">
        <v>3</v>
      </c>
      <c r="D1188" s="0" t="n">
        <v>12</v>
      </c>
      <c r="E1188" s="0" t="n">
        <v>2402</v>
      </c>
      <c r="F1188" s="0" t="n">
        <v>96</v>
      </c>
      <c r="G1188" s="0" t="n">
        <v>89</v>
      </c>
      <c r="H1188" s="0" t="s">
        <v>2355</v>
      </c>
      <c r="I1188" s="0" t="s">
        <v>2363</v>
      </c>
      <c r="J1188" s="9" t="n">
        <v>45904</v>
      </c>
      <c r="K1188" s="0" t="s">
        <v>2364</v>
      </c>
      <c r="L1188" s="0" t="n">
        <v>23</v>
      </c>
      <c r="M1188" s="10" t="n">
        <f aca="false">_xlfn.NUMBERVALUE("" &amp; K1188 &amp; "",".",",")</f>
        <v>0.145023246944444</v>
      </c>
      <c r="N1188" s="10"/>
      <c r="O1188" s="0" t="str">
        <f aca="false">VLOOKUP(C1188,statusdetails!$A:$D,4,0)</f>
        <v>STANDBY</v>
      </c>
      <c r="P1188" s="0" t="str">
        <f aca="false">VLOOKUP(F1188,equipment!$A:$E,4,0)</f>
        <v>EX503</v>
      </c>
      <c r="Q1188" s="0" t="str">
        <f aca="false">VLOOKUP(F1188,equipment!$A:$E,5,0)</f>
        <v>EX503 - 96</v>
      </c>
    </row>
    <row r="1189" customFormat="false" ht="12.8" hidden="true" customHeight="false" outlineLevel="0" collapsed="false">
      <c r="A1189" s="0" t="n">
        <v>467343</v>
      </c>
      <c r="B1189" s="0" t="n">
        <v>467343</v>
      </c>
      <c r="C1189" s="0" t="n">
        <v>3</v>
      </c>
      <c r="D1189" s="0" t="n">
        <v>12</v>
      </c>
      <c r="E1189" s="0" t="n">
        <v>2094</v>
      </c>
      <c r="F1189" s="0" t="n">
        <v>66</v>
      </c>
      <c r="G1189" s="0" t="n">
        <v>66</v>
      </c>
      <c r="H1189" s="0" t="s">
        <v>2359</v>
      </c>
      <c r="I1189" s="0" t="s">
        <v>2365</v>
      </c>
      <c r="J1189" s="9" t="n">
        <v>45904</v>
      </c>
      <c r="K1189" s="0" t="s">
        <v>2366</v>
      </c>
      <c r="L1189" s="0" t="n">
        <v>23</v>
      </c>
      <c r="M1189" s="10" t="n">
        <f aca="false">_xlfn.NUMBERVALUE("" &amp; K1189 &amp; "",".",",")</f>
        <v>0.127364492777778</v>
      </c>
      <c r="N1189" s="10"/>
      <c r="O1189" s="0" t="str">
        <f aca="false">VLOOKUP(C1189,statusdetails!$A:$D,4,0)</f>
        <v>STANDBY</v>
      </c>
      <c r="P1189" s="0" t="str">
        <f aca="false">VLOOKUP(F1189,equipment!$A:$E,4,0)</f>
        <v>CM407</v>
      </c>
      <c r="Q1189" s="0" t="str">
        <f aca="false">VLOOKUP(F1189,equipment!$A:$E,5,0)</f>
        <v>CM407 - 66</v>
      </c>
    </row>
    <row r="1190" customFormat="false" ht="12.8" hidden="true" customHeight="false" outlineLevel="0" collapsed="false">
      <c r="A1190" s="0" t="n">
        <v>467344</v>
      </c>
      <c r="B1190" s="0" t="n">
        <v>467344</v>
      </c>
      <c r="C1190" s="0" t="n">
        <v>3</v>
      </c>
      <c r="D1190" s="0" t="n">
        <v>12</v>
      </c>
      <c r="E1190" s="0" t="n">
        <v>2094</v>
      </c>
      <c r="F1190" s="0" t="n">
        <v>33</v>
      </c>
      <c r="G1190" s="0" t="n">
        <v>7</v>
      </c>
      <c r="H1190" s="0" t="s">
        <v>2357</v>
      </c>
      <c r="I1190" s="0" t="s">
        <v>2367</v>
      </c>
      <c r="J1190" s="9" t="n">
        <v>45904</v>
      </c>
      <c r="K1190" s="0" t="s">
        <v>2368</v>
      </c>
      <c r="L1190" s="0" t="n">
        <v>23</v>
      </c>
      <c r="M1190" s="10" t="n">
        <f aca="false">_xlfn.NUMBERVALUE("" &amp; K1190 &amp; "",".",",")</f>
        <v>0.152855008333333</v>
      </c>
      <c r="N1190" s="10"/>
      <c r="O1190" s="0" t="str">
        <f aca="false">VLOOKUP(C1190,statusdetails!$A:$D,4,0)</f>
        <v>STANDBY</v>
      </c>
      <c r="P1190" s="0" t="str">
        <f aca="false">VLOOKUP(F1190,equipment!$A:$E,4,0)</f>
        <v>CM406</v>
      </c>
      <c r="Q1190" s="0" t="str">
        <f aca="false">VLOOKUP(F1190,equipment!$A:$E,5,0)</f>
        <v>CM406 - 33</v>
      </c>
    </row>
    <row r="1191" customFormat="false" ht="12.8" hidden="true" customHeight="false" outlineLevel="0" collapsed="false">
      <c r="A1191" s="0" t="n">
        <v>467345</v>
      </c>
      <c r="B1191" s="0" t="n">
        <v>467345</v>
      </c>
      <c r="C1191" s="0" t="n">
        <v>1</v>
      </c>
      <c r="D1191" s="0" t="n">
        <v>6</v>
      </c>
      <c r="E1191" s="0" t="n">
        <v>260</v>
      </c>
      <c r="F1191" s="0" t="n">
        <v>66</v>
      </c>
      <c r="G1191" s="0" t="n">
        <v>66</v>
      </c>
      <c r="H1191" s="0" t="s">
        <v>2365</v>
      </c>
      <c r="I1191" s="0" t="s">
        <v>2369</v>
      </c>
      <c r="J1191" s="9" t="n">
        <v>45904</v>
      </c>
      <c r="K1191" s="0" t="s">
        <v>2370</v>
      </c>
      <c r="L1191" s="0" t="n">
        <v>23</v>
      </c>
      <c r="M1191" s="10" t="n">
        <f aca="false">_xlfn.NUMBERVALUE("" &amp; K1191 &amp; "",".",",")</f>
        <v>0.836454170555555</v>
      </c>
      <c r="N1191" s="10"/>
      <c r="O1191" s="0" t="str">
        <f aca="false">VLOOKUP(C1191,statusdetails!$A:$D,4,0)</f>
        <v>READY</v>
      </c>
    </row>
    <row r="1192" customFormat="false" ht="12.8" hidden="true" customHeight="false" outlineLevel="0" collapsed="false">
      <c r="A1192" s="0" t="n">
        <v>467346</v>
      </c>
      <c r="B1192" s="0" t="n">
        <v>467346</v>
      </c>
      <c r="C1192" s="0" t="n">
        <v>1</v>
      </c>
      <c r="D1192" s="0" t="n">
        <v>6</v>
      </c>
      <c r="E1192" s="0" t="n">
        <v>2518</v>
      </c>
      <c r="F1192" s="0" t="n">
        <v>96</v>
      </c>
      <c r="G1192" s="0" t="n">
        <v>89</v>
      </c>
      <c r="H1192" s="0" t="s">
        <v>2363</v>
      </c>
      <c r="I1192" s="0" t="s">
        <v>2371</v>
      </c>
      <c r="J1192" s="9" t="n">
        <v>45904</v>
      </c>
      <c r="K1192" s="0" t="s">
        <v>2372</v>
      </c>
      <c r="L1192" s="0" t="n">
        <v>23</v>
      </c>
      <c r="M1192" s="10" t="n">
        <f aca="false">_xlfn.NUMBERVALUE("" &amp; K1192 &amp; "",".",",")</f>
        <v>0.820438413333333</v>
      </c>
      <c r="N1192" s="10"/>
      <c r="O1192" s="0" t="str">
        <f aca="false">VLOOKUP(C1192,statusdetails!$A:$D,4,0)</f>
        <v>READY</v>
      </c>
    </row>
    <row r="1193" customFormat="false" ht="12.8" hidden="true" customHeight="false" outlineLevel="0" collapsed="false">
      <c r="A1193" s="0" t="n">
        <v>467347</v>
      </c>
      <c r="B1193" s="0" t="n">
        <v>467347</v>
      </c>
      <c r="C1193" s="0" t="n">
        <v>1</v>
      </c>
      <c r="D1193" s="0" t="n">
        <v>6</v>
      </c>
      <c r="E1193" s="0" t="n">
        <v>1040</v>
      </c>
      <c r="F1193" s="0" t="n">
        <v>47</v>
      </c>
      <c r="G1193" s="0" t="n">
        <v>103</v>
      </c>
      <c r="H1193" s="0" t="s">
        <v>2361</v>
      </c>
      <c r="I1193" s="0" t="s">
        <v>2373</v>
      </c>
      <c r="J1193" s="9" t="n">
        <v>45904</v>
      </c>
      <c r="K1193" s="0" t="s">
        <v>2374</v>
      </c>
      <c r="L1193" s="0" t="n">
        <v>23</v>
      </c>
      <c r="M1193" s="10" t="n">
        <f aca="false">_xlfn.NUMBERVALUE("" &amp; K1193 &amp; "",".",",")</f>
        <v>0.970513353611111</v>
      </c>
      <c r="N1193" s="10"/>
      <c r="O1193" s="0" t="str">
        <f aca="false">VLOOKUP(C1193,statusdetails!$A:$D,4,0)</f>
        <v>READY</v>
      </c>
    </row>
    <row r="1194" customFormat="false" ht="12.8" hidden="true" customHeight="false" outlineLevel="0" collapsed="false">
      <c r="A1194" s="0" t="n">
        <v>467348</v>
      </c>
      <c r="B1194" s="0" t="n">
        <v>467348</v>
      </c>
      <c r="C1194" s="0" t="n">
        <v>1</v>
      </c>
      <c r="D1194" s="0" t="n">
        <v>6</v>
      </c>
      <c r="E1194" s="0" t="n">
        <v>260</v>
      </c>
      <c r="F1194" s="0" t="n">
        <v>33</v>
      </c>
      <c r="G1194" s="0" t="n">
        <v>7</v>
      </c>
      <c r="H1194" s="0" t="s">
        <v>2367</v>
      </c>
      <c r="I1194" s="0" t="s">
        <v>2375</v>
      </c>
      <c r="J1194" s="9" t="n">
        <v>45904</v>
      </c>
      <c r="K1194" s="0" t="s">
        <v>2376</v>
      </c>
      <c r="L1194" s="0" t="n">
        <v>23</v>
      </c>
      <c r="M1194" s="10" t="n">
        <f aca="false">_xlfn.NUMBERVALUE("" &amp; K1194 &amp; "",".",",")</f>
        <v>0.812787988611111</v>
      </c>
      <c r="N1194" s="10"/>
      <c r="O1194" s="0" t="str">
        <f aca="false">VLOOKUP(C1194,statusdetails!$A:$D,4,0)</f>
        <v>READY</v>
      </c>
    </row>
    <row r="1195" customFormat="false" ht="12.8" hidden="true" customHeight="false" outlineLevel="0" collapsed="false">
      <c r="A1195" s="0" t="n">
        <v>467350</v>
      </c>
      <c r="B1195" s="0" t="n">
        <v>467350</v>
      </c>
      <c r="C1195" s="0" t="n">
        <v>4</v>
      </c>
      <c r="D1195" s="0" t="n">
        <v>16</v>
      </c>
      <c r="E1195" s="0" t="n">
        <v>2475</v>
      </c>
      <c r="F1195" s="0" t="n">
        <v>32</v>
      </c>
      <c r="G1195" s="0" t="n">
        <v>67</v>
      </c>
      <c r="H1195" s="0" t="s">
        <v>2341</v>
      </c>
      <c r="I1195" s="0" t="s">
        <v>2377</v>
      </c>
      <c r="J1195" s="9" t="n">
        <v>45904</v>
      </c>
      <c r="K1195" s="0" t="s">
        <v>2378</v>
      </c>
      <c r="L1195" s="0" t="n">
        <v>23</v>
      </c>
      <c r="M1195" s="10" t="n">
        <f aca="false">_xlfn.NUMBERVALUE("" &amp; K1195 &amp; "",".",",")</f>
        <v>3.19214294305556</v>
      </c>
      <c r="N1195" s="10"/>
      <c r="O1195" s="0" t="str">
        <f aca="false">VLOOKUP(C1195,statusdetails!$A:$D,4,0)</f>
        <v>MAINT</v>
      </c>
    </row>
    <row r="1196" customFormat="false" ht="12.8" hidden="true" customHeight="false" outlineLevel="0" collapsed="false">
      <c r="A1196" s="0" t="n">
        <v>467351</v>
      </c>
      <c r="B1196" s="0" t="n">
        <v>467351</v>
      </c>
      <c r="C1196" s="0" t="n">
        <v>3</v>
      </c>
      <c r="D1196" s="0" t="n">
        <v>12</v>
      </c>
      <c r="E1196" s="0" t="n">
        <v>2504</v>
      </c>
      <c r="F1196" s="0" t="n">
        <v>88</v>
      </c>
      <c r="G1196" s="0" t="n">
        <v>0</v>
      </c>
      <c r="H1196" s="0" t="s">
        <v>2094</v>
      </c>
      <c r="I1196" s="0" t="s">
        <v>2379</v>
      </c>
      <c r="J1196" s="9" t="n">
        <v>45904</v>
      </c>
      <c r="K1196" s="0" t="s">
        <v>2380</v>
      </c>
      <c r="L1196" s="0" t="n">
        <v>23</v>
      </c>
      <c r="M1196" s="10" t="n">
        <f aca="false">_xlfn.NUMBERVALUE("" &amp; K1196 &amp; "",".",",")</f>
        <v>4.09951296611111</v>
      </c>
      <c r="N1196" s="10"/>
      <c r="O1196" s="0" t="str">
        <f aca="false">VLOOKUP(C1196,statusdetails!$A:$D,4,0)</f>
        <v>STANDBY</v>
      </c>
      <c r="P1196" s="0" t="str">
        <f aca="false">VLOOKUP(F1196,equipment!$A:$E,4,0)</f>
        <v>CM05</v>
      </c>
      <c r="Q1196" s="0" t="str">
        <f aca="false">VLOOKUP(F1196,equipment!$A:$E,5,0)</f>
        <v>CM05 - 88</v>
      </c>
    </row>
    <row r="1197" customFormat="false" ht="12.8" hidden="true" customHeight="false" outlineLevel="0" collapsed="false">
      <c r="A1197" s="0" t="n">
        <v>467352</v>
      </c>
      <c r="B1197" s="0" t="n">
        <v>467352</v>
      </c>
      <c r="C1197" s="0" t="n">
        <v>2</v>
      </c>
      <c r="D1197" s="0" t="n">
        <v>9</v>
      </c>
      <c r="E1197" s="0" t="n">
        <v>2515</v>
      </c>
      <c r="F1197" s="0" t="n">
        <v>86</v>
      </c>
      <c r="G1197" s="0" t="n">
        <v>149</v>
      </c>
      <c r="H1197" s="0" t="s">
        <v>2309</v>
      </c>
      <c r="I1197" s="0" t="s">
        <v>2381</v>
      </c>
      <c r="J1197" s="9" t="n">
        <v>45904</v>
      </c>
      <c r="K1197" s="0" t="s">
        <v>2382</v>
      </c>
      <c r="L1197" s="0" t="n">
        <v>23</v>
      </c>
      <c r="M1197" s="3" t="n">
        <f aca="false">_xlfn.NUMBERVALUE("" &amp; K1197 &amp; "",".",",")</f>
        <v>0.0416288888888889</v>
      </c>
      <c r="O1197" s="0" t="str">
        <f aca="false">VLOOKUP(C1197,statusdetails!$A:$D,4,0)</f>
        <v>DELAY</v>
      </c>
    </row>
    <row r="1198" customFormat="false" ht="12.8" hidden="true" customHeight="false" outlineLevel="0" collapsed="false">
      <c r="A1198" s="0" t="n">
        <v>467353</v>
      </c>
      <c r="B1198" s="0" t="n">
        <v>467353</v>
      </c>
      <c r="C1198" s="0" t="n">
        <v>1</v>
      </c>
      <c r="D1198" s="0" t="n">
        <v>6</v>
      </c>
      <c r="E1198" s="0" t="n">
        <v>2404</v>
      </c>
      <c r="F1198" s="0" t="n">
        <v>86</v>
      </c>
      <c r="G1198" s="0" t="n">
        <v>149</v>
      </c>
      <c r="H1198" s="0" t="s">
        <v>2381</v>
      </c>
      <c r="I1198" s="0" t="s">
        <v>2383</v>
      </c>
      <c r="J1198" s="9" t="n">
        <v>45904</v>
      </c>
      <c r="K1198" s="0" t="s">
        <v>2384</v>
      </c>
      <c r="L1198" s="0" t="n">
        <v>23</v>
      </c>
      <c r="M1198" s="10" t="n">
        <f aca="false">_xlfn.NUMBERVALUE("" &amp; K1198 &amp; "",".",",")</f>
        <v>5.13090027777778</v>
      </c>
      <c r="N1198" s="10"/>
      <c r="O1198" s="0" t="str">
        <f aca="false">VLOOKUP(C1198,statusdetails!$A:$D,4,0)</f>
        <v>READY</v>
      </c>
    </row>
    <row r="1199" customFormat="false" ht="12.8" hidden="true" customHeight="false" outlineLevel="0" collapsed="false">
      <c r="A1199" s="0" t="n">
        <v>467354</v>
      </c>
      <c r="B1199" s="0" t="n">
        <v>467354</v>
      </c>
      <c r="C1199" s="0" t="n">
        <v>3</v>
      </c>
      <c r="D1199" s="0" t="n">
        <v>12</v>
      </c>
      <c r="E1199" s="0" t="n">
        <v>2402</v>
      </c>
      <c r="F1199" s="0" t="n">
        <v>96</v>
      </c>
      <c r="G1199" s="0" t="n">
        <v>89</v>
      </c>
      <c r="H1199" s="0" t="s">
        <v>2371</v>
      </c>
      <c r="I1199" s="0" t="s">
        <v>2385</v>
      </c>
      <c r="J1199" s="9" t="n">
        <v>45904</v>
      </c>
      <c r="K1199" s="0" t="s">
        <v>2386</v>
      </c>
      <c r="L1199" s="0" t="n">
        <v>0</v>
      </c>
      <c r="M1199" s="10" t="n">
        <f aca="false">_xlfn.NUMBERVALUE("" &amp; K1199 &amp; "",".",",")</f>
        <v>0.474599730555556</v>
      </c>
      <c r="N1199" s="10"/>
      <c r="O1199" s="0" t="str">
        <f aca="false">VLOOKUP(C1199,statusdetails!$A:$D,4,0)</f>
        <v>STANDBY</v>
      </c>
      <c r="P1199" s="0" t="str">
        <f aca="false">VLOOKUP(F1199,equipment!$A:$E,4,0)</f>
        <v>EX503</v>
      </c>
      <c r="Q1199" s="0" t="str">
        <f aca="false">VLOOKUP(F1199,equipment!$A:$E,5,0)</f>
        <v>EX503 - 96</v>
      </c>
    </row>
    <row r="1200" customFormat="false" ht="12.8" hidden="true" customHeight="false" outlineLevel="0" collapsed="false">
      <c r="A1200" s="0" t="n">
        <v>467355</v>
      </c>
      <c r="B1200" s="0" t="n">
        <v>467355</v>
      </c>
      <c r="C1200" s="0" t="n">
        <v>2</v>
      </c>
      <c r="D1200" s="0" t="n">
        <v>9</v>
      </c>
      <c r="E1200" s="0" t="n">
        <v>2568</v>
      </c>
      <c r="F1200" s="0" t="n">
        <v>66</v>
      </c>
      <c r="G1200" s="0" t="n">
        <v>66</v>
      </c>
      <c r="H1200" s="0" t="s">
        <v>2369</v>
      </c>
      <c r="I1200" s="0" t="s">
        <v>2387</v>
      </c>
      <c r="J1200" s="9" t="n">
        <v>45904</v>
      </c>
      <c r="K1200" s="0" t="s">
        <v>2388</v>
      </c>
      <c r="L1200" s="0" t="n">
        <v>0</v>
      </c>
      <c r="M1200" s="3" t="n">
        <f aca="false">_xlfn.NUMBERVALUE("" &amp; K1200 &amp; "",".",",")</f>
        <v>0.237323073055556</v>
      </c>
      <c r="O1200" s="0" t="str">
        <f aca="false">VLOOKUP(C1200,statusdetails!$A:$D,4,0)</f>
        <v>DELAY</v>
      </c>
    </row>
    <row r="1201" customFormat="false" ht="12.8" hidden="true" customHeight="false" outlineLevel="0" collapsed="false">
      <c r="A1201" s="0" t="n">
        <v>467356</v>
      </c>
      <c r="B1201" s="0" t="n">
        <v>467356</v>
      </c>
      <c r="C1201" s="0" t="n">
        <v>2</v>
      </c>
      <c r="D1201" s="0" t="n">
        <v>9</v>
      </c>
      <c r="E1201" s="0" t="n">
        <v>2568</v>
      </c>
      <c r="F1201" s="0" t="n">
        <v>33</v>
      </c>
      <c r="G1201" s="0" t="n">
        <v>7</v>
      </c>
      <c r="H1201" s="0" t="s">
        <v>2375</v>
      </c>
      <c r="I1201" s="0" t="s">
        <v>2389</v>
      </c>
      <c r="J1201" s="9" t="n">
        <v>45904</v>
      </c>
      <c r="K1201" s="0" t="s">
        <v>2390</v>
      </c>
      <c r="L1201" s="0" t="n">
        <v>0</v>
      </c>
      <c r="M1201" s="3" t="n">
        <f aca="false">_xlfn.NUMBERVALUE("" &amp; K1201 &amp; "",".",",")</f>
        <v>0.245671606666667</v>
      </c>
      <c r="O1201" s="0" t="str">
        <f aca="false">VLOOKUP(C1201,statusdetails!$A:$D,4,0)</f>
        <v>DELAY</v>
      </c>
    </row>
    <row r="1202" customFormat="false" ht="12.8" hidden="true" customHeight="false" outlineLevel="0" collapsed="false">
      <c r="A1202" s="0" t="n">
        <v>467357</v>
      </c>
      <c r="B1202" s="0" t="n">
        <v>467357</v>
      </c>
      <c r="C1202" s="0" t="n">
        <v>4</v>
      </c>
      <c r="D1202" s="0" t="n">
        <v>15</v>
      </c>
      <c r="E1202" s="0" t="n">
        <v>2396</v>
      </c>
      <c r="F1202" s="0" t="n">
        <v>82</v>
      </c>
      <c r="G1202" s="0" t="n">
        <v>107</v>
      </c>
      <c r="H1202" s="0" t="s">
        <v>2391</v>
      </c>
      <c r="I1202" s="0" t="s">
        <v>2392</v>
      </c>
      <c r="J1202" s="9" t="n">
        <v>45904</v>
      </c>
      <c r="K1202" s="0" t="s">
        <v>2393</v>
      </c>
      <c r="L1202" s="0" t="n">
        <v>0</v>
      </c>
      <c r="M1202" s="10" t="n">
        <f aca="false">_xlfn.NUMBERVALUE("" &amp; K1202 &amp; "",".",",")</f>
        <v>1.72470364833333</v>
      </c>
      <c r="N1202" s="10"/>
      <c r="O1202" s="0" t="str">
        <f aca="false">VLOOKUP(C1202,statusdetails!$A:$D,4,0)</f>
        <v>MAINT</v>
      </c>
    </row>
    <row r="1203" customFormat="false" ht="12.8" hidden="true" customHeight="false" outlineLevel="0" collapsed="false">
      <c r="A1203" s="0" t="n">
        <v>467358</v>
      </c>
      <c r="B1203" s="0" t="n">
        <v>467358</v>
      </c>
      <c r="C1203" s="0" t="n">
        <v>3</v>
      </c>
      <c r="D1203" s="0" t="n">
        <v>12</v>
      </c>
      <c r="E1203" s="0" t="n">
        <v>2453</v>
      </c>
      <c r="F1203" s="0" t="n">
        <v>90</v>
      </c>
      <c r="G1203" s="0" t="n">
        <v>163</v>
      </c>
      <c r="H1203" s="0" t="s">
        <v>2351</v>
      </c>
      <c r="I1203" s="0" t="s">
        <v>2394</v>
      </c>
      <c r="J1203" s="9" t="n">
        <v>45904</v>
      </c>
      <c r="K1203" s="0" t="s">
        <v>2395</v>
      </c>
      <c r="L1203" s="0" t="n">
        <v>0</v>
      </c>
      <c r="M1203" s="10" t="n">
        <f aca="false">_xlfn.NUMBERVALUE("" &amp; K1203 &amp; "",".",",")</f>
        <v>19.3226864666667</v>
      </c>
      <c r="N1203" s="10"/>
      <c r="O1203" s="0" t="str">
        <f aca="false">VLOOKUP(C1203,statusdetails!$A:$D,4,0)</f>
        <v>STANDBY</v>
      </c>
      <c r="P1203" s="0" t="str">
        <f aca="false">VLOOKUP(F1203,equipment!$A:$E,4,0)</f>
        <v>EX803</v>
      </c>
      <c r="Q1203" s="0" t="str">
        <f aca="false">VLOOKUP(F1203,equipment!$A:$E,5,0)</f>
        <v>EX803 - 90</v>
      </c>
    </row>
    <row r="1204" customFormat="false" ht="12.8" hidden="true" customHeight="false" outlineLevel="0" collapsed="false">
      <c r="A1204" s="0" t="n">
        <v>467359</v>
      </c>
      <c r="B1204" s="0" t="n">
        <v>467359</v>
      </c>
      <c r="C1204" s="0" t="n">
        <v>3</v>
      </c>
      <c r="D1204" s="0" t="n">
        <v>12</v>
      </c>
      <c r="E1204" s="0" t="n">
        <v>2135</v>
      </c>
      <c r="F1204" s="0" t="n">
        <v>47</v>
      </c>
      <c r="G1204" s="0" t="n">
        <v>103</v>
      </c>
      <c r="H1204" s="0" t="s">
        <v>2373</v>
      </c>
      <c r="I1204" s="0" t="s">
        <v>2396</v>
      </c>
      <c r="J1204" s="9" t="n">
        <v>45904</v>
      </c>
      <c r="K1204" s="0" t="s">
        <v>2397</v>
      </c>
      <c r="L1204" s="0" t="n">
        <v>0</v>
      </c>
      <c r="M1204" s="10" t="n">
        <f aca="false">_xlfn.NUMBERVALUE("" &amp; K1204 &amp; "",".",",")</f>
        <v>1.41844507333333</v>
      </c>
      <c r="N1204" s="10"/>
      <c r="O1204" s="0" t="str">
        <f aca="false">VLOOKUP(C1204,statusdetails!$A:$D,4,0)</f>
        <v>STANDBY</v>
      </c>
      <c r="P1204" s="0" t="str">
        <f aca="false">VLOOKUP(F1204,equipment!$A:$E,4,0)</f>
        <v>Ch1</v>
      </c>
      <c r="Q1204" s="0" t="str">
        <f aca="false">VLOOKUP(F1204,equipment!$A:$E,5,0)</f>
        <v>Ch1 - 47</v>
      </c>
    </row>
    <row r="1205" customFormat="false" ht="12.8" hidden="true" customHeight="false" outlineLevel="0" collapsed="false">
      <c r="A1205" s="0" t="n">
        <v>467360</v>
      </c>
      <c r="B1205" s="0" t="n">
        <v>467360</v>
      </c>
      <c r="C1205" s="0" t="n">
        <v>3</v>
      </c>
      <c r="D1205" s="0" t="n">
        <v>12</v>
      </c>
      <c r="E1205" s="0" t="n">
        <v>1011</v>
      </c>
      <c r="F1205" s="0" t="n">
        <v>35</v>
      </c>
      <c r="G1205" s="0" t="n">
        <v>62</v>
      </c>
      <c r="H1205" s="0" t="s">
        <v>2319</v>
      </c>
      <c r="I1205" s="0" t="s">
        <v>2398</v>
      </c>
      <c r="J1205" s="9" t="n">
        <v>45904</v>
      </c>
      <c r="K1205" s="0" t="s">
        <v>2399</v>
      </c>
      <c r="L1205" s="0" t="n">
        <v>0</v>
      </c>
      <c r="M1205" s="10" t="n">
        <f aca="false">_xlfn.NUMBERVALUE("" &amp; K1205 &amp; "",".",",")</f>
        <v>1.76442570277778</v>
      </c>
      <c r="N1205" s="10"/>
      <c r="O1205" s="0" t="str">
        <f aca="false">VLOOKUP(C1205,statusdetails!$A:$D,4,0)</f>
        <v>STANDBY</v>
      </c>
      <c r="P1205" s="0" t="str">
        <f aca="false">VLOOKUP(F1205,equipment!$A:$E,4,0)</f>
        <v>CM405</v>
      </c>
      <c r="Q1205" s="0" t="str">
        <f aca="false">VLOOKUP(F1205,equipment!$A:$E,5,0)</f>
        <v>CM405 - 35</v>
      </c>
    </row>
    <row r="1206" customFormat="false" ht="12.8" hidden="true" customHeight="false" outlineLevel="0" collapsed="false">
      <c r="A1206" s="0" t="n">
        <v>467361</v>
      </c>
      <c r="B1206" s="0" t="n">
        <v>467361</v>
      </c>
      <c r="C1206" s="0" t="n">
        <v>3</v>
      </c>
      <c r="D1206" s="0" t="n">
        <v>12</v>
      </c>
      <c r="E1206" s="0" t="n">
        <v>2094</v>
      </c>
      <c r="F1206" s="0" t="n">
        <v>66</v>
      </c>
      <c r="G1206" s="0" t="n">
        <v>66</v>
      </c>
      <c r="H1206" s="0" t="s">
        <v>2387</v>
      </c>
      <c r="I1206" s="0" t="s">
        <v>2400</v>
      </c>
      <c r="J1206" s="9" t="n">
        <v>45904</v>
      </c>
      <c r="K1206" s="0" t="s">
        <v>2401</v>
      </c>
      <c r="L1206" s="0" t="n">
        <v>0</v>
      </c>
      <c r="M1206" s="10" t="n">
        <f aca="false">_xlfn.NUMBERVALUE("" &amp; K1206 &amp; "",".",",")</f>
        <v>0.0659670516666667</v>
      </c>
      <c r="N1206" s="10"/>
      <c r="O1206" s="0" t="str">
        <f aca="false">VLOOKUP(C1206,statusdetails!$A:$D,4,0)</f>
        <v>STANDBY</v>
      </c>
      <c r="P1206" s="0" t="str">
        <f aca="false">VLOOKUP(F1206,equipment!$A:$E,4,0)</f>
        <v>CM407</v>
      </c>
      <c r="Q1206" s="0" t="str">
        <f aca="false">VLOOKUP(F1206,equipment!$A:$E,5,0)</f>
        <v>CM407 - 66</v>
      </c>
    </row>
    <row r="1207" customFormat="false" ht="12.8" hidden="true" customHeight="false" outlineLevel="0" collapsed="false">
      <c r="A1207" s="0" t="n">
        <v>467362</v>
      </c>
      <c r="B1207" s="0" t="n">
        <v>467362</v>
      </c>
      <c r="C1207" s="0" t="n">
        <v>3</v>
      </c>
      <c r="D1207" s="0" t="n">
        <v>12</v>
      </c>
      <c r="E1207" s="0" t="n">
        <v>2094</v>
      </c>
      <c r="F1207" s="0" t="n">
        <v>33</v>
      </c>
      <c r="G1207" s="0" t="n">
        <v>7</v>
      </c>
      <c r="H1207" s="0" t="s">
        <v>2389</v>
      </c>
      <c r="I1207" s="0" t="s">
        <v>2402</v>
      </c>
      <c r="J1207" s="9" t="n">
        <v>45904</v>
      </c>
      <c r="K1207" s="0" t="s">
        <v>2403</v>
      </c>
      <c r="L1207" s="0" t="n">
        <v>0</v>
      </c>
      <c r="M1207" s="10" t="n">
        <f aca="false">_xlfn.NUMBERVALUE("" &amp; K1207 &amp; "",".",",")</f>
        <v>0.0717796463888889</v>
      </c>
      <c r="N1207" s="10"/>
      <c r="O1207" s="0" t="str">
        <f aca="false">VLOOKUP(C1207,statusdetails!$A:$D,4,0)</f>
        <v>STANDBY</v>
      </c>
      <c r="P1207" s="0" t="str">
        <f aca="false">VLOOKUP(F1207,equipment!$A:$E,4,0)</f>
        <v>CM406</v>
      </c>
      <c r="Q1207" s="0" t="str">
        <f aca="false">VLOOKUP(F1207,equipment!$A:$E,5,0)</f>
        <v>CM406 - 33</v>
      </c>
    </row>
    <row r="1208" customFormat="false" ht="12.8" hidden="true" customHeight="false" outlineLevel="0" collapsed="false">
      <c r="A1208" s="0" t="n">
        <v>467363</v>
      </c>
      <c r="B1208" s="0" t="n">
        <v>467363</v>
      </c>
      <c r="C1208" s="0" t="n">
        <v>1</v>
      </c>
      <c r="D1208" s="0" t="n">
        <v>6</v>
      </c>
      <c r="E1208" s="0" t="n">
        <v>260</v>
      </c>
      <c r="F1208" s="0" t="n">
        <v>66</v>
      </c>
      <c r="G1208" s="0" t="n">
        <v>66</v>
      </c>
      <c r="H1208" s="0" t="s">
        <v>2400</v>
      </c>
      <c r="I1208" s="0" t="s">
        <v>2404</v>
      </c>
      <c r="J1208" s="9" t="n">
        <v>45904</v>
      </c>
      <c r="K1208" s="0" t="s">
        <v>2405</v>
      </c>
      <c r="L1208" s="0" t="n">
        <v>0</v>
      </c>
      <c r="M1208" s="10" t="n">
        <f aca="false">_xlfn.NUMBERVALUE("" &amp; K1208 &amp; "",".",",")</f>
        <v>0.0131125880555556</v>
      </c>
      <c r="N1208" s="10"/>
      <c r="O1208" s="0" t="str">
        <f aca="false">VLOOKUP(C1208,statusdetails!$A:$D,4,0)</f>
        <v>READY</v>
      </c>
    </row>
    <row r="1209" customFormat="false" ht="12.8" hidden="true" customHeight="false" outlineLevel="0" collapsed="false">
      <c r="A1209" s="0" t="n">
        <v>467364</v>
      </c>
      <c r="B1209" s="0" t="n">
        <v>467364</v>
      </c>
      <c r="C1209" s="0" t="n">
        <v>3</v>
      </c>
      <c r="D1209" s="0" t="n">
        <v>12</v>
      </c>
      <c r="E1209" s="0" t="n">
        <v>2094</v>
      </c>
      <c r="F1209" s="0" t="n">
        <v>66</v>
      </c>
      <c r="G1209" s="0" t="n">
        <v>66</v>
      </c>
      <c r="H1209" s="0" t="s">
        <v>2404</v>
      </c>
      <c r="I1209" s="0" t="s">
        <v>2406</v>
      </c>
      <c r="J1209" s="9" t="n">
        <v>45904</v>
      </c>
      <c r="K1209" s="0" t="s">
        <v>2407</v>
      </c>
      <c r="L1209" s="0" t="n">
        <v>0</v>
      </c>
      <c r="M1209" s="10" t="n">
        <f aca="false">_xlfn.NUMBERVALUE("" &amp; K1209 &amp; "",".",",")</f>
        <v>0.0296284477777778</v>
      </c>
      <c r="N1209" s="10"/>
      <c r="O1209" s="0" t="str">
        <f aca="false">VLOOKUP(C1209,statusdetails!$A:$D,4,0)</f>
        <v>STANDBY</v>
      </c>
      <c r="P1209" s="0" t="str">
        <f aca="false">VLOOKUP(F1209,equipment!$A:$E,4,0)</f>
        <v>CM407</v>
      </c>
      <c r="Q1209" s="0" t="str">
        <f aca="false">VLOOKUP(F1209,equipment!$A:$E,5,0)</f>
        <v>CM407 - 66</v>
      </c>
    </row>
    <row r="1210" customFormat="false" ht="12.8" hidden="true" customHeight="false" outlineLevel="0" collapsed="false">
      <c r="A1210" s="0" t="n">
        <v>467365</v>
      </c>
      <c r="B1210" s="0" t="n">
        <v>467365</v>
      </c>
      <c r="C1210" s="0" t="n">
        <v>3</v>
      </c>
      <c r="D1210" s="0" t="n">
        <v>12</v>
      </c>
      <c r="E1210" s="0" t="n">
        <v>2094</v>
      </c>
      <c r="F1210" s="0" t="n">
        <v>33</v>
      </c>
      <c r="G1210" s="0" t="n">
        <v>7</v>
      </c>
      <c r="H1210" s="0" t="s">
        <v>2402</v>
      </c>
      <c r="I1210" s="0" t="s">
        <v>2408</v>
      </c>
      <c r="J1210" s="9" t="n">
        <v>45904</v>
      </c>
      <c r="K1210" s="0" t="s">
        <v>2409</v>
      </c>
      <c r="L1210" s="0" t="n">
        <v>0</v>
      </c>
      <c r="M1210" s="10" t="n">
        <f aca="false">_xlfn.NUMBERVALUE("" &amp; K1210 &amp; "",".",",")</f>
        <v>0.220200992777778</v>
      </c>
      <c r="N1210" s="10"/>
      <c r="O1210" s="0" t="str">
        <f aca="false">VLOOKUP(C1210,statusdetails!$A:$D,4,0)</f>
        <v>STANDBY</v>
      </c>
      <c r="P1210" s="0" t="str">
        <f aca="false">VLOOKUP(F1210,equipment!$A:$E,4,0)</f>
        <v>CM406</v>
      </c>
      <c r="Q1210" s="0" t="str">
        <f aca="false">VLOOKUP(F1210,equipment!$A:$E,5,0)</f>
        <v>CM406 - 33</v>
      </c>
    </row>
    <row r="1211" customFormat="false" ht="12.8" hidden="true" customHeight="false" outlineLevel="0" collapsed="false">
      <c r="A1211" s="0" t="n">
        <v>467366</v>
      </c>
      <c r="B1211" s="0" t="n">
        <v>467366</v>
      </c>
      <c r="C1211" s="0" t="n">
        <v>2</v>
      </c>
      <c r="D1211" s="0" t="n">
        <v>7</v>
      </c>
      <c r="E1211" s="0" t="n">
        <v>1026</v>
      </c>
      <c r="F1211" s="0" t="n">
        <v>66</v>
      </c>
      <c r="G1211" s="0" t="n">
        <v>66</v>
      </c>
      <c r="H1211" s="0" t="s">
        <v>2406</v>
      </c>
      <c r="I1211" s="0" t="s">
        <v>2410</v>
      </c>
      <c r="J1211" s="9" t="n">
        <v>45904</v>
      </c>
      <c r="K1211" s="0" t="s">
        <v>2411</v>
      </c>
      <c r="L1211" s="0" t="n">
        <v>0</v>
      </c>
      <c r="M1211" s="3" t="n">
        <f aca="false">_xlfn.NUMBERVALUE("" &amp; K1211 &amp; "",".",",")</f>
        <v>0.182989603333333</v>
      </c>
      <c r="O1211" s="0" t="str">
        <f aca="false">VLOOKUP(C1211,statusdetails!$A:$D,4,0)</f>
        <v>DELAY</v>
      </c>
    </row>
    <row r="1212" customFormat="false" ht="12.8" hidden="true" customHeight="false" outlineLevel="0" collapsed="false">
      <c r="A1212" s="0" t="n">
        <v>467367</v>
      </c>
      <c r="B1212" s="0" t="n">
        <v>467367</v>
      </c>
      <c r="C1212" s="0" t="n">
        <v>2</v>
      </c>
      <c r="D1212" s="0" t="n">
        <v>7</v>
      </c>
      <c r="E1212" s="0" t="n">
        <v>2385</v>
      </c>
      <c r="F1212" s="0" t="n">
        <v>96</v>
      </c>
      <c r="G1212" s="0" t="n">
        <v>89</v>
      </c>
      <c r="H1212" s="0" t="s">
        <v>2385</v>
      </c>
      <c r="I1212" s="11" t="n">
        <v>45905.0233217593</v>
      </c>
      <c r="J1212" s="9" t="n">
        <v>45904</v>
      </c>
      <c r="K1212" s="0" t="s">
        <v>2412</v>
      </c>
      <c r="L1212" s="0" t="n">
        <v>0</v>
      </c>
      <c r="M1212" s="3" t="n">
        <f aca="false">_xlfn.NUMBERVALUE("" &amp; K1212 &amp; "",".",",")</f>
        <v>0.0611200383333333</v>
      </c>
      <c r="O1212" s="0" t="str">
        <f aca="false">VLOOKUP(C1212,statusdetails!$A:$D,4,0)</f>
        <v>DELAY</v>
      </c>
    </row>
    <row r="1213" customFormat="false" ht="12.8" hidden="true" customHeight="false" outlineLevel="0" collapsed="false">
      <c r="A1213" s="0" t="n">
        <v>467368</v>
      </c>
      <c r="B1213" s="0" t="n">
        <v>467368</v>
      </c>
      <c r="C1213" s="0" t="n">
        <v>1</v>
      </c>
      <c r="D1213" s="0" t="n">
        <v>6</v>
      </c>
      <c r="E1213" s="0" t="n">
        <v>260</v>
      </c>
      <c r="F1213" s="0" t="n">
        <v>66</v>
      </c>
      <c r="G1213" s="0" t="n">
        <v>66</v>
      </c>
      <c r="H1213" s="0" t="s">
        <v>2410</v>
      </c>
      <c r="I1213" s="0" t="s">
        <v>2413</v>
      </c>
      <c r="J1213" s="9" t="n">
        <v>45904</v>
      </c>
      <c r="K1213" s="0" t="s">
        <v>2414</v>
      </c>
      <c r="L1213" s="0" t="n">
        <v>0</v>
      </c>
      <c r="M1213" s="10" t="n">
        <f aca="false">_xlfn.NUMBERVALUE("" &amp; K1213 &amp; "",".",",")</f>
        <v>1.57866923888889</v>
      </c>
      <c r="N1213" s="10"/>
      <c r="O1213" s="0" t="str">
        <f aca="false">VLOOKUP(C1213,statusdetails!$A:$D,4,0)</f>
        <v>READY</v>
      </c>
    </row>
    <row r="1214" customFormat="false" ht="12.8" hidden="true" customHeight="false" outlineLevel="0" collapsed="false">
      <c r="A1214" s="0" t="n">
        <v>467370</v>
      </c>
      <c r="B1214" s="0" t="n">
        <v>467370</v>
      </c>
      <c r="C1214" s="0" t="n">
        <v>1</v>
      </c>
      <c r="D1214" s="0" t="n">
        <v>6</v>
      </c>
      <c r="E1214" s="0" t="n">
        <v>260</v>
      </c>
      <c r="F1214" s="0" t="n">
        <v>33</v>
      </c>
      <c r="G1214" s="0" t="n">
        <v>118</v>
      </c>
      <c r="H1214" s="0" t="s">
        <v>2408</v>
      </c>
      <c r="I1214" s="0" t="s">
        <v>2415</v>
      </c>
      <c r="J1214" s="9" t="n">
        <v>45904</v>
      </c>
      <c r="K1214" s="0" t="s">
        <v>2416</v>
      </c>
      <c r="L1214" s="0" t="n">
        <v>0</v>
      </c>
      <c r="M1214" s="10" t="n">
        <f aca="false">_xlfn.NUMBERVALUE("" &amp; K1214 &amp; "",".",",")</f>
        <v>1.56761557861111</v>
      </c>
      <c r="N1214" s="10"/>
      <c r="O1214" s="0" t="str">
        <f aca="false">VLOOKUP(C1214,statusdetails!$A:$D,4,0)</f>
        <v>READY</v>
      </c>
    </row>
    <row r="1215" customFormat="false" ht="12.8" hidden="true" customHeight="false" outlineLevel="0" collapsed="false">
      <c r="A1215" s="0" t="n">
        <v>467371</v>
      </c>
      <c r="B1215" s="0" t="n">
        <v>467327</v>
      </c>
      <c r="C1215" s="0" t="n">
        <v>1</v>
      </c>
      <c r="D1215" s="0" t="n">
        <v>6</v>
      </c>
      <c r="E1215" s="0" t="n">
        <v>2518</v>
      </c>
      <c r="F1215" s="0" t="n">
        <v>82</v>
      </c>
      <c r="G1215" s="0" t="n">
        <v>107</v>
      </c>
      <c r="H1215" s="11" t="n">
        <v>45904.9108564815</v>
      </c>
      <c r="I1215" s="0" t="s">
        <v>2391</v>
      </c>
      <c r="J1215" s="9" t="n">
        <v>45904</v>
      </c>
      <c r="K1215" s="0" t="s">
        <v>2417</v>
      </c>
      <c r="L1215" s="0" t="n">
        <v>21</v>
      </c>
      <c r="M1215" s="10" t="n">
        <f aca="false">_xlfn.NUMBERVALUE("" &amp; K1215 &amp; "",".",",")</f>
        <v>2.20612415833333</v>
      </c>
      <c r="N1215" s="10"/>
      <c r="O1215" s="0" t="str">
        <f aca="false">VLOOKUP(C1215,statusdetails!$A:$D,4,0)</f>
        <v>READY</v>
      </c>
    </row>
    <row r="1216" customFormat="false" ht="12.8" hidden="true" customHeight="false" outlineLevel="0" collapsed="false">
      <c r="A1216" s="0" t="n">
        <v>467372</v>
      </c>
      <c r="B1216" s="0" t="n">
        <v>467328</v>
      </c>
      <c r="C1216" s="0" t="n">
        <v>1</v>
      </c>
      <c r="D1216" s="0" t="n">
        <v>6</v>
      </c>
      <c r="E1216" s="0" t="n">
        <v>2518</v>
      </c>
      <c r="F1216" s="0" t="n">
        <v>96</v>
      </c>
      <c r="G1216" s="0" t="n">
        <v>89</v>
      </c>
      <c r="H1216" s="11" t="n">
        <v>45904.9200925926</v>
      </c>
      <c r="I1216" s="11" t="n">
        <v>45904.944375</v>
      </c>
      <c r="J1216" s="9" t="n">
        <v>45904</v>
      </c>
      <c r="K1216" s="0" t="s">
        <v>2418</v>
      </c>
      <c r="L1216" s="0" t="n">
        <v>22</v>
      </c>
      <c r="M1216" s="10" t="n">
        <f aca="false">_xlfn.NUMBERVALUE("" &amp; K1216 &amp; "",".",",")</f>
        <v>0.582777777777778</v>
      </c>
      <c r="N1216" s="10"/>
      <c r="O1216" s="0" t="str">
        <f aca="false">VLOOKUP(C1216,statusdetails!$A:$D,4,0)</f>
        <v>READY</v>
      </c>
    </row>
    <row r="1217" customFormat="false" ht="12.8" hidden="true" customHeight="false" outlineLevel="0" collapsed="false">
      <c r="A1217" s="0" t="n">
        <v>467373</v>
      </c>
      <c r="B1217" s="0" t="n">
        <v>467369</v>
      </c>
      <c r="C1217" s="0" t="n">
        <v>1</v>
      </c>
      <c r="D1217" s="0" t="n">
        <v>6</v>
      </c>
      <c r="E1217" s="0" t="n">
        <v>2518</v>
      </c>
      <c r="F1217" s="0" t="n">
        <v>96</v>
      </c>
      <c r="G1217" s="0" t="n">
        <v>89</v>
      </c>
      <c r="H1217" s="11" t="n">
        <v>45905.0233217593</v>
      </c>
      <c r="I1217" s="0" t="s">
        <v>2419</v>
      </c>
      <c r="J1217" s="9" t="n">
        <v>45904</v>
      </c>
      <c r="K1217" s="0" t="s">
        <v>2420</v>
      </c>
      <c r="L1217" s="0" t="n">
        <v>0</v>
      </c>
      <c r="M1217" s="10" t="n">
        <f aca="false">_xlfn.NUMBERVALUE("" &amp; K1217 &amp; "",".",",")</f>
        <v>1.45151363166667</v>
      </c>
      <c r="N1217" s="10"/>
      <c r="O1217" s="0" t="str">
        <f aca="false">VLOOKUP(C1217,statusdetails!$A:$D,4,0)</f>
        <v>READY</v>
      </c>
    </row>
    <row r="1218" customFormat="false" ht="12.8" hidden="true" customHeight="false" outlineLevel="0" collapsed="false">
      <c r="A1218" s="0" t="n">
        <v>467374</v>
      </c>
      <c r="B1218" s="0" t="n">
        <v>467374</v>
      </c>
      <c r="C1218" s="0" t="n">
        <v>3</v>
      </c>
      <c r="D1218" s="0" t="n">
        <v>12</v>
      </c>
      <c r="E1218" s="0" t="n">
        <v>608</v>
      </c>
      <c r="F1218" s="0" t="n">
        <v>41</v>
      </c>
      <c r="G1218" s="0" t="n">
        <v>0</v>
      </c>
      <c r="H1218" s="0" t="s">
        <v>2266</v>
      </c>
      <c r="I1218" s="0" t="s">
        <v>2421</v>
      </c>
      <c r="J1218" s="9" t="n">
        <v>45904</v>
      </c>
      <c r="K1218" s="0" t="s">
        <v>2422</v>
      </c>
      <c r="L1218" s="0" t="n">
        <v>0</v>
      </c>
      <c r="M1218" s="10" t="n">
        <f aca="false">_xlfn.NUMBERVALUE("" &amp; K1218 &amp; "",".",",")</f>
        <v>1.75792739361111</v>
      </c>
      <c r="N1218" s="10"/>
      <c r="O1218" s="0" t="str">
        <f aca="false">VLOOKUP(C1218,statusdetails!$A:$D,4,0)</f>
        <v>STANDBY</v>
      </c>
      <c r="P1218" s="0" t="str">
        <f aca="false">VLOOKUP(F1218,equipment!$A:$E,4,0)</f>
        <v>MO102</v>
      </c>
      <c r="Q1218" s="0" t="str">
        <f aca="false">VLOOKUP(F1218,equipment!$A:$E,5,0)</f>
        <v>MO102 - 41</v>
      </c>
    </row>
    <row r="1219" customFormat="false" ht="12.8" hidden="true" customHeight="false" outlineLevel="0" collapsed="false">
      <c r="A1219" s="0" t="n">
        <v>467375</v>
      </c>
      <c r="B1219" s="0" t="n">
        <v>467375</v>
      </c>
      <c r="C1219" s="0" t="n">
        <v>3</v>
      </c>
      <c r="D1219" s="0" t="n">
        <v>12</v>
      </c>
      <c r="E1219" s="0" t="n">
        <v>1175</v>
      </c>
      <c r="F1219" s="0" t="n">
        <v>74</v>
      </c>
      <c r="G1219" s="0" t="n">
        <v>42</v>
      </c>
      <c r="H1219" s="0" t="s">
        <v>2294</v>
      </c>
      <c r="I1219" s="0" t="s">
        <v>2423</v>
      </c>
      <c r="J1219" s="9" t="n">
        <v>45904</v>
      </c>
      <c r="K1219" s="0" t="s">
        <v>2424</v>
      </c>
      <c r="L1219" s="0" t="n">
        <v>0</v>
      </c>
      <c r="M1219" s="10" t="n">
        <f aca="false">_xlfn.NUMBERVALUE("" &amp; K1219 &amp; "",".",",")</f>
        <v>4.60832083611111</v>
      </c>
      <c r="N1219" s="10"/>
      <c r="O1219" s="0" t="str">
        <f aca="false">VLOOKUP(C1219,statusdetails!$A:$D,4,0)</f>
        <v>STANDBY</v>
      </c>
      <c r="P1219" s="0" t="str">
        <f aca="false">VLOOKUP(F1219,equipment!$A:$E,4,0)</f>
        <v>CR701</v>
      </c>
      <c r="Q1219" s="0" t="str">
        <f aca="false">VLOOKUP(F1219,equipment!$A:$E,5,0)</f>
        <v>CR701 - 74</v>
      </c>
    </row>
    <row r="1220" customFormat="false" ht="12.8" hidden="true" customHeight="false" outlineLevel="0" collapsed="false">
      <c r="A1220" s="0" t="n">
        <v>467376</v>
      </c>
      <c r="B1220" s="0" t="n">
        <v>467376</v>
      </c>
      <c r="C1220" s="0" t="n">
        <v>3</v>
      </c>
      <c r="D1220" s="0" t="n">
        <v>14</v>
      </c>
      <c r="E1220" s="0" t="n">
        <v>1139</v>
      </c>
      <c r="F1220" s="0" t="n">
        <v>42</v>
      </c>
      <c r="G1220" s="0" t="n">
        <v>16</v>
      </c>
      <c r="H1220" s="0" t="s">
        <v>2311</v>
      </c>
      <c r="I1220" s="0" t="s">
        <v>2425</v>
      </c>
      <c r="J1220" s="9" t="n">
        <v>45904</v>
      </c>
      <c r="K1220" s="0" t="s">
        <v>2426</v>
      </c>
      <c r="L1220" s="0" t="n">
        <v>1</v>
      </c>
      <c r="M1220" s="10" t="n">
        <f aca="false">_xlfn.NUMBERVALUE("" &amp; K1220 &amp; "",".",",")</f>
        <v>1.77443361111111</v>
      </c>
      <c r="N1220" s="10"/>
      <c r="O1220" s="0" t="str">
        <f aca="false">VLOOKUP(C1220,statusdetails!$A:$D,4,0)</f>
        <v>STANDBY</v>
      </c>
      <c r="P1220" s="0" t="str">
        <f aca="false">VLOOKUP(F1220,equipment!$A:$E,4,0)</f>
        <v>PE301</v>
      </c>
      <c r="Q1220" s="0" t="str">
        <f aca="false">VLOOKUP(F1220,equipment!$A:$E,5,0)</f>
        <v>PE301 - 42</v>
      </c>
    </row>
    <row r="1221" customFormat="false" ht="12.8" hidden="true" customHeight="false" outlineLevel="0" collapsed="false">
      <c r="A1221" s="0" t="n">
        <v>467377</v>
      </c>
      <c r="B1221" s="0" t="n">
        <v>467377</v>
      </c>
      <c r="C1221" s="0" t="n">
        <v>4</v>
      </c>
      <c r="D1221" s="0" t="n">
        <v>16</v>
      </c>
      <c r="E1221" s="0" t="n">
        <v>1042</v>
      </c>
      <c r="F1221" s="0" t="n">
        <v>47</v>
      </c>
      <c r="G1221" s="0" t="n">
        <v>103</v>
      </c>
      <c r="H1221" s="0" t="s">
        <v>2396</v>
      </c>
      <c r="I1221" s="0" t="s">
        <v>2427</v>
      </c>
      <c r="J1221" s="9" t="n">
        <v>45904</v>
      </c>
      <c r="K1221" s="0" t="s">
        <v>2428</v>
      </c>
      <c r="L1221" s="0" t="n">
        <v>1</v>
      </c>
      <c r="M1221" s="10" t="n">
        <f aca="false">_xlfn.NUMBERVALUE("" &amp; K1221 &amp; "",".",",")</f>
        <v>0.746217967777778</v>
      </c>
      <c r="N1221" s="10"/>
      <c r="O1221" s="0" t="str">
        <f aca="false">VLOOKUP(C1221,statusdetails!$A:$D,4,0)</f>
        <v>MAINT</v>
      </c>
    </row>
    <row r="1222" customFormat="false" ht="12.8" hidden="true" customHeight="false" outlineLevel="0" collapsed="false">
      <c r="A1222" s="0" t="n">
        <v>467378</v>
      </c>
      <c r="B1222" s="0" t="n">
        <v>467378</v>
      </c>
      <c r="C1222" s="0" t="n">
        <v>3</v>
      </c>
      <c r="D1222" s="0" t="n">
        <v>12</v>
      </c>
      <c r="E1222" s="0" t="n">
        <v>2389</v>
      </c>
      <c r="F1222" s="0" t="n">
        <v>82</v>
      </c>
      <c r="G1222" s="0" t="n">
        <v>107</v>
      </c>
      <c r="H1222" s="0" t="s">
        <v>2392</v>
      </c>
      <c r="I1222" s="0" t="s">
        <v>2429</v>
      </c>
      <c r="J1222" s="9" t="n">
        <v>45904</v>
      </c>
      <c r="K1222" s="0" t="s">
        <v>2430</v>
      </c>
      <c r="L1222" s="0" t="n">
        <v>1</v>
      </c>
      <c r="M1222" s="10" t="n">
        <f aca="false">_xlfn.NUMBERVALUE("" &amp; K1222 &amp; "",".",",")</f>
        <v>0.2264129</v>
      </c>
      <c r="N1222" s="10"/>
      <c r="O1222" s="0" t="str">
        <f aca="false">VLOOKUP(C1222,statusdetails!$A:$D,4,0)</f>
        <v>STANDBY</v>
      </c>
      <c r="P1222" s="0" t="str">
        <f aca="false">VLOOKUP(F1222,equipment!$A:$E,4,0)</f>
        <v>EX502</v>
      </c>
      <c r="Q1222" s="0" t="str">
        <f aca="false">VLOOKUP(F1222,equipment!$A:$E,5,0)</f>
        <v>EX502 - 82</v>
      </c>
    </row>
    <row r="1223" customFormat="false" ht="12.8" hidden="true" customHeight="false" outlineLevel="0" collapsed="false">
      <c r="A1223" s="0" t="n">
        <v>467379</v>
      </c>
      <c r="B1223" s="0" t="n">
        <v>467379</v>
      </c>
      <c r="C1223" s="0" t="n">
        <v>4</v>
      </c>
      <c r="D1223" s="0" t="n">
        <v>16</v>
      </c>
      <c r="E1223" s="0" t="n">
        <v>474</v>
      </c>
      <c r="F1223" s="0" t="n">
        <v>37</v>
      </c>
      <c r="G1223" s="0" t="n">
        <v>54</v>
      </c>
      <c r="H1223" s="0" t="s">
        <v>2300</v>
      </c>
      <c r="I1223" s="0" t="s">
        <v>2431</v>
      </c>
      <c r="J1223" s="9" t="n">
        <v>45904</v>
      </c>
      <c r="K1223" s="0" t="s">
        <v>2432</v>
      </c>
      <c r="L1223" s="0" t="n">
        <v>1</v>
      </c>
      <c r="M1223" s="10" t="n">
        <f aca="false">_xlfn.NUMBERVALUE("" &amp; K1223 &amp; "",".",",")</f>
        <v>0.391115391944444</v>
      </c>
      <c r="N1223" s="10"/>
      <c r="O1223" s="0" t="str">
        <f aca="false">VLOOKUP(C1223,statusdetails!$A:$D,4,0)</f>
        <v>MAINT</v>
      </c>
    </row>
    <row r="1224" customFormat="false" ht="12.8" hidden="true" customHeight="false" outlineLevel="0" collapsed="false">
      <c r="A1224" s="0" t="n">
        <v>467380</v>
      </c>
      <c r="B1224" s="0" t="n">
        <v>467380</v>
      </c>
      <c r="C1224" s="0" t="n">
        <v>1</v>
      </c>
      <c r="D1224" s="0" t="n">
        <v>6</v>
      </c>
      <c r="E1224" s="0" t="n">
        <v>260</v>
      </c>
      <c r="F1224" s="0" t="n">
        <v>35</v>
      </c>
      <c r="G1224" s="0" t="n">
        <v>62</v>
      </c>
      <c r="H1224" s="0" t="s">
        <v>2398</v>
      </c>
      <c r="I1224" s="0" t="s">
        <v>2433</v>
      </c>
      <c r="J1224" s="9" t="n">
        <v>45904</v>
      </c>
      <c r="K1224" s="0" t="s">
        <v>2434</v>
      </c>
      <c r="L1224" s="0" t="n">
        <v>1</v>
      </c>
      <c r="M1224" s="10" t="n">
        <f aca="false">_xlfn.NUMBERVALUE("" &amp; K1224 &amp; "",".",",")</f>
        <v>0.112784276666667</v>
      </c>
      <c r="N1224" s="10"/>
      <c r="O1224" s="0" t="str">
        <f aca="false">VLOOKUP(C1224,statusdetails!$A:$D,4,0)</f>
        <v>READY</v>
      </c>
    </row>
    <row r="1225" customFormat="false" ht="12.8" hidden="true" customHeight="false" outlineLevel="0" collapsed="false">
      <c r="A1225" s="0" t="n">
        <v>467381</v>
      </c>
      <c r="B1225" s="0" t="n">
        <v>467381</v>
      </c>
      <c r="C1225" s="0" t="n">
        <v>2</v>
      </c>
      <c r="D1225" s="0" t="n">
        <v>7</v>
      </c>
      <c r="E1225" s="0" t="n">
        <v>2385</v>
      </c>
      <c r="F1225" s="0" t="n">
        <v>96</v>
      </c>
      <c r="G1225" s="0" t="n">
        <v>89</v>
      </c>
      <c r="H1225" s="0" t="s">
        <v>2419</v>
      </c>
      <c r="I1225" s="11" t="n">
        <v>45905.0954513889</v>
      </c>
      <c r="J1225" s="9" t="n">
        <v>45904</v>
      </c>
      <c r="K1225" s="0" t="s">
        <v>2435</v>
      </c>
      <c r="L1225" s="0" t="n">
        <v>2</v>
      </c>
      <c r="M1225" s="3" t="n">
        <f aca="false">_xlfn.NUMBERVALUE("" &amp; K1225 &amp; "",".",",")</f>
        <v>0.279597479444444</v>
      </c>
      <c r="O1225" s="0" t="str">
        <f aca="false">VLOOKUP(C1225,statusdetails!$A:$D,4,0)</f>
        <v>DELAY</v>
      </c>
    </row>
    <row r="1226" customFormat="false" ht="12.8" hidden="true" customHeight="false" outlineLevel="0" collapsed="false">
      <c r="A1226" s="0" t="n">
        <v>467382</v>
      </c>
      <c r="B1226" s="0" t="n">
        <v>467382</v>
      </c>
      <c r="C1226" s="0" t="n">
        <v>1</v>
      </c>
      <c r="D1226" s="0" t="n">
        <v>6</v>
      </c>
      <c r="E1226" s="0" t="n">
        <v>2518</v>
      </c>
      <c r="F1226" s="0" t="n">
        <v>82</v>
      </c>
      <c r="G1226" s="0" t="n">
        <v>107</v>
      </c>
      <c r="H1226" s="0" t="s">
        <v>2429</v>
      </c>
      <c r="I1226" s="0" t="s">
        <v>2436</v>
      </c>
      <c r="J1226" s="9" t="n">
        <v>45904</v>
      </c>
      <c r="K1226" s="0" t="s">
        <v>2437</v>
      </c>
      <c r="L1226" s="0" t="n">
        <v>2</v>
      </c>
      <c r="M1226" s="10" t="n">
        <f aca="false">_xlfn.NUMBERVALUE("" &amp; K1226 &amp; "",".",",")</f>
        <v>0.0614419208333333</v>
      </c>
      <c r="N1226" s="10"/>
      <c r="O1226" s="0" t="str">
        <f aca="false">VLOOKUP(C1226,statusdetails!$A:$D,4,0)</f>
        <v>READY</v>
      </c>
    </row>
    <row r="1227" customFormat="false" ht="12.8" hidden="true" customHeight="false" outlineLevel="0" collapsed="false">
      <c r="A1227" s="0" t="n">
        <v>467383</v>
      </c>
      <c r="B1227" s="0" t="n">
        <v>467383</v>
      </c>
      <c r="C1227" s="0" t="n">
        <v>2</v>
      </c>
      <c r="D1227" s="0" t="n">
        <v>7</v>
      </c>
      <c r="E1227" s="0" t="n">
        <v>1026</v>
      </c>
      <c r="F1227" s="0" t="n">
        <v>35</v>
      </c>
      <c r="G1227" s="0" t="n">
        <v>62</v>
      </c>
      <c r="H1227" s="0" t="s">
        <v>2433</v>
      </c>
      <c r="I1227" s="0" t="s">
        <v>2438</v>
      </c>
      <c r="J1227" s="9" t="n">
        <v>45904</v>
      </c>
      <c r="K1227" s="0" t="s">
        <v>2439</v>
      </c>
      <c r="L1227" s="0" t="n">
        <v>2</v>
      </c>
      <c r="M1227" s="3" t="n">
        <f aca="false">_xlfn.NUMBERVALUE("" &amp; K1227 &amp; "",".",",")</f>
        <v>0.115278089722222</v>
      </c>
      <c r="O1227" s="0" t="str">
        <f aca="false">VLOOKUP(C1227,statusdetails!$A:$D,4,0)</f>
        <v>DELAY</v>
      </c>
    </row>
    <row r="1228" customFormat="false" ht="12.8" hidden="true" customHeight="false" outlineLevel="0" collapsed="false">
      <c r="A1228" s="0" t="n">
        <v>467384</v>
      </c>
      <c r="B1228" s="0" t="n">
        <v>467384</v>
      </c>
      <c r="C1228" s="0" t="n">
        <v>2</v>
      </c>
      <c r="D1228" s="0" t="n">
        <v>7</v>
      </c>
      <c r="E1228" s="0" t="n">
        <v>2385</v>
      </c>
      <c r="F1228" s="0" t="n">
        <v>82</v>
      </c>
      <c r="G1228" s="0" t="n">
        <v>107</v>
      </c>
      <c r="H1228" s="0" t="s">
        <v>2436</v>
      </c>
      <c r="I1228" s="0" t="s">
        <v>2440</v>
      </c>
      <c r="J1228" s="9" t="n">
        <v>45904</v>
      </c>
      <c r="K1228" s="0" t="s">
        <v>2441</v>
      </c>
      <c r="L1228" s="0" t="n">
        <v>2</v>
      </c>
      <c r="M1228" s="3" t="n">
        <f aca="false">_xlfn.NUMBERVALUE("" &amp; K1228 &amp; "",".",",")</f>
        <v>0.1175798225</v>
      </c>
      <c r="O1228" s="0" t="str">
        <f aca="false">VLOOKUP(C1228,statusdetails!$A:$D,4,0)</f>
        <v>DELAY</v>
      </c>
    </row>
    <row r="1229" customFormat="false" ht="12.8" hidden="true" customHeight="false" outlineLevel="0" collapsed="false">
      <c r="A1229" s="0" t="n">
        <v>467385</v>
      </c>
      <c r="B1229" s="0" t="n">
        <v>467385</v>
      </c>
      <c r="C1229" s="0" t="n">
        <v>2</v>
      </c>
      <c r="D1229" s="0" t="n">
        <v>7</v>
      </c>
      <c r="E1229" s="0" t="n">
        <v>1026</v>
      </c>
      <c r="F1229" s="0" t="n">
        <v>66</v>
      </c>
      <c r="G1229" s="0" t="n">
        <v>66</v>
      </c>
      <c r="H1229" s="0" t="s">
        <v>2413</v>
      </c>
      <c r="I1229" s="0" t="s">
        <v>2442</v>
      </c>
      <c r="J1229" s="9" t="n">
        <v>45904</v>
      </c>
      <c r="K1229" s="0" t="s">
        <v>2443</v>
      </c>
      <c r="L1229" s="0" t="n">
        <v>2</v>
      </c>
      <c r="M1229" s="3" t="n">
        <f aca="false">_xlfn.NUMBERVALUE("" &amp; K1229 &amp; "",".",",")</f>
        <v>0.0875993672222222</v>
      </c>
      <c r="O1229" s="0" t="str">
        <f aca="false">VLOOKUP(C1229,statusdetails!$A:$D,4,0)</f>
        <v>DELAY</v>
      </c>
    </row>
    <row r="1230" customFormat="false" ht="12.8" hidden="true" customHeight="false" outlineLevel="0" collapsed="false">
      <c r="A1230" s="0" t="n">
        <v>467386</v>
      </c>
      <c r="B1230" s="0" t="n">
        <v>467386</v>
      </c>
      <c r="C1230" s="0" t="n">
        <v>2</v>
      </c>
      <c r="D1230" s="0" t="n">
        <v>7</v>
      </c>
      <c r="E1230" s="0" t="n">
        <v>1026</v>
      </c>
      <c r="F1230" s="0" t="n">
        <v>33</v>
      </c>
      <c r="G1230" s="0" t="n">
        <v>118</v>
      </c>
      <c r="H1230" s="0" t="s">
        <v>2415</v>
      </c>
      <c r="I1230" s="0" t="s">
        <v>2444</v>
      </c>
      <c r="J1230" s="9" t="n">
        <v>45904</v>
      </c>
      <c r="K1230" s="0" t="s">
        <v>2445</v>
      </c>
      <c r="L1230" s="0" t="n">
        <v>2</v>
      </c>
      <c r="M1230" s="3" t="n">
        <f aca="false">_xlfn.NUMBERVALUE("" &amp; K1230 &amp; "",".",",")</f>
        <v>0.144848501944444</v>
      </c>
      <c r="O1230" s="0" t="str">
        <f aca="false">VLOOKUP(C1230,statusdetails!$A:$D,4,0)</f>
        <v>DELAY</v>
      </c>
    </row>
    <row r="1231" customFormat="false" ht="12.8" hidden="true" customHeight="false" outlineLevel="0" collapsed="false">
      <c r="A1231" s="0" t="n">
        <v>467387</v>
      </c>
      <c r="B1231" s="0" t="n">
        <v>467387</v>
      </c>
      <c r="C1231" s="0" t="n">
        <v>1</v>
      </c>
      <c r="D1231" s="0" t="n">
        <v>6</v>
      </c>
      <c r="E1231" s="0" t="n">
        <v>260</v>
      </c>
      <c r="F1231" s="0" t="n">
        <v>35</v>
      </c>
      <c r="G1231" s="0" t="n">
        <v>62</v>
      </c>
      <c r="H1231" s="0" t="s">
        <v>2438</v>
      </c>
      <c r="I1231" s="0" t="s">
        <v>2446</v>
      </c>
      <c r="J1231" s="9" t="n">
        <v>45904</v>
      </c>
      <c r="K1231" s="0" t="s">
        <v>2447</v>
      </c>
      <c r="L1231" s="0" t="n">
        <v>2</v>
      </c>
      <c r="M1231" s="10" t="n">
        <f aca="false">_xlfn.NUMBERVALUE("" &amp; K1231 &amp; "",".",",")</f>
        <v>2.18895635972222</v>
      </c>
      <c r="N1231" s="10"/>
      <c r="O1231" s="0" t="str">
        <f aca="false">VLOOKUP(C1231,statusdetails!$A:$D,4,0)</f>
        <v>READY</v>
      </c>
    </row>
    <row r="1232" customFormat="false" ht="12.8" hidden="true" customHeight="false" outlineLevel="0" collapsed="false">
      <c r="A1232" s="0" t="n">
        <v>467388</v>
      </c>
      <c r="B1232" s="0" t="n">
        <v>467388</v>
      </c>
      <c r="C1232" s="0" t="n">
        <v>1</v>
      </c>
      <c r="D1232" s="0" t="n">
        <v>6</v>
      </c>
      <c r="E1232" s="0" t="n">
        <v>2518</v>
      </c>
      <c r="F1232" s="0" t="n">
        <v>82</v>
      </c>
      <c r="G1232" s="0" t="n">
        <v>107</v>
      </c>
      <c r="H1232" s="0" t="s">
        <v>2440</v>
      </c>
      <c r="I1232" s="0" t="s">
        <v>2448</v>
      </c>
      <c r="J1232" s="9" t="n">
        <v>45904</v>
      </c>
      <c r="K1232" s="0" t="s">
        <v>2449</v>
      </c>
      <c r="L1232" s="0" t="n">
        <v>2</v>
      </c>
      <c r="M1232" s="10" t="n">
        <f aca="false">_xlfn.NUMBERVALUE("" &amp; K1232 &amp; "",".",",")</f>
        <v>1.31560781333333</v>
      </c>
      <c r="N1232" s="10"/>
      <c r="O1232" s="0" t="str">
        <f aca="false">VLOOKUP(C1232,statusdetails!$A:$D,4,0)</f>
        <v>READY</v>
      </c>
    </row>
    <row r="1233" customFormat="false" ht="12.8" hidden="true" customHeight="false" outlineLevel="0" collapsed="false">
      <c r="A1233" s="0" t="n">
        <v>467389</v>
      </c>
      <c r="B1233" s="0" t="n">
        <v>467389</v>
      </c>
      <c r="C1233" s="0" t="n">
        <v>1</v>
      </c>
      <c r="D1233" s="0" t="n">
        <v>6</v>
      </c>
      <c r="E1233" s="0" t="n">
        <v>260</v>
      </c>
      <c r="F1233" s="0" t="n">
        <v>66</v>
      </c>
      <c r="G1233" s="0" t="n">
        <v>66</v>
      </c>
      <c r="H1233" s="0" t="s">
        <v>2442</v>
      </c>
      <c r="I1233" s="0" t="s">
        <v>2450</v>
      </c>
      <c r="J1233" s="9" t="n">
        <v>45904</v>
      </c>
      <c r="K1233" s="0" t="s">
        <v>2451</v>
      </c>
      <c r="L1233" s="0" t="n">
        <v>2</v>
      </c>
      <c r="M1233" s="10" t="n">
        <f aca="false">_xlfn.NUMBERVALUE("" &amp; K1233 &amp; "",".",",")</f>
        <v>1.293371775</v>
      </c>
      <c r="N1233" s="10"/>
      <c r="O1233" s="0" t="str">
        <f aca="false">VLOOKUP(C1233,statusdetails!$A:$D,4,0)</f>
        <v>READY</v>
      </c>
    </row>
    <row r="1234" customFormat="false" ht="12.8" hidden="true" customHeight="false" outlineLevel="0" collapsed="false">
      <c r="A1234" s="0" t="n">
        <v>467390</v>
      </c>
      <c r="B1234" s="0" t="n">
        <v>467390</v>
      </c>
      <c r="C1234" s="0" t="n">
        <v>1</v>
      </c>
      <c r="D1234" s="0" t="n">
        <v>6</v>
      </c>
      <c r="E1234" s="0" t="n">
        <v>260</v>
      </c>
      <c r="F1234" s="0" t="n">
        <v>33</v>
      </c>
      <c r="G1234" s="0" t="n">
        <v>118</v>
      </c>
      <c r="H1234" s="0" t="s">
        <v>2444</v>
      </c>
      <c r="I1234" s="0" t="s">
        <v>2452</v>
      </c>
      <c r="J1234" s="9" t="n">
        <v>45904</v>
      </c>
      <c r="K1234" s="0" t="s">
        <v>2453</v>
      </c>
      <c r="L1234" s="0" t="n">
        <v>2</v>
      </c>
      <c r="M1234" s="10" t="n">
        <f aca="false">_xlfn.NUMBERVALUE("" &amp; K1234 &amp; "",".",",")</f>
        <v>2.05767869416667</v>
      </c>
      <c r="N1234" s="10"/>
      <c r="O1234" s="0" t="str">
        <f aca="false">VLOOKUP(C1234,statusdetails!$A:$D,4,0)</f>
        <v>READY</v>
      </c>
    </row>
    <row r="1235" customFormat="false" ht="12.8" hidden="true" customHeight="false" outlineLevel="0" collapsed="false">
      <c r="A1235" s="0" t="n">
        <v>467392</v>
      </c>
      <c r="B1235" s="0" t="n">
        <v>467392</v>
      </c>
      <c r="C1235" s="0" t="n">
        <v>1</v>
      </c>
      <c r="D1235" s="0" t="n">
        <v>6</v>
      </c>
      <c r="E1235" s="0" t="n">
        <v>372</v>
      </c>
      <c r="F1235" s="0" t="n">
        <v>37</v>
      </c>
      <c r="G1235" s="0" t="n">
        <v>54</v>
      </c>
      <c r="H1235" s="0" t="s">
        <v>2431</v>
      </c>
      <c r="I1235" s="0" t="s">
        <v>2454</v>
      </c>
      <c r="J1235" s="9" t="n">
        <v>45904</v>
      </c>
      <c r="K1235" s="0" t="s">
        <v>2455</v>
      </c>
      <c r="L1235" s="0" t="n">
        <v>2</v>
      </c>
      <c r="M1235" s="10" t="n">
        <f aca="false">_xlfn.NUMBERVALUE("" &amp; K1235 &amp; "",".",",")</f>
        <v>0.184688651388889</v>
      </c>
      <c r="N1235" s="10"/>
      <c r="O1235" s="0" t="str">
        <f aca="false">VLOOKUP(C1235,statusdetails!$A:$D,4,0)</f>
        <v>READY</v>
      </c>
    </row>
    <row r="1236" customFormat="false" ht="12.8" hidden="true" customHeight="false" outlineLevel="0" collapsed="false">
      <c r="A1236" s="0" t="n">
        <v>467393</v>
      </c>
      <c r="B1236" s="0" t="n">
        <v>467393</v>
      </c>
      <c r="C1236" s="0" t="n">
        <v>1</v>
      </c>
      <c r="D1236" s="0" t="n">
        <v>6</v>
      </c>
      <c r="E1236" s="0" t="n">
        <v>1040</v>
      </c>
      <c r="F1236" s="0" t="n">
        <v>47</v>
      </c>
      <c r="G1236" s="0" t="n">
        <v>103</v>
      </c>
      <c r="H1236" s="0" t="s">
        <v>2427</v>
      </c>
      <c r="I1236" s="0" t="s">
        <v>2456</v>
      </c>
      <c r="J1236" s="9" t="n">
        <v>45904</v>
      </c>
      <c r="K1236" s="0" t="s">
        <v>2457</v>
      </c>
      <c r="L1236" s="0" t="n">
        <v>2</v>
      </c>
      <c r="M1236" s="10" t="n">
        <f aca="false">_xlfn.NUMBERVALUE("" &amp; K1236 &amp; "",".",",")</f>
        <v>10.1030758997222</v>
      </c>
      <c r="N1236" s="10"/>
      <c r="O1236" s="0" t="str">
        <f aca="false">VLOOKUP(C1236,statusdetails!$A:$D,4,0)</f>
        <v>READY</v>
      </c>
    </row>
    <row r="1237" customFormat="false" ht="12.8" hidden="true" customHeight="false" outlineLevel="0" collapsed="false">
      <c r="A1237" s="0" t="n">
        <v>467394</v>
      </c>
      <c r="B1237" s="0" t="n">
        <v>467391</v>
      </c>
      <c r="C1237" s="0" t="n">
        <v>1</v>
      </c>
      <c r="D1237" s="0" t="n">
        <v>6</v>
      </c>
      <c r="E1237" s="0" t="n">
        <v>2518</v>
      </c>
      <c r="F1237" s="0" t="n">
        <v>96</v>
      </c>
      <c r="G1237" s="0" t="n">
        <v>89</v>
      </c>
      <c r="H1237" s="11" t="n">
        <v>45905.0954513889</v>
      </c>
      <c r="I1237" s="0" t="s">
        <v>2458</v>
      </c>
      <c r="J1237" s="9" t="n">
        <v>45904</v>
      </c>
      <c r="K1237" s="0" t="s">
        <v>2459</v>
      </c>
      <c r="L1237" s="0" t="n">
        <v>2</v>
      </c>
      <c r="M1237" s="10" t="n">
        <f aca="false">_xlfn.NUMBERVALUE("" &amp; K1237 &amp; "",".",",")</f>
        <v>2.04967429305556</v>
      </c>
      <c r="N1237" s="10"/>
      <c r="O1237" s="0" t="str">
        <f aca="false">VLOOKUP(C1237,statusdetails!$A:$D,4,0)</f>
        <v>READY</v>
      </c>
    </row>
    <row r="1238" customFormat="false" ht="12.8" hidden="true" customHeight="false" outlineLevel="0" collapsed="false">
      <c r="A1238" s="0" t="n">
        <v>467395</v>
      </c>
      <c r="B1238" s="0" t="n">
        <v>467395</v>
      </c>
      <c r="C1238" s="0" t="n">
        <v>4</v>
      </c>
      <c r="D1238" s="0" t="n">
        <v>16</v>
      </c>
      <c r="E1238" s="0" t="n">
        <v>474</v>
      </c>
      <c r="F1238" s="0" t="n">
        <v>37</v>
      </c>
      <c r="G1238" s="0" t="n">
        <v>54</v>
      </c>
      <c r="H1238" s="0" t="s">
        <v>2454</v>
      </c>
      <c r="I1238" s="0" t="s">
        <v>2460</v>
      </c>
      <c r="J1238" s="9" t="n">
        <v>45904</v>
      </c>
      <c r="K1238" s="0" t="s">
        <v>2461</v>
      </c>
      <c r="L1238" s="0" t="n">
        <v>2</v>
      </c>
      <c r="M1238" s="10" t="n">
        <f aca="false">_xlfn.NUMBERVALUE("" &amp; K1238 &amp; "",".",",")</f>
        <v>0.991224126388889</v>
      </c>
      <c r="N1238" s="10"/>
      <c r="O1238" s="0" t="str">
        <f aca="false">VLOOKUP(C1238,statusdetails!$A:$D,4,0)</f>
        <v>MAINT</v>
      </c>
    </row>
    <row r="1239" customFormat="false" ht="12.8" hidden="true" customHeight="false" outlineLevel="0" collapsed="false">
      <c r="A1239" s="0" t="n">
        <v>467396</v>
      </c>
      <c r="B1239" s="0" t="n">
        <v>467396</v>
      </c>
      <c r="C1239" s="0" t="n">
        <v>1</v>
      </c>
      <c r="D1239" s="0" t="n">
        <v>6</v>
      </c>
      <c r="E1239" s="0" t="n">
        <v>586</v>
      </c>
      <c r="F1239" s="0" t="n">
        <v>41</v>
      </c>
      <c r="G1239" s="0" t="n">
        <v>0</v>
      </c>
      <c r="H1239" s="0" t="s">
        <v>2421</v>
      </c>
      <c r="I1239" s="0" t="s">
        <v>2462</v>
      </c>
      <c r="J1239" s="9" t="n">
        <v>45904</v>
      </c>
      <c r="K1239" s="0" t="s">
        <v>2463</v>
      </c>
      <c r="L1239" s="0" t="n">
        <v>2</v>
      </c>
      <c r="M1239" s="10" t="n">
        <f aca="false">_xlfn.NUMBERVALUE("" &amp; K1239 &amp; "",".",",")</f>
        <v>0.539134415</v>
      </c>
      <c r="N1239" s="10"/>
      <c r="O1239" s="0" t="str">
        <f aca="false">VLOOKUP(C1239,statusdetails!$A:$D,4,0)</f>
        <v>READY</v>
      </c>
    </row>
    <row r="1240" customFormat="false" ht="12.8" hidden="true" customHeight="false" outlineLevel="0" collapsed="false">
      <c r="A1240" s="0" t="n">
        <v>467397</v>
      </c>
      <c r="B1240" s="0" t="n">
        <v>467397</v>
      </c>
      <c r="C1240" s="0" t="n">
        <v>3</v>
      </c>
      <c r="D1240" s="0" t="n">
        <v>12</v>
      </c>
      <c r="E1240" s="0" t="n">
        <v>289</v>
      </c>
      <c r="F1240" s="0" t="n">
        <v>32</v>
      </c>
      <c r="G1240" s="0" t="n">
        <v>0</v>
      </c>
      <c r="H1240" s="0" t="s">
        <v>2377</v>
      </c>
      <c r="I1240" s="0" t="s">
        <v>2464</v>
      </c>
      <c r="J1240" s="9" t="n">
        <v>45904</v>
      </c>
      <c r="K1240" s="0" t="s">
        <v>2465</v>
      </c>
      <c r="L1240" s="0" t="n">
        <v>2</v>
      </c>
      <c r="M1240" s="10" t="n">
        <f aca="false">_xlfn.NUMBERVALUE("" &amp; K1240 &amp; "",".",",")</f>
        <v>0.682906933888889</v>
      </c>
      <c r="N1240" s="10"/>
      <c r="O1240" s="0" t="str">
        <f aca="false">VLOOKUP(C1240,statusdetails!$A:$D,4,0)</f>
        <v>STANDBY</v>
      </c>
      <c r="P1240" s="0" t="str">
        <f aca="false">VLOOKUP(F1240,equipment!$A:$E,4,0)</f>
        <v>CM403</v>
      </c>
      <c r="Q1240" s="0" t="str">
        <f aca="false">VLOOKUP(F1240,equipment!$A:$E,5,0)</f>
        <v>CM403 - 32</v>
      </c>
    </row>
    <row r="1241" customFormat="false" ht="12.8" hidden="true" customHeight="false" outlineLevel="0" collapsed="false">
      <c r="A1241" s="0" t="n">
        <v>467398</v>
      </c>
      <c r="B1241" s="0" t="n">
        <v>467398</v>
      </c>
      <c r="C1241" s="0" t="n">
        <v>3</v>
      </c>
      <c r="D1241" s="0" t="n">
        <v>12</v>
      </c>
      <c r="E1241" s="0" t="n">
        <v>608</v>
      </c>
      <c r="F1241" s="0" t="n">
        <v>41</v>
      </c>
      <c r="G1241" s="0" t="n">
        <v>61</v>
      </c>
      <c r="H1241" s="0" t="s">
        <v>2462</v>
      </c>
      <c r="I1241" s="0" t="s">
        <v>2466</v>
      </c>
      <c r="J1241" s="9" t="n">
        <v>45904</v>
      </c>
      <c r="K1241" s="0" t="s">
        <v>2467</v>
      </c>
      <c r="L1241" s="0" t="n">
        <v>3</v>
      </c>
      <c r="M1241" s="10" t="n">
        <f aca="false">_xlfn.NUMBERVALUE("" &amp; K1241 &amp; "",".",",")</f>
        <v>1.47190194777778</v>
      </c>
      <c r="N1241" s="10"/>
      <c r="O1241" s="0" t="str">
        <f aca="false">VLOOKUP(C1241,statusdetails!$A:$D,4,0)</f>
        <v>STANDBY</v>
      </c>
      <c r="P1241" s="0" t="str">
        <f aca="false">VLOOKUP(F1241,equipment!$A:$E,4,0)</f>
        <v>MO102</v>
      </c>
      <c r="Q1241" s="0" t="str">
        <f aca="false">VLOOKUP(F1241,equipment!$A:$E,5,0)</f>
        <v>MO102 - 41</v>
      </c>
    </row>
    <row r="1242" customFormat="false" ht="12.8" hidden="true" customHeight="false" outlineLevel="0" collapsed="false">
      <c r="A1242" s="0" t="n">
        <v>467399</v>
      </c>
      <c r="B1242" s="0" t="n">
        <v>467399</v>
      </c>
      <c r="C1242" s="0" t="n">
        <v>2</v>
      </c>
      <c r="D1242" s="0" t="n">
        <v>7</v>
      </c>
      <c r="E1242" s="0" t="n">
        <v>2064</v>
      </c>
      <c r="F1242" s="0" t="n">
        <v>42</v>
      </c>
      <c r="G1242" s="0" t="n">
        <v>16</v>
      </c>
      <c r="H1242" s="0" t="s">
        <v>2425</v>
      </c>
      <c r="I1242" s="0" t="s">
        <v>2468</v>
      </c>
      <c r="J1242" s="9" t="n">
        <v>45904</v>
      </c>
      <c r="K1242" s="0" t="s">
        <v>2469</v>
      </c>
      <c r="L1242" s="0" t="n">
        <v>3</v>
      </c>
      <c r="M1242" s="3" t="n">
        <f aca="false">_xlfn.NUMBERVALUE("" &amp; K1242 &amp; "",".",",")</f>
        <v>0.4393075</v>
      </c>
      <c r="O1242" s="0" t="str">
        <f aca="false">VLOOKUP(C1242,statusdetails!$A:$D,4,0)</f>
        <v>DELAY</v>
      </c>
    </row>
    <row r="1243" customFormat="false" ht="12.8" hidden="true" customHeight="false" outlineLevel="0" collapsed="false">
      <c r="A1243" s="0" t="n">
        <v>467400</v>
      </c>
      <c r="B1243" s="0" t="n">
        <v>467400</v>
      </c>
      <c r="C1243" s="0" t="n">
        <v>4</v>
      </c>
      <c r="D1243" s="0" t="n">
        <v>16</v>
      </c>
      <c r="E1243" s="0" t="n">
        <v>2485</v>
      </c>
      <c r="F1243" s="0" t="n">
        <v>87</v>
      </c>
      <c r="G1243" s="0" t="n">
        <v>7</v>
      </c>
      <c r="H1243" s="0" t="s">
        <v>2209</v>
      </c>
      <c r="I1243" s="0" t="s">
        <v>2470</v>
      </c>
      <c r="J1243" s="9" t="n">
        <v>45904</v>
      </c>
      <c r="K1243" s="0" t="s">
        <v>2471</v>
      </c>
      <c r="L1243" s="0" t="n">
        <v>3</v>
      </c>
      <c r="M1243" s="10" t="n">
        <f aca="false">_xlfn.NUMBERVALUE("" &amp; K1243 &amp; "",".",",")</f>
        <v>2.66281132416667</v>
      </c>
      <c r="N1243" s="10"/>
      <c r="O1243" s="0" t="str">
        <f aca="false">VLOOKUP(C1243,statusdetails!$A:$D,4,0)</f>
        <v>MAINT</v>
      </c>
    </row>
    <row r="1244" customFormat="false" ht="12.8" hidden="true" customHeight="false" outlineLevel="0" collapsed="false">
      <c r="A1244" s="0" t="n">
        <v>467402</v>
      </c>
      <c r="B1244" s="0" t="n">
        <v>467402</v>
      </c>
      <c r="C1244" s="0" t="n">
        <v>3</v>
      </c>
      <c r="D1244" s="0" t="n">
        <v>14</v>
      </c>
      <c r="E1244" s="0" t="n">
        <v>2555</v>
      </c>
      <c r="F1244" s="0" t="n">
        <v>85</v>
      </c>
      <c r="G1244" s="0" t="n">
        <v>147</v>
      </c>
      <c r="H1244" s="0" t="s">
        <v>2353</v>
      </c>
      <c r="I1244" s="0" t="s">
        <v>2472</v>
      </c>
      <c r="J1244" s="9" t="n">
        <v>45904</v>
      </c>
      <c r="K1244" s="0" t="s">
        <v>2473</v>
      </c>
      <c r="L1244" s="0" t="n">
        <v>3</v>
      </c>
      <c r="M1244" s="10" t="n">
        <f aca="false">_xlfn.NUMBERVALUE("" &amp; K1244 &amp; "",".",",")</f>
        <v>0.0609091991666667</v>
      </c>
      <c r="N1244" s="10"/>
      <c r="O1244" s="0" t="str">
        <f aca="false">VLOOKUP(C1244,statusdetails!$A:$D,4,0)</f>
        <v>STANDBY</v>
      </c>
      <c r="P1244" s="0" t="str">
        <f aca="false">VLOOKUP(F1244,equipment!$A:$E,4,0)</f>
        <v>CM02</v>
      </c>
      <c r="Q1244" s="0" t="str">
        <f aca="false">VLOOKUP(F1244,equipment!$A:$E,5,0)</f>
        <v>CM02 - 85</v>
      </c>
    </row>
    <row r="1245" customFormat="false" ht="12.8" hidden="true" customHeight="false" outlineLevel="0" collapsed="false">
      <c r="A1245" s="0" t="n">
        <v>467403</v>
      </c>
      <c r="B1245" s="0" t="n">
        <v>467403</v>
      </c>
      <c r="C1245" s="0" t="n">
        <v>1</v>
      </c>
      <c r="D1245" s="0" t="n">
        <v>6</v>
      </c>
      <c r="E1245" s="0" t="n">
        <v>372</v>
      </c>
      <c r="F1245" s="0" t="n">
        <v>37</v>
      </c>
      <c r="G1245" s="0" t="n">
        <v>54</v>
      </c>
      <c r="H1245" s="0" t="s">
        <v>2460</v>
      </c>
      <c r="I1245" s="0" t="s">
        <v>2474</v>
      </c>
      <c r="J1245" s="9" t="n">
        <v>45904</v>
      </c>
      <c r="K1245" s="0" t="s">
        <v>2475</v>
      </c>
      <c r="L1245" s="0" t="n">
        <v>3</v>
      </c>
      <c r="M1245" s="10" t="n">
        <f aca="false">_xlfn.NUMBERVALUE("" &amp; K1245 &amp; "",".",",")</f>
        <v>1.19895666666667</v>
      </c>
      <c r="N1245" s="10"/>
      <c r="O1245" s="0" t="str">
        <f aca="false">VLOOKUP(C1245,statusdetails!$A:$D,4,0)</f>
        <v>READY</v>
      </c>
    </row>
    <row r="1246" customFormat="false" ht="12.8" hidden="true" customHeight="false" outlineLevel="0" collapsed="false">
      <c r="A1246" s="0" t="n">
        <v>467404</v>
      </c>
      <c r="B1246" s="0" t="n">
        <v>467404</v>
      </c>
      <c r="C1246" s="0" t="n">
        <v>2</v>
      </c>
      <c r="D1246" s="0" t="n">
        <v>7</v>
      </c>
      <c r="E1246" s="0" t="n">
        <v>2385</v>
      </c>
      <c r="F1246" s="0" t="n">
        <v>82</v>
      </c>
      <c r="G1246" s="0" t="n">
        <v>107</v>
      </c>
      <c r="H1246" s="0" t="s">
        <v>2448</v>
      </c>
      <c r="I1246" s="0" t="s">
        <v>2476</v>
      </c>
      <c r="J1246" s="9" t="n">
        <v>45904</v>
      </c>
      <c r="K1246" s="0" t="s">
        <v>2477</v>
      </c>
      <c r="L1246" s="0" t="n">
        <v>3</v>
      </c>
      <c r="M1246" s="3" t="n">
        <f aca="false">_xlfn.NUMBERVALUE("" &amp; K1246 &amp; "",".",",")</f>
        <v>0.110944816944444</v>
      </c>
      <c r="O1246" s="0" t="str">
        <f aca="false">VLOOKUP(C1246,statusdetails!$A:$D,4,0)</f>
        <v>DELAY</v>
      </c>
    </row>
    <row r="1247" customFormat="false" ht="12.8" hidden="true" customHeight="false" outlineLevel="0" collapsed="false">
      <c r="A1247" s="0" t="n">
        <v>467405</v>
      </c>
      <c r="B1247" s="0" t="n">
        <v>467405</v>
      </c>
      <c r="C1247" s="0" t="n">
        <v>2</v>
      </c>
      <c r="D1247" s="0" t="n">
        <v>7</v>
      </c>
      <c r="E1247" s="0" t="n">
        <v>1026</v>
      </c>
      <c r="F1247" s="0" t="n">
        <v>32</v>
      </c>
      <c r="G1247" s="0" t="n">
        <v>42</v>
      </c>
      <c r="H1247" s="0" t="s">
        <v>2464</v>
      </c>
      <c r="I1247" s="0" t="s">
        <v>2478</v>
      </c>
      <c r="J1247" s="9" t="n">
        <v>45904</v>
      </c>
      <c r="K1247" s="0" t="s">
        <v>2479</v>
      </c>
      <c r="L1247" s="0" t="n">
        <v>3</v>
      </c>
      <c r="M1247" s="3" t="n">
        <f aca="false">_xlfn.NUMBERVALUE("" &amp; K1247 &amp; "",".",",")</f>
        <v>0.00910766111111111</v>
      </c>
      <c r="O1247" s="0" t="str">
        <f aca="false">VLOOKUP(C1247,statusdetails!$A:$D,4,0)</f>
        <v>DELAY</v>
      </c>
    </row>
    <row r="1248" customFormat="false" ht="12.8" hidden="true" customHeight="false" outlineLevel="0" collapsed="false">
      <c r="A1248" s="0" t="n">
        <v>467406</v>
      </c>
      <c r="B1248" s="0" t="n">
        <v>467406</v>
      </c>
      <c r="C1248" s="0" t="n">
        <v>1</v>
      </c>
      <c r="D1248" s="0" t="n">
        <v>6</v>
      </c>
      <c r="E1248" s="0" t="n">
        <v>2404</v>
      </c>
      <c r="F1248" s="0" t="n">
        <v>85</v>
      </c>
      <c r="G1248" s="0" t="n">
        <v>147</v>
      </c>
      <c r="H1248" s="0" t="s">
        <v>2472</v>
      </c>
      <c r="I1248" s="0" t="s">
        <v>2480</v>
      </c>
      <c r="J1248" s="9" t="n">
        <v>45904</v>
      </c>
      <c r="K1248" s="0" t="s">
        <v>2481</v>
      </c>
      <c r="L1248" s="0" t="n">
        <v>3</v>
      </c>
      <c r="M1248" s="10" t="n">
        <f aca="false">_xlfn.NUMBERVALUE("" &amp; K1248 &amp; "",".",",")</f>
        <v>3.41439271388889</v>
      </c>
      <c r="N1248" s="10"/>
      <c r="O1248" s="0" t="str">
        <f aca="false">VLOOKUP(C1248,statusdetails!$A:$D,4,0)</f>
        <v>READY</v>
      </c>
    </row>
    <row r="1249" customFormat="false" ht="12.8" hidden="true" customHeight="false" outlineLevel="0" collapsed="false">
      <c r="A1249" s="0" t="n">
        <v>467407</v>
      </c>
      <c r="B1249" s="0" t="n">
        <v>467407</v>
      </c>
      <c r="C1249" s="0" t="n">
        <v>2</v>
      </c>
      <c r="D1249" s="0" t="n">
        <v>7</v>
      </c>
      <c r="E1249" s="0" t="n">
        <v>1026</v>
      </c>
      <c r="F1249" s="0" t="n">
        <v>66</v>
      </c>
      <c r="G1249" s="0" t="n">
        <v>67</v>
      </c>
      <c r="H1249" s="0" t="s">
        <v>2450</v>
      </c>
      <c r="I1249" s="0" t="s">
        <v>2482</v>
      </c>
      <c r="J1249" s="9" t="n">
        <v>45904</v>
      </c>
      <c r="K1249" s="0" t="s">
        <v>2483</v>
      </c>
      <c r="L1249" s="0" t="n">
        <v>3</v>
      </c>
      <c r="M1249" s="3" t="n">
        <f aca="false">_xlfn.NUMBERVALUE("" &amp; K1249 &amp; "",".",",")</f>
        <v>0.0950683163888889</v>
      </c>
      <c r="O1249" s="0" t="str">
        <f aca="false">VLOOKUP(C1249,statusdetails!$A:$D,4,0)</f>
        <v>DELAY</v>
      </c>
    </row>
    <row r="1250" customFormat="false" ht="12.8" hidden="true" customHeight="false" outlineLevel="0" collapsed="false">
      <c r="A1250" s="0" t="n">
        <v>467408</v>
      </c>
      <c r="B1250" s="0" t="n">
        <v>467408</v>
      </c>
      <c r="C1250" s="0" t="n">
        <v>1</v>
      </c>
      <c r="D1250" s="0" t="n">
        <v>6</v>
      </c>
      <c r="E1250" s="0" t="n">
        <v>260</v>
      </c>
      <c r="F1250" s="0" t="n">
        <v>32</v>
      </c>
      <c r="G1250" s="0" t="n">
        <v>42</v>
      </c>
      <c r="H1250" s="0" t="s">
        <v>2478</v>
      </c>
      <c r="I1250" s="0" t="s">
        <v>2484</v>
      </c>
      <c r="J1250" s="9" t="n">
        <v>45904</v>
      </c>
      <c r="K1250" s="0" t="s">
        <v>2485</v>
      </c>
      <c r="L1250" s="0" t="n">
        <v>3</v>
      </c>
      <c r="M1250" s="10" t="n">
        <f aca="false">_xlfn.NUMBERVALUE("" &amp; K1250 &amp; "",".",",")</f>
        <v>2.334130895</v>
      </c>
      <c r="N1250" s="10"/>
      <c r="O1250" s="0" t="str">
        <f aca="false">VLOOKUP(C1250,statusdetails!$A:$D,4,0)</f>
        <v>READY</v>
      </c>
    </row>
    <row r="1251" customFormat="false" ht="12.8" hidden="true" customHeight="false" outlineLevel="0" collapsed="false">
      <c r="A1251" s="0" t="n">
        <v>467409</v>
      </c>
      <c r="B1251" s="0" t="n">
        <v>467409</v>
      </c>
      <c r="C1251" s="0" t="n">
        <v>1</v>
      </c>
      <c r="D1251" s="0" t="n">
        <v>6</v>
      </c>
      <c r="E1251" s="0" t="n">
        <v>811</v>
      </c>
      <c r="F1251" s="0" t="n">
        <v>42</v>
      </c>
      <c r="G1251" s="0" t="n">
        <v>16</v>
      </c>
      <c r="H1251" s="0" t="s">
        <v>2468</v>
      </c>
      <c r="I1251" s="0" t="s">
        <v>2486</v>
      </c>
      <c r="J1251" s="9" t="n">
        <v>45904</v>
      </c>
      <c r="K1251" s="0" t="s">
        <v>2487</v>
      </c>
      <c r="L1251" s="0" t="n">
        <v>3</v>
      </c>
      <c r="M1251" s="10" t="n">
        <f aca="false">_xlfn.NUMBERVALUE("" &amp; K1251 &amp; "",".",",")</f>
        <v>3.40561638888889</v>
      </c>
      <c r="N1251" s="10"/>
      <c r="O1251" s="0" t="str">
        <f aca="false">VLOOKUP(C1251,statusdetails!$A:$D,4,0)</f>
        <v>READY</v>
      </c>
    </row>
    <row r="1252" customFormat="false" ht="12.8" hidden="true" customHeight="false" outlineLevel="0" collapsed="false">
      <c r="A1252" s="0" t="n">
        <v>467410</v>
      </c>
      <c r="B1252" s="0" t="n">
        <v>467410</v>
      </c>
      <c r="C1252" s="0" t="n">
        <v>1</v>
      </c>
      <c r="D1252" s="0" t="n">
        <v>6</v>
      </c>
      <c r="E1252" s="0" t="n">
        <v>260</v>
      </c>
      <c r="F1252" s="0" t="n">
        <v>66</v>
      </c>
      <c r="G1252" s="0" t="n">
        <v>67</v>
      </c>
      <c r="H1252" s="0" t="s">
        <v>2482</v>
      </c>
      <c r="I1252" s="0" t="s">
        <v>2488</v>
      </c>
      <c r="J1252" s="9" t="n">
        <v>45904</v>
      </c>
      <c r="K1252" s="0" t="s">
        <v>2489</v>
      </c>
      <c r="L1252" s="0" t="n">
        <v>3</v>
      </c>
      <c r="M1252" s="10" t="n">
        <f aca="false">_xlfn.NUMBERVALUE("" &amp; K1252 &amp; "",".",",")</f>
        <v>1.98877970722222</v>
      </c>
      <c r="N1252" s="10"/>
      <c r="O1252" s="0" t="str">
        <f aca="false">VLOOKUP(C1252,statusdetails!$A:$D,4,0)</f>
        <v>READY</v>
      </c>
    </row>
    <row r="1253" customFormat="false" ht="12.8" hidden="true" customHeight="false" outlineLevel="0" collapsed="false">
      <c r="A1253" s="0" t="n">
        <v>467411</v>
      </c>
      <c r="B1253" s="0" t="n">
        <v>467411</v>
      </c>
      <c r="C1253" s="0" t="n">
        <v>1</v>
      </c>
      <c r="D1253" s="0" t="n">
        <v>6</v>
      </c>
      <c r="E1253" s="0" t="n">
        <v>2518</v>
      </c>
      <c r="F1253" s="0" t="n">
        <v>82</v>
      </c>
      <c r="G1253" s="0" t="n">
        <v>107</v>
      </c>
      <c r="H1253" s="0" t="s">
        <v>2476</v>
      </c>
      <c r="I1253" s="0" t="s">
        <v>2490</v>
      </c>
      <c r="J1253" s="9" t="n">
        <v>45904</v>
      </c>
      <c r="K1253" s="0" t="s">
        <v>2491</v>
      </c>
      <c r="L1253" s="0" t="n">
        <v>3</v>
      </c>
      <c r="M1253" s="10" t="n">
        <f aca="false">_xlfn.NUMBERVALUE("" &amp; K1253 &amp; "",".",",")</f>
        <v>3.30951074638889</v>
      </c>
      <c r="N1253" s="10"/>
      <c r="O1253" s="0" t="str">
        <f aca="false">VLOOKUP(C1253,statusdetails!$A:$D,4,0)</f>
        <v>READY</v>
      </c>
    </row>
    <row r="1254" customFormat="false" ht="12.8" hidden="true" customHeight="false" outlineLevel="0" collapsed="false">
      <c r="A1254" s="0" t="n">
        <v>467412</v>
      </c>
      <c r="B1254" s="0" t="n">
        <v>467412</v>
      </c>
      <c r="C1254" s="0" t="n">
        <v>3</v>
      </c>
      <c r="D1254" s="0" t="n">
        <v>14</v>
      </c>
      <c r="E1254" s="0" t="n">
        <v>2555</v>
      </c>
      <c r="F1254" s="0" t="n">
        <v>84</v>
      </c>
      <c r="G1254" s="0" t="n">
        <v>157</v>
      </c>
      <c r="H1254" s="0" t="s">
        <v>2327</v>
      </c>
      <c r="I1254" s="0" t="s">
        <v>2492</v>
      </c>
      <c r="J1254" s="9" t="n">
        <v>45904</v>
      </c>
      <c r="K1254" s="0" t="s">
        <v>2493</v>
      </c>
      <c r="L1254" s="0" t="n">
        <v>3</v>
      </c>
      <c r="M1254" s="10" t="n">
        <f aca="false">_xlfn.NUMBERVALUE("" &amp; K1254 &amp; "",".",",")</f>
        <v>0.0881722222222222</v>
      </c>
      <c r="N1254" s="10"/>
      <c r="O1254" s="0" t="str">
        <f aca="false">VLOOKUP(C1254,statusdetails!$A:$D,4,0)</f>
        <v>STANDBY</v>
      </c>
      <c r="P1254" s="0" t="str">
        <f aca="false">VLOOKUP(F1254,equipment!$A:$E,4,0)</f>
        <v>CM01</v>
      </c>
      <c r="Q1254" s="0" t="str">
        <f aca="false">VLOOKUP(F1254,equipment!$A:$E,5,0)</f>
        <v>CM01 - 84</v>
      </c>
    </row>
    <row r="1255" customFormat="false" ht="12.8" hidden="true" customHeight="false" outlineLevel="0" collapsed="false">
      <c r="A1255" s="0" t="n">
        <v>467413</v>
      </c>
      <c r="B1255" s="0" t="n">
        <v>467413</v>
      </c>
      <c r="C1255" s="0" t="n">
        <v>1</v>
      </c>
      <c r="D1255" s="0" t="n">
        <v>6</v>
      </c>
      <c r="E1255" s="0" t="n">
        <v>2404</v>
      </c>
      <c r="F1255" s="0" t="n">
        <v>88</v>
      </c>
      <c r="G1255" s="0" t="n">
        <v>0</v>
      </c>
      <c r="H1255" s="0" t="s">
        <v>2379</v>
      </c>
      <c r="I1255" s="0" t="s">
        <v>2494</v>
      </c>
      <c r="J1255" s="9" t="n">
        <v>45904</v>
      </c>
      <c r="K1255" s="0" t="s">
        <v>2495</v>
      </c>
      <c r="L1255" s="0" t="n">
        <v>3</v>
      </c>
      <c r="M1255" s="10" t="n">
        <f aca="false">_xlfn.NUMBERVALUE("" &amp; K1255 &amp; "",".",",")</f>
        <v>3.19562879527778</v>
      </c>
      <c r="N1255" s="10"/>
      <c r="O1255" s="0" t="str">
        <f aca="false">VLOOKUP(C1255,statusdetails!$A:$D,4,0)</f>
        <v>READY</v>
      </c>
    </row>
    <row r="1256" customFormat="false" ht="12.8" hidden="true" customHeight="false" outlineLevel="0" collapsed="false">
      <c r="A1256" s="0" t="n">
        <v>467414</v>
      </c>
      <c r="B1256" s="0" t="n">
        <v>467414</v>
      </c>
      <c r="C1256" s="0" t="n">
        <v>1</v>
      </c>
      <c r="D1256" s="0" t="n">
        <v>6</v>
      </c>
      <c r="E1256" s="0" t="n">
        <v>2404</v>
      </c>
      <c r="F1256" s="0" t="n">
        <v>84</v>
      </c>
      <c r="G1256" s="0" t="n">
        <v>157</v>
      </c>
      <c r="H1256" s="0" t="s">
        <v>2492</v>
      </c>
      <c r="I1256" s="0" t="s">
        <v>2496</v>
      </c>
      <c r="J1256" s="9" t="n">
        <v>45904</v>
      </c>
      <c r="K1256" s="0" t="s">
        <v>2497</v>
      </c>
      <c r="L1256" s="0" t="n">
        <v>3</v>
      </c>
      <c r="M1256" s="10" t="n">
        <f aca="false">_xlfn.NUMBERVALUE("" &amp; K1256 &amp; "",".",",")</f>
        <v>3.40727444444444</v>
      </c>
      <c r="N1256" s="10"/>
      <c r="O1256" s="0" t="str">
        <f aca="false">VLOOKUP(C1256,statusdetails!$A:$D,4,0)</f>
        <v>READY</v>
      </c>
    </row>
    <row r="1257" customFormat="false" ht="12.8" hidden="true" customHeight="false" outlineLevel="0" collapsed="false">
      <c r="A1257" s="0" t="n">
        <v>467415</v>
      </c>
      <c r="B1257" s="0" t="n">
        <v>467415</v>
      </c>
      <c r="C1257" s="0" t="n">
        <v>2</v>
      </c>
      <c r="D1257" s="0" t="n">
        <v>7</v>
      </c>
      <c r="E1257" s="0" t="n">
        <v>1026</v>
      </c>
      <c r="F1257" s="0" t="n">
        <v>33</v>
      </c>
      <c r="G1257" s="0" t="n">
        <v>118</v>
      </c>
      <c r="H1257" s="0" t="s">
        <v>2452</v>
      </c>
      <c r="I1257" s="0" t="s">
        <v>2498</v>
      </c>
      <c r="J1257" s="9" t="n">
        <v>45904</v>
      </c>
      <c r="K1257" s="0" t="s">
        <v>2499</v>
      </c>
      <c r="L1257" s="0" t="n">
        <v>4</v>
      </c>
      <c r="M1257" s="3" t="n">
        <f aca="false">_xlfn.NUMBERVALUE("" &amp; K1257 &amp; "",".",",")</f>
        <v>0.247546258611111</v>
      </c>
      <c r="O1257" s="0" t="str">
        <f aca="false">VLOOKUP(C1257,statusdetails!$A:$D,4,0)</f>
        <v>DELAY</v>
      </c>
    </row>
    <row r="1258" customFormat="false" ht="12.8" hidden="true" customHeight="false" outlineLevel="0" collapsed="false">
      <c r="A1258" s="0" t="n">
        <v>467416</v>
      </c>
      <c r="B1258" s="0" t="n">
        <v>467416</v>
      </c>
      <c r="C1258" s="0" t="n">
        <v>2</v>
      </c>
      <c r="D1258" s="0" t="n">
        <v>7</v>
      </c>
      <c r="E1258" s="0" t="n">
        <v>2385</v>
      </c>
      <c r="F1258" s="0" t="n">
        <v>96</v>
      </c>
      <c r="G1258" s="0" t="n">
        <v>89</v>
      </c>
      <c r="H1258" s="0" t="s">
        <v>2458</v>
      </c>
      <c r="I1258" s="0" t="s">
        <v>2500</v>
      </c>
      <c r="J1258" s="9" t="n">
        <v>45904</v>
      </c>
      <c r="K1258" s="0" t="s">
        <v>2501</v>
      </c>
      <c r="L1258" s="0" t="n">
        <v>4</v>
      </c>
      <c r="M1258" s="3" t="n">
        <f aca="false">_xlfn.NUMBERVALUE("" &amp; K1258 &amp; "",".",",")</f>
        <v>0.212590029444444</v>
      </c>
      <c r="O1258" s="0" t="str">
        <f aca="false">VLOOKUP(C1258,statusdetails!$A:$D,4,0)</f>
        <v>DELAY</v>
      </c>
    </row>
    <row r="1259" customFormat="false" ht="12.8" hidden="true" customHeight="false" outlineLevel="0" collapsed="false">
      <c r="A1259" s="0" t="n">
        <v>467417</v>
      </c>
      <c r="B1259" s="0" t="n">
        <v>467417</v>
      </c>
      <c r="C1259" s="0" t="n">
        <v>2</v>
      </c>
      <c r="D1259" s="0" t="n">
        <v>7</v>
      </c>
      <c r="E1259" s="0" t="n">
        <v>1026</v>
      </c>
      <c r="F1259" s="0" t="n">
        <v>35</v>
      </c>
      <c r="G1259" s="0" t="n">
        <v>62</v>
      </c>
      <c r="H1259" s="0" t="s">
        <v>2446</v>
      </c>
      <c r="I1259" s="0" t="s">
        <v>2502</v>
      </c>
      <c r="J1259" s="9" t="n">
        <v>45904</v>
      </c>
      <c r="K1259" s="0" t="s">
        <v>2503</v>
      </c>
      <c r="L1259" s="0" t="n">
        <v>4</v>
      </c>
      <c r="M1259" s="3" t="n">
        <f aca="false">_xlfn.NUMBERVALUE("" &amp; K1259 &amp; "",".",",")</f>
        <v>0.161056262777778</v>
      </c>
      <c r="O1259" s="0" t="str">
        <f aca="false">VLOOKUP(C1259,statusdetails!$A:$D,4,0)</f>
        <v>DELAY</v>
      </c>
    </row>
    <row r="1260" customFormat="false" ht="12.8" hidden="true" customHeight="false" outlineLevel="0" collapsed="false">
      <c r="A1260" s="0" t="n">
        <v>467418</v>
      </c>
      <c r="B1260" s="0" t="n">
        <v>467418</v>
      </c>
      <c r="C1260" s="0" t="n">
        <v>1</v>
      </c>
      <c r="D1260" s="0" t="n">
        <v>6</v>
      </c>
      <c r="E1260" s="0" t="n">
        <v>260</v>
      </c>
      <c r="F1260" s="0" t="n">
        <v>35</v>
      </c>
      <c r="G1260" s="0" t="n">
        <v>62</v>
      </c>
      <c r="H1260" s="0" t="s">
        <v>2502</v>
      </c>
      <c r="I1260" s="0" t="s">
        <v>2504</v>
      </c>
      <c r="J1260" s="9" t="n">
        <v>45904</v>
      </c>
      <c r="K1260" s="0" t="s">
        <v>2505</v>
      </c>
      <c r="L1260" s="0" t="n">
        <v>4</v>
      </c>
      <c r="M1260" s="10" t="n">
        <f aca="false">_xlfn.NUMBERVALUE("" &amp; K1260 &amp; "",".",",")</f>
        <v>0.515965020277778</v>
      </c>
      <c r="N1260" s="10"/>
      <c r="O1260" s="0" t="str">
        <f aca="false">VLOOKUP(C1260,statusdetails!$A:$D,4,0)</f>
        <v>READY</v>
      </c>
    </row>
    <row r="1261" customFormat="false" ht="12.8" hidden="true" customHeight="false" outlineLevel="0" collapsed="false">
      <c r="A1261" s="0" t="n">
        <v>467419</v>
      </c>
      <c r="B1261" s="0" t="n">
        <v>467419</v>
      </c>
      <c r="C1261" s="0" t="n">
        <v>1</v>
      </c>
      <c r="D1261" s="0" t="n">
        <v>6</v>
      </c>
      <c r="E1261" s="0" t="n">
        <v>2518</v>
      </c>
      <c r="F1261" s="0" t="n">
        <v>96</v>
      </c>
      <c r="G1261" s="0" t="n">
        <v>89</v>
      </c>
      <c r="H1261" s="0" t="s">
        <v>2500</v>
      </c>
      <c r="I1261" s="0" t="s">
        <v>2506</v>
      </c>
      <c r="J1261" s="9" t="n">
        <v>45904</v>
      </c>
      <c r="K1261" s="0" t="s">
        <v>2507</v>
      </c>
      <c r="L1261" s="0" t="n">
        <v>4</v>
      </c>
      <c r="M1261" s="10" t="n">
        <f aca="false">_xlfn.NUMBERVALUE("" &amp; K1261 &amp; "",".",",")</f>
        <v>0.591385766388889</v>
      </c>
      <c r="N1261" s="10"/>
      <c r="O1261" s="0" t="str">
        <f aca="false">VLOOKUP(C1261,statusdetails!$A:$D,4,0)</f>
        <v>READY</v>
      </c>
    </row>
    <row r="1262" customFormat="false" ht="12.8" hidden="true" customHeight="false" outlineLevel="0" collapsed="false">
      <c r="A1262" s="0" t="n">
        <v>467420</v>
      </c>
      <c r="B1262" s="0" t="n">
        <v>467420</v>
      </c>
      <c r="C1262" s="0" t="n">
        <v>1</v>
      </c>
      <c r="D1262" s="0" t="n">
        <v>6</v>
      </c>
      <c r="E1262" s="0" t="n">
        <v>586</v>
      </c>
      <c r="F1262" s="0" t="n">
        <v>41</v>
      </c>
      <c r="G1262" s="0" t="n">
        <v>61</v>
      </c>
      <c r="H1262" s="0" t="s">
        <v>2466</v>
      </c>
      <c r="I1262" s="0" t="s">
        <v>2508</v>
      </c>
      <c r="J1262" s="9" t="n">
        <v>45904</v>
      </c>
      <c r="K1262" s="0" t="s">
        <v>2509</v>
      </c>
      <c r="L1262" s="0" t="n">
        <v>4</v>
      </c>
      <c r="M1262" s="10" t="n">
        <f aca="false">_xlfn.NUMBERVALUE("" &amp; K1262 &amp; "",".",",")</f>
        <v>5.17532237666667</v>
      </c>
      <c r="N1262" s="10"/>
      <c r="O1262" s="0" t="str">
        <f aca="false">VLOOKUP(C1262,statusdetails!$A:$D,4,0)</f>
        <v>READY</v>
      </c>
    </row>
    <row r="1263" customFormat="false" ht="12.8" hidden="true" customHeight="false" outlineLevel="0" collapsed="false">
      <c r="A1263" s="0" t="n">
        <v>467421</v>
      </c>
      <c r="B1263" s="0" t="n">
        <v>467421</v>
      </c>
      <c r="C1263" s="0" t="n">
        <v>1</v>
      </c>
      <c r="D1263" s="0" t="n">
        <v>6</v>
      </c>
      <c r="E1263" s="0" t="n">
        <v>260</v>
      </c>
      <c r="F1263" s="0" t="n">
        <v>33</v>
      </c>
      <c r="G1263" s="0" t="n">
        <v>7</v>
      </c>
      <c r="H1263" s="0" t="s">
        <v>2498</v>
      </c>
      <c r="I1263" s="0" t="s">
        <v>2510</v>
      </c>
      <c r="J1263" s="9" t="n">
        <v>45904</v>
      </c>
      <c r="K1263" s="0" t="s">
        <v>2511</v>
      </c>
      <c r="L1263" s="0" t="n">
        <v>4</v>
      </c>
      <c r="M1263" s="10" t="n">
        <f aca="false">_xlfn.NUMBERVALUE("" &amp; K1263 &amp; "",".",",")</f>
        <v>0.55461043</v>
      </c>
      <c r="N1263" s="10"/>
      <c r="O1263" s="0" t="str">
        <f aca="false">VLOOKUP(C1263,statusdetails!$A:$D,4,0)</f>
        <v>READY</v>
      </c>
    </row>
    <row r="1264" customFormat="false" ht="12.8" hidden="true" customHeight="false" outlineLevel="0" collapsed="false">
      <c r="A1264" s="0" t="n">
        <v>467422</v>
      </c>
      <c r="B1264" s="0" t="n">
        <v>467422</v>
      </c>
      <c r="C1264" s="0" t="n">
        <v>3</v>
      </c>
      <c r="D1264" s="0" t="n">
        <v>14</v>
      </c>
      <c r="E1264" s="0" t="n">
        <v>1157</v>
      </c>
      <c r="F1264" s="0" t="n">
        <v>37</v>
      </c>
      <c r="G1264" s="0" t="n">
        <v>54</v>
      </c>
      <c r="H1264" s="0" t="s">
        <v>2474</v>
      </c>
      <c r="I1264" s="0" t="s">
        <v>2512</v>
      </c>
      <c r="J1264" s="9" t="n">
        <v>45904</v>
      </c>
      <c r="K1264" s="0" t="s">
        <v>2513</v>
      </c>
      <c r="L1264" s="0" t="n">
        <v>4</v>
      </c>
      <c r="M1264" s="10" t="n">
        <f aca="false">_xlfn.NUMBERVALUE("" &amp; K1264 &amp; "",".",",")</f>
        <v>0.158897777777778</v>
      </c>
      <c r="N1264" s="10"/>
      <c r="O1264" s="0" t="str">
        <f aca="false">VLOOKUP(C1264,statusdetails!$A:$D,4,0)</f>
        <v>STANDBY</v>
      </c>
      <c r="P1264" s="0" t="str">
        <f aca="false">VLOOKUP(F1264,equipment!$A:$E,4,0)</f>
        <v>DZ201</v>
      </c>
      <c r="Q1264" s="0" t="str">
        <f aca="false">VLOOKUP(F1264,equipment!$A:$E,5,0)</f>
        <v>DZ201 - 37</v>
      </c>
    </row>
    <row r="1265" customFormat="false" ht="12.8" hidden="true" customHeight="false" outlineLevel="0" collapsed="false">
      <c r="A1265" s="0" t="n">
        <v>467423</v>
      </c>
      <c r="B1265" s="0" t="n">
        <v>467423</v>
      </c>
      <c r="C1265" s="0" t="n">
        <v>1</v>
      </c>
      <c r="D1265" s="0" t="n">
        <v>6</v>
      </c>
      <c r="E1265" s="0" t="n">
        <v>372</v>
      </c>
      <c r="F1265" s="0" t="n">
        <v>37</v>
      </c>
      <c r="G1265" s="0" t="n">
        <v>54</v>
      </c>
      <c r="H1265" s="0" t="s">
        <v>2512</v>
      </c>
      <c r="I1265" s="0" t="s">
        <v>2514</v>
      </c>
      <c r="J1265" s="9" t="n">
        <v>45904</v>
      </c>
      <c r="K1265" s="0" t="s">
        <v>2515</v>
      </c>
      <c r="L1265" s="0" t="n">
        <v>4</v>
      </c>
      <c r="M1265" s="10" t="n">
        <f aca="false">_xlfn.NUMBERVALUE("" &amp; K1265 &amp; "",".",",")</f>
        <v>2.07339638888889</v>
      </c>
      <c r="N1265" s="10"/>
      <c r="O1265" s="0" t="str">
        <f aca="false">VLOOKUP(C1265,statusdetails!$A:$D,4,0)</f>
        <v>READY</v>
      </c>
    </row>
    <row r="1266" customFormat="false" ht="12.8" hidden="true" customHeight="false" outlineLevel="0" collapsed="false">
      <c r="A1266" s="0" t="n">
        <v>467424</v>
      </c>
      <c r="B1266" s="0" t="n">
        <v>467424</v>
      </c>
      <c r="C1266" s="0" t="n">
        <v>3</v>
      </c>
      <c r="D1266" s="0" t="n">
        <v>14</v>
      </c>
      <c r="E1266" s="0" t="n">
        <v>2555</v>
      </c>
      <c r="F1266" s="0" t="n">
        <v>86</v>
      </c>
      <c r="G1266" s="0" t="n">
        <v>149</v>
      </c>
      <c r="H1266" s="0" t="s">
        <v>2383</v>
      </c>
      <c r="I1266" s="0" t="s">
        <v>2516</v>
      </c>
      <c r="J1266" s="9" t="n">
        <v>45904</v>
      </c>
      <c r="K1266" s="0" t="s">
        <v>2517</v>
      </c>
      <c r="L1266" s="0" t="n">
        <v>4</v>
      </c>
      <c r="M1266" s="10" t="n">
        <f aca="false">_xlfn.NUMBERVALUE("" &amp; K1266 &amp; "",".",",")</f>
        <v>0.0890936111111111</v>
      </c>
      <c r="N1266" s="10"/>
      <c r="O1266" s="0" t="str">
        <f aca="false">VLOOKUP(C1266,statusdetails!$A:$D,4,0)</f>
        <v>STANDBY</v>
      </c>
      <c r="P1266" s="0" t="str">
        <f aca="false">VLOOKUP(F1266,equipment!$A:$E,4,0)</f>
        <v>CM03</v>
      </c>
      <c r="Q1266" s="0" t="str">
        <f aca="false">VLOOKUP(F1266,equipment!$A:$E,5,0)</f>
        <v>CM03 - 86</v>
      </c>
    </row>
    <row r="1267" customFormat="false" ht="12.8" hidden="true" customHeight="false" outlineLevel="0" collapsed="false">
      <c r="A1267" s="0" t="n">
        <v>467425</v>
      </c>
      <c r="B1267" s="0" t="n">
        <v>467425</v>
      </c>
      <c r="C1267" s="0" t="n">
        <v>1</v>
      </c>
      <c r="D1267" s="0" t="n">
        <v>6</v>
      </c>
      <c r="E1267" s="0" t="n">
        <v>2404</v>
      </c>
      <c r="F1267" s="0" t="n">
        <v>86</v>
      </c>
      <c r="G1267" s="0" t="n">
        <v>149</v>
      </c>
      <c r="H1267" s="0" t="s">
        <v>2516</v>
      </c>
      <c r="I1267" s="0" t="s">
        <v>2518</v>
      </c>
      <c r="J1267" s="9" t="n">
        <v>45904</v>
      </c>
      <c r="K1267" s="0" t="s">
        <v>2519</v>
      </c>
      <c r="L1267" s="0" t="n">
        <v>5</v>
      </c>
      <c r="M1267" s="10" t="n">
        <f aca="false">_xlfn.NUMBERVALUE("" &amp; K1267 &amp; "",".",",")</f>
        <v>1.88581472222222</v>
      </c>
      <c r="N1267" s="10"/>
      <c r="O1267" s="0" t="str">
        <f aca="false">VLOOKUP(C1267,statusdetails!$A:$D,4,0)</f>
        <v>READY</v>
      </c>
    </row>
    <row r="1268" customFormat="false" ht="12.8" hidden="true" customHeight="false" outlineLevel="0" collapsed="false">
      <c r="A1268" s="0" t="n">
        <v>467426</v>
      </c>
      <c r="B1268" s="0" t="n">
        <v>467426</v>
      </c>
      <c r="C1268" s="0" t="n">
        <v>2</v>
      </c>
      <c r="D1268" s="0" t="n">
        <v>9</v>
      </c>
      <c r="E1268" s="0" t="n">
        <v>1004</v>
      </c>
      <c r="F1268" s="0" t="n">
        <v>35</v>
      </c>
      <c r="G1268" s="0" t="n">
        <v>62</v>
      </c>
      <c r="H1268" s="0" t="s">
        <v>2504</v>
      </c>
      <c r="I1268" s="0" t="s">
        <v>2520</v>
      </c>
      <c r="J1268" s="9" t="n">
        <v>45904</v>
      </c>
      <c r="K1268" s="0" t="s">
        <v>2521</v>
      </c>
      <c r="L1268" s="0" t="n">
        <v>5</v>
      </c>
      <c r="M1268" s="3" t="n">
        <f aca="false">_xlfn.NUMBERVALUE("" &amp; K1268 &amp; "",".",",")</f>
        <v>0.171708378888889</v>
      </c>
      <c r="O1268" s="0" t="str">
        <f aca="false">VLOOKUP(C1268,statusdetails!$A:$D,4,0)</f>
        <v>DELAY</v>
      </c>
    </row>
    <row r="1269" customFormat="false" ht="12.8" hidden="true" customHeight="false" outlineLevel="0" collapsed="false">
      <c r="A1269" s="0" t="n">
        <v>467427</v>
      </c>
      <c r="B1269" s="0" t="n">
        <v>467427</v>
      </c>
      <c r="C1269" s="0" t="n">
        <v>2</v>
      </c>
      <c r="D1269" s="0" t="n">
        <v>9</v>
      </c>
      <c r="E1269" s="0" t="n">
        <v>1004</v>
      </c>
      <c r="F1269" s="0" t="n">
        <v>33</v>
      </c>
      <c r="G1269" s="0" t="n">
        <v>7</v>
      </c>
      <c r="H1269" s="0" t="s">
        <v>2510</v>
      </c>
      <c r="I1269" s="0" t="s">
        <v>2522</v>
      </c>
      <c r="J1269" s="9" t="n">
        <v>45904</v>
      </c>
      <c r="K1269" s="0" t="s">
        <v>2523</v>
      </c>
      <c r="L1269" s="0" t="n">
        <v>5</v>
      </c>
      <c r="M1269" s="3" t="n">
        <f aca="false">_xlfn.NUMBERVALUE("" &amp; K1269 &amp; "",".",",")</f>
        <v>0.0819886422222222</v>
      </c>
      <c r="O1269" s="0" t="str">
        <f aca="false">VLOOKUP(C1269,statusdetails!$A:$D,4,0)</f>
        <v>DELAY</v>
      </c>
    </row>
    <row r="1270" customFormat="false" ht="12.8" hidden="true" customHeight="false" outlineLevel="0" collapsed="false">
      <c r="A1270" s="0" t="n">
        <v>467428</v>
      </c>
      <c r="B1270" s="0" t="n">
        <v>467428</v>
      </c>
      <c r="C1270" s="0" t="n">
        <v>3</v>
      </c>
      <c r="D1270" s="0" t="n">
        <v>14</v>
      </c>
      <c r="E1270" s="0" t="n">
        <v>2387</v>
      </c>
      <c r="F1270" s="0" t="n">
        <v>96</v>
      </c>
      <c r="G1270" s="0" t="n">
        <v>89</v>
      </c>
      <c r="H1270" s="0" t="s">
        <v>2506</v>
      </c>
      <c r="I1270" s="0" t="s">
        <v>2524</v>
      </c>
      <c r="J1270" s="9" t="n">
        <v>45904</v>
      </c>
      <c r="K1270" s="0" t="s">
        <v>2525</v>
      </c>
      <c r="L1270" s="0" t="n">
        <v>5</v>
      </c>
      <c r="M1270" s="10" t="n">
        <f aca="false">_xlfn.NUMBERVALUE("" &amp; K1270 &amp; "",".",",")</f>
        <v>0.0700450838888889</v>
      </c>
      <c r="N1270" s="10"/>
      <c r="O1270" s="0" t="str">
        <f aca="false">VLOOKUP(C1270,statusdetails!$A:$D,4,0)</f>
        <v>STANDBY</v>
      </c>
      <c r="P1270" s="0" t="str">
        <f aca="false">VLOOKUP(F1270,equipment!$A:$E,4,0)</f>
        <v>EX503</v>
      </c>
      <c r="Q1270" s="0" t="str">
        <f aca="false">VLOOKUP(F1270,equipment!$A:$E,5,0)</f>
        <v>EX503 - 96</v>
      </c>
    </row>
    <row r="1271" customFormat="false" ht="12.8" hidden="true" customHeight="false" outlineLevel="0" collapsed="false">
      <c r="A1271" s="0" t="n">
        <v>467429</v>
      </c>
      <c r="B1271" s="0" t="n">
        <v>467429</v>
      </c>
      <c r="C1271" s="0" t="n">
        <v>1</v>
      </c>
      <c r="D1271" s="0" t="n">
        <v>6</v>
      </c>
      <c r="E1271" s="0" t="n">
        <v>2518</v>
      </c>
      <c r="F1271" s="0" t="n">
        <v>96</v>
      </c>
      <c r="G1271" s="0" t="n">
        <v>89</v>
      </c>
      <c r="H1271" s="0" t="s">
        <v>2524</v>
      </c>
      <c r="I1271" s="0" t="s">
        <v>2526</v>
      </c>
      <c r="J1271" s="9" t="n">
        <v>45904</v>
      </c>
      <c r="K1271" s="0" t="s">
        <v>2527</v>
      </c>
      <c r="L1271" s="0" t="n">
        <v>5</v>
      </c>
      <c r="M1271" s="10" t="n">
        <f aca="false">_xlfn.NUMBERVALUE("" &amp; K1271 &amp; "",".",",")</f>
        <v>1.20809088611111</v>
      </c>
      <c r="N1271" s="10"/>
      <c r="O1271" s="0" t="str">
        <f aca="false">VLOOKUP(C1271,statusdetails!$A:$D,4,0)</f>
        <v>READY</v>
      </c>
    </row>
    <row r="1272" customFormat="false" ht="12.8" hidden="true" customHeight="false" outlineLevel="0" collapsed="false">
      <c r="A1272" s="0" t="n">
        <v>467430</v>
      </c>
      <c r="B1272" s="0" t="n">
        <v>467430</v>
      </c>
      <c r="C1272" s="0" t="n">
        <v>3</v>
      </c>
      <c r="D1272" s="0" t="n">
        <v>14</v>
      </c>
      <c r="E1272" s="0" t="n">
        <v>1162</v>
      </c>
      <c r="F1272" s="0" t="n">
        <v>33</v>
      </c>
      <c r="G1272" s="0" t="n">
        <v>7</v>
      </c>
      <c r="H1272" s="0" t="s">
        <v>2522</v>
      </c>
      <c r="I1272" s="0" t="s">
        <v>2528</v>
      </c>
      <c r="J1272" s="9" t="n">
        <v>45904</v>
      </c>
      <c r="K1272" s="0" t="s">
        <v>2529</v>
      </c>
      <c r="L1272" s="0" t="n">
        <v>5</v>
      </c>
      <c r="M1272" s="10" t="n">
        <f aca="false">_xlfn.NUMBERVALUE("" &amp; K1272 &amp; "",".",",")</f>
        <v>0.0912812233333333</v>
      </c>
      <c r="N1272" s="10"/>
      <c r="O1272" s="0" t="str">
        <f aca="false">VLOOKUP(C1272,statusdetails!$A:$D,4,0)</f>
        <v>STANDBY</v>
      </c>
      <c r="P1272" s="0" t="str">
        <f aca="false">VLOOKUP(F1272,equipment!$A:$E,4,0)</f>
        <v>CM406</v>
      </c>
      <c r="Q1272" s="0" t="str">
        <f aca="false">VLOOKUP(F1272,equipment!$A:$E,5,0)</f>
        <v>CM406 - 33</v>
      </c>
    </row>
    <row r="1273" customFormat="false" ht="12.8" hidden="true" customHeight="false" outlineLevel="0" collapsed="false">
      <c r="A1273" s="0" t="n">
        <v>467431</v>
      </c>
      <c r="B1273" s="0" t="n">
        <v>467431</v>
      </c>
      <c r="C1273" s="0" t="n">
        <v>1</v>
      </c>
      <c r="D1273" s="0" t="n">
        <v>6</v>
      </c>
      <c r="E1273" s="0" t="n">
        <v>260</v>
      </c>
      <c r="F1273" s="0" t="n">
        <v>35</v>
      </c>
      <c r="G1273" s="0" t="n">
        <v>62</v>
      </c>
      <c r="H1273" s="0" t="s">
        <v>2520</v>
      </c>
      <c r="I1273" s="0" t="s">
        <v>2530</v>
      </c>
      <c r="J1273" s="9" t="n">
        <v>45904</v>
      </c>
      <c r="K1273" s="0" t="s">
        <v>2531</v>
      </c>
      <c r="L1273" s="0" t="n">
        <v>5</v>
      </c>
      <c r="M1273" s="10" t="n">
        <f aca="false">_xlfn.NUMBERVALUE("" &amp; K1273 &amp; "",".",",")</f>
        <v>0.205476365555556</v>
      </c>
      <c r="N1273" s="10"/>
      <c r="O1273" s="0" t="str">
        <f aca="false">VLOOKUP(C1273,statusdetails!$A:$D,4,0)</f>
        <v>READY</v>
      </c>
    </row>
    <row r="1274" customFormat="false" ht="12.8" hidden="true" customHeight="false" outlineLevel="0" collapsed="false">
      <c r="A1274" s="0" t="n">
        <v>467432</v>
      </c>
      <c r="B1274" s="0" t="n">
        <v>467432</v>
      </c>
      <c r="C1274" s="0" t="n">
        <v>1</v>
      </c>
      <c r="D1274" s="0" t="n">
        <v>6</v>
      </c>
      <c r="E1274" s="0" t="n">
        <v>260</v>
      </c>
      <c r="F1274" s="0" t="n">
        <v>33</v>
      </c>
      <c r="G1274" s="0" t="n">
        <v>7</v>
      </c>
      <c r="H1274" s="0" t="s">
        <v>2528</v>
      </c>
      <c r="I1274" s="0" t="s">
        <v>2532</v>
      </c>
      <c r="J1274" s="9" t="n">
        <v>45904</v>
      </c>
      <c r="K1274" s="0" t="s">
        <v>2533</v>
      </c>
      <c r="L1274" s="0" t="n">
        <v>5</v>
      </c>
      <c r="M1274" s="10" t="n">
        <f aca="false">_xlfn.NUMBERVALUE("" &amp; K1274 &amp; "",".",",")</f>
        <v>1.0901059525</v>
      </c>
      <c r="N1274" s="10"/>
      <c r="O1274" s="0" t="str">
        <f aca="false">VLOOKUP(C1274,statusdetails!$A:$D,4,0)</f>
        <v>READY</v>
      </c>
    </row>
    <row r="1275" customFormat="false" ht="12.8" hidden="true" customHeight="false" outlineLevel="0" collapsed="false">
      <c r="A1275" s="0" t="n">
        <v>467433</v>
      </c>
      <c r="B1275" s="0" t="n">
        <v>467433</v>
      </c>
      <c r="C1275" s="0" t="n">
        <v>1</v>
      </c>
      <c r="D1275" s="0" t="n">
        <v>6</v>
      </c>
      <c r="E1275" s="0" t="n">
        <v>2524</v>
      </c>
      <c r="F1275" s="0" t="n">
        <v>74</v>
      </c>
      <c r="G1275" s="0" t="n">
        <v>0</v>
      </c>
      <c r="H1275" s="0" t="s">
        <v>2423</v>
      </c>
      <c r="I1275" s="0" t="s">
        <v>2534</v>
      </c>
      <c r="J1275" s="9" t="n">
        <v>45904</v>
      </c>
      <c r="K1275" s="0" t="s">
        <v>2535</v>
      </c>
      <c r="L1275" s="0" t="n">
        <v>5</v>
      </c>
      <c r="M1275" s="10" t="n">
        <f aca="false">_xlfn.NUMBERVALUE("" &amp; K1275 &amp; "",".",",")</f>
        <v>7.92325679666667</v>
      </c>
      <c r="N1275" s="10"/>
      <c r="O1275" s="0" t="str">
        <f aca="false">VLOOKUP(C1275,statusdetails!$A:$D,4,0)</f>
        <v>READY</v>
      </c>
    </row>
    <row r="1276" customFormat="false" ht="12.8" hidden="true" customHeight="false" outlineLevel="0" collapsed="false">
      <c r="A1276" s="0" t="n">
        <v>467435</v>
      </c>
      <c r="B1276" s="0" t="n">
        <v>467435</v>
      </c>
      <c r="C1276" s="0" t="n">
        <v>3</v>
      </c>
      <c r="D1276" s="0" t="n">
        <v>14</v>
      </c>
      <c r="E1276" s="0" t="n">
        <v>1162</v>
      </c>
      <c r="F1276" s="0" t="n">
        <v>35</v>
      </c>
      <c r="G1276" s="0" t="n">
        <v>62</v>
      </c>
      <c r="H1276" s="0" t="s">
        <v>2530</v>
      </c>
      <c r="I1276" s="0" t="s">
        <v>2536</v>
      </c>
      <c r="J1276" s="9" t="n">
        <v>45904</v>
      </c>
      <c r="K1276" s="0" t="s">
        <v>2537</v>
      </c>
      <c r="L1276" s="0" t="n">
        <v>5</v>
      </c>
      <c r="M1276" s="10" t="n">
        <f aca="false">_xlfn.NUMBERVALUE("" &amp; K1276 &amp; "",".",",")</f>
        <v>0.101233856944444</v>
      </c>
      <c r="N1276" s="10"/>
      <c r="O1276" s="0" t="str">
        <f aca="false">VLOOKUP(C1276,statusdetails!$A:$D,4,0)</f>
        <v>STANDBY</v>
      </c>
      <c r="P1276" s="0" t="str">
        <f aca="false">VLOOKUP(F1276,equipment!$A:$E,4,0)</f>
        <v>CM405</v>
      </c>
      <c r="Q1276" s="0" t="str">
        <f aca="false">VLOOKUP(F1276,equipment!$A:$E,5,0)</f>
        <v>CM405 - 35</v>
      </c>
    </row>
    <row r="1277" customFormat="false" ht="12.8" hidden="true" customHeight="false" outlineLevel="0" collapsed="false">
      <c r="A1277" s="0" t="n">
        <v>467436</v>
      </c>
      <c r="B1277" s="0" t="n">
        <v>467436</v>
      </c>
      <c r="C1277" s="0" t="n">
        <v>1</v>
      </c>
      <c r="D1277" s="0" t="n">
        <v>6</v>
      </c>
      <c r="E1277" s="0" t="n">
        <v>260</v>
      </c>
      <c r="F1277" s="0" t="n">
        <v>35</v>
      </c>
      <c r="G1277" s="0" t="n">
        <v>62</v>
      </c>
      <c r="H1277" s="0" t="s">
        <v>2536</v>
      </c>
      <c r="I1277" s="0" t="s">
        <v>2538</v>
      </c>
      <c r="J1277" s="9" t="n">
        <v>45904</v>
      </c>
      <c r="K1277" s="0" t="s">
        <v>2539</v>
      </c>
      <c r="L1277" s="0" t="n">
        <v>5</v>
      </c>
      <c r="M1277" s="10" t="n">
        <f aca="false">_xlfn.NUMBERVALUE("" &amp; K1277 &amp; "",".",",")</f>
        <v>6.86240801166667</v>
      </c>
      <c r="N1277" s="10"/>
      <c r="O1277" s="0" t="str">
        <f aca="false">VLOOKUP(C1277,statusdetails!$A:$D,4,0)</f>
        <v>READY</v>
      </c>
    </row>
    <row r="1278" customFormat="false" ht="12.8" hidden="true" customHeight="false" outlineLevel="0" collapsed="false">
      <c r="A1278" s="0" t="n">
        <v>467437</v>
      </c>
      <c r="B1278" s="0" t="n">
        <v>467437</v>
      </c>
      <c r="C1278" s="0" t="n">
        <v>3</v>
      </c>
      <c r="D1278" s="0" t="n">
        <v>14</v>
      </c>
      <c r="E1278" s="0" t="n">
        <v>1162</v>
      </c>
      <c r="F1278" s="0" t="n">
        <v>66</v>
      </c>
      <c r="G1278" s="0" t="n">
        <v>66</v>
      </c>
      <c r="H1278" s="0" t="s">
        <v>2488</v>
      </c>
      <c r="I1278" s="0" t="s">
        <v>2540</v>
      </c>
      <c r="J1278" s="9" t="n">
        <v>45904</v>
      </c>
      <c r="K1278" s="0" t="s">
        <v>2541</v>
      </c>
      <c r="L1278" s="0" t="n">
        <v>5</v>
      </c>
      <c r="M1278" s="10" t="n">
        <f aca="false">_xlfn.NUMBERVALUE("" &amp; K1278 &amp; "",".",",")</f>
        <v>0.107270041666667</v>
      </c>
      <c r="N1278" s="10"/>
      <c r="O1278" s="0" t="str">
        <f aca="false">VLOOKUP(C1278,statusdetails!$A:$D,4,0)</f>
        <v>STANDBY</v>
      </c>
      <c r="P1278" s="0" t="str">
        <f aca="false">VLOOKUP(F1278,equipment!$A:$E,4,0)</f>
        <v>CM407</v>
      </c>
      <c r="Q1278" s="0" t="str">
        <f aca="false">VLOOKUP(F1278,equipment!$A:$E,5,0)</f>
        <v>CM407 - 66</v>
      </c>
    </row>
    <row r="1279" customFormat="false" ht="12.8" hidden="true" customHeight="false" outlineLevel="0" collapsed="false">
      <c r="A1279" s="0" t="n">
        <v>467438</v>
      </c>
      <c r="B1279" s="0" t="n">
        <v>467438</v>
      </c>
      <c r="C1279" s="0" t="n">
        <v>1</v>
      </c>
      <c r="D1279" s="0" t="n">
        <v>6</v>
      </c>
      <c r="E1279" s="0" t="n">
        <v>260</v>
      </c>
      <c r="F1279" s="0" t="n">
        <v>66</v>
      </c>
      <c r="G1279" s="0" t="n">
        <v>66</v>
      </c>
      <c r="H1279" s="0" t="s">
        <v>2540</v>
      </c>
      <c r="I1279" s="0" t="s">
        <v>2542</v>
      </c>
      <c r="J1279" s="9" t="n">
        <v>45904</v>
      </c>
      <c r="K1279" s="0" t="s">
        <v>2543</v>
      </c>
      <c r="L1279" s="0" t="n">
        <v>5</v>
      </c>
      <c r="M1279" s="10" t="n">
        <f aca="false">_xlfn.NUMBERVALUE("" &amp; K1279 &amp; "",".",",")</f>
        <v>1.2193113975</v>
      </c>
      <c r="N1279" s="10"/>
      <c r="O1279" s="0" t="str">
        <f aca="false">VLOOKUP(C1279,statusdetails!$A:$D,4,0)</f>
        <v>READY</v>
      </c>
    </row>
    <row r="1280" customFormat="false" ht="12.8" hidden="true" customHeight="false" outlineLevel="0" collapsed="false">
      <c r="A1280" s="0" t="n">
        <v>467439</v>
      </c>
      <c r="B1280" s="0" t="n">
        <v>467439</v>
      </c>
      <c r="C1280" s="0" t="n">
        <v>3</v>
      </c>
      <c r="D1280" s="0" t="n">
        <v>14</v>
      </c>
      <c r="E1280" s="0" t="n">
        <v>1162</v>
      </c>
      <c r="F1280" s="0" t="n">
        <v>32</v>
      </c>
      <c r="G1280" s="0" t="n">
        <v>0</v>
      </c>
      <c r="H1280" s="0" t="s">
        <v>2484</v>
      </c>
      <c r="I1280" s="0" t="s">
        <v>2544</v>
      </c>
      <c r="J1280" s="9" t="n">
        <v>45904</v>
      </c>
      <c r="K1280" s="0" t="s">
        <v>2545</v>
      </c>
      <c r="L1280" s="0" t="n">
        <v>5</v>
      </c>
      <c r="M1280" s="10" t="n">
        <f aca="false">_xlfn.NUMBERVALUE("" &amp; K1280 &amp; "",".",",")</f>
        <v>0.0599587675</v>
      </c>
      <c r="N1280" s="10"/>
      <c r="O1280" s="0" t="str">
        <f aca="false">VLOOKUP(C1280,statusdetails!$A:$D,4,0)</f>
        <v>STANDBY</v>
      </c>
      <c r="P1280" s="0" t="str">
        <f aca="false">VLOOKUP(F1280,equipment!$A:$E,4,0)</f>
        <v>CM403</v>
      </c>
      <c r="Q1280" s="0" t="str">
        <f aca="false">VLOOKUP(F1280,equipment!$A:$E,5,0)</f>
        <v>CM403 - 32</v>
      </c>
    </row>
    <row r="1281" customFormat="false" ht="12.8" hidden="true" customHeight="false" outlineLevel="0" collapsed="false">
      <c r="A1281" s="0" t="n">
        <v>467440</v>
      </c>
      <c r="B1281" s="0" t="n">
        <v>467440</v>
      </c>
      <c r="C1281" s="0" t="n">
        <v>1</v>
      </c>
      <c r="D1281" s="0" t="n">
        <v>6</v>
      </c>
      <c r="E1281" s="0" t="n">
        <v>2404</v>
      </c>
      <c r="F1281" s="0" t="n">
        <v>87</v>
      </c>
      <c r="G1281" s="0" t="n">
        <v>61</v>
      </c>
      <c r="H1281" s="0" t="s">
        <v>2470</v>
      </c>
      <c r="I1281" s="0" t="s">
        <v>2546</v>
      </c>
      <c r="J1281" s="9" t="n">
        <v>45904</v>
      </c>
      <c r="K1281" s="0" t="s">
        <v>2547</v>
      </c>
      <c r="L1281" s="0" t="n">
        <v>5</v>
      </c>
      <c r="M1281" s="10" t="n">
        <f aca="false">_xlfn.NUMBERVALUE("" &amp; K1281 &amp; "",".",",")</f>
        <v>1.04862163527778</v>
      </c>
      <c r="N1281" s="10"/>
      <c r="O1281" s="0" t="str">
        <f aca="false">VLOOKUP(C1281,statusdetails!$A:$D,4,0)</f>
        <v>READY</v>
      </c>
    </row>
    <row r="1282" customFormat="false" ht="12.8" hidden="true" customHeight="false" outlineLevel="0" collapsed="false">
      <c r="A1282" s="0" t="n">
        <v>467441</v>
      </c>
      <c r="B1282" s="0" t="n">
        <v>467441</v>
      </c>
      <c r="C1282" s="0" t="n">
        <v>1</v>
      </c>
      <c r="D1282" s="0" t="n">
        <v>6</v>
      </c>
      <c r="E1282" s="0" t="n">
        <v>260</v>
      </c>
      <c r="F1282" s="0" t="n">
        <v>32</v>
      </c>
      <c r="G1282" s="0" t="n">
        <v>67</v>
      </c>
      <c r="H1282" s="0" t="s">
        <v>2544</v>
      </c>
      <c r="I1282" s="0" t="s">
        <v>2548</v>
      </c>
      <c r="J1282" s="9" t="n">
        <v>45904</v>
      </c>
      <c r="K1282" s="0" t="s">
        <v>2549</v>
      </c>
      <c r="L1282" s="0" t="n">
        <v>5</v>
      </c>
      <c r="M1282" s="10" t="n">
        <f aca="false">_xlfn.NUMBERVALUE("" &amp; K1282 &amp; "",".",",")</f>
        <v>0.953211509166667</v>
      </c>
      <c r="N1282" s="10"/>
      <c r="O1282" s="0" t="str">
        <f aca="false">VLOOKUP(C1282,statusdetails!$A:$D,4,0)</f>
        <v>READY</v>
      </c>
    </row>
    <row r="1283" customFormat="false" ht="12.8" hidden="true" customHeight="false" outlineLevel="0" collapsed="false">
      <c r="A1283" s="0" t="n">
        <v>467442</v>
      </c>
      <c r="B1283" s="0" t="n">
        <v>467442</v>
      </c>
      <c r="C1283" s="0" t="n">
        <v>3</v>
      </c>
      <c r="D1283" s="0" t="n">
        <v>12</v>
      </c>
      <c r="E1283" s="0" t="n">
        <v>2094</v>
      </c>
      <c r="F1283" s="0" t="n">
        <v>33</v>
      </c>
      <c r="G1283" s="0" t="n">
        <v>7</v>
      </c>
      <c r="H1283" s="0" t="s">
        <v>2532</v>
      </c>
      <c r="I1283" s="0" t="s">
        <v>2550</v>
      </c>
      <c r="J1283" s="9" t="n">
        <v>45904</v>
      </c>
      <c r="K1283" s="0" t="s">
        <v>2551</v>
      </c>
      <c r="L1283" s="0" t="n">
        <v>6</v>
      </c>
      <c r="M1283" s="10" t="n">
        <f aca="false">_xlfn.NUMBERVALUE("" &amp; K1283 &amp; "",".",",")</f>
        <v>0.0857944936111111</v>
      </c>
      <c r="N1283" s="10"/>
      <c r="O1283" s="0" t="str">
        <f aca="false">VLOOKUP(C1283,statusdetails!$A:$D,4,0)</f>
        <v>STANDBY</v>
      </c>
      <c r="P1283" s="0" t="str">
        <f aca="false">VLOOKUP(F1283,equipment!$A:$E,4,0)</f>
        <v>CM406</v>
      </c>
      <c r="Q1283" s="0" t="str">
        <f aca="false">VLOOKUP(F1283,equipment!$A:$E,5,0)</f>
        <v>CM406 - 33</v>
      </c>
    </row>
    <row r="1284" customFormat="false" ht="12.8" hidden="true" customHeight="false" outlineLevel="0" collapsed="false">
      <c r="A1284" s="0" t="n">
        <v>467443</v>
      </c>
      <c r="B1284" s="0" t="n">
        <v>467443</v>
      </c>
      <c r="C1284" s="0" t="n">
        <v>3</v>
      </c>
      <c r="D1284" s="0" t="n">
        <v>12</v>
      </c>
      <c r="E1284" s="0" t="n">
        <v>2402</v>
      </c>
      <c r="F1284" s="0" t="n">
        <v>96</v>
      </c>
      <c r="G1284" s="0" t="n">
        <v>89</v>
      </c>
      <c r="H1284" s="0" t="s">
        <v>2526</v>
      </c>
      <c r="I1284" s="0" t="s">
        <v>2552</v>
      </c>
      <c r="J1284" s="9" t="n">
        <v>45904</v>
      </c>
      <c r="K1284" s="0" t="s">
        <v>2553</v>
      </c>
      <c r="L1284" s="0" t="n">
        <v>6</v>
      </c>
      <c r="M1284" s="10" t="n">
        <f aca="false">_xlfn.NUMBERVALUE("" &amp; K1284 &amp; "",".",",")</f>
        <v>0.104467274444444</v>
      </c>
      <c r="N1284" s="10"/>
      <c r="O1284" s="0" t="str">
        <f aca="false">VLOOKUP(C1284,statusdetails!$A:$D,4,0)</f>
        <v>STANDBY</v>
      </c>
      <c r="P1284" s="0" t="str">
        <f aca="false">VLOOKUP(F1284,equipment!$A:$E,4,0)</f>
        <v>EX503</v>
      </c>
      <c r="Q1284" s="0" t="str">
        <f aca="false">VLOOKUP(F1284,equipment!$A:$E,5,0)</f>
        <v>EX503 - 96</v>
      </c>
    </row>
    <row r="1285" customFormat="false" ht="12.8" hidden="true" customHeight="false" outlineLevel="0" collapsed="false">
      <c r="A1285" s="0" t="n">
        <v>467444</v>
      </c>
      <c r="B1285" s="0" t="n">
        <v>467444</v>
      </c>
      <c r="C1285" s="0" t="n">
        <v>1</v>
      </c>
      <c r="D1285" s="0" t="n">
        <v>6</v>
      </c>
      <c r="E1285" s="0" t="n">
        <v>260</v>
      </c>
      <c r="F1285" s="0" t="n">
        <v>33</v>
      </c>
      <c r="G1285" s="0" t="n">
        <v>7</v>
      </c>
      <c r="H1285" s="0" t="s">
        <v>2550</v>
      </c>
      <c r="I1285" s="0" t="s">
        <v>2554</v>
      </c>
      <c r="J1285" s="9" t="n">
        <v>45904</v>
      </c>
      <c r="K1285" s="0" t="s">
        <v>2555</v>
      </c>
      <c r="L1285" s="0" t="n">
        <v>6</v>
      </c>
      <c r="M1285" s="10" t="n">
        <f aca="false">_xlfn.NUMBERVALUE("" &amp; K1285 &amp; "",".",",")</f>
        <v>0.473574448888889</v>
      </c>
      <c r="N1285" s="10"/>
      <c r="O1285" s="0" t="str">
        <f aca="false">VLOOKUP(C1285,statusdetails!$A:$D,4,0)</f>
        <v>READY</v>
      </c>
    </row>
    <row r="1286" customFormat="false" ht="12.8" hidden="true" customHeight="false" outlineLevel="0" collapsed="false">
      <c r="A1286" s="0" t="n">
        <v>467445</v>
      </c>
      <c r="B1286" s="0" t="n">
        <v>467445</v>
      </c>
      <c r="C1286" s="0" t="n">
        <v>1</v>
      </c>
      <c r="D1286" s="0" t="n">
        <v>2303</v>
      </c>
      <c r="E1286" s="0" t="n">
        <v>2517</v>
      </c>
      <c r="F1286" s="0" t="n">
        <v>96</v>
      </c>
      <c r="G1286" s="0" t="n">
        <v>89</v>
      </c>
      <c r="H1286" s="0" t="s">
        <v>2552</v>
      </c>
      <c r="I1286" s="0" t="s">
        <v>2556</v>
      </c>
      <c r="J1286" s="9" t="n">
        <v>45904</v>
      </c>
      <c r="K1286" s="0" t="s">
        <v>2557</v>
      </c>
      <c r="L1286" s="0" t="n">
        <v>6</v>
      </c>
      <c r="M1286" s="10" t="n">
        <f aca="false">_xlfn.NUMBERVALUE("" &amp; K1286 &amp; "",".",",")</f>
        <v>5.84143257305556</v>
      </c>
      <c r="N1286" s="10"/>
      <c r="O1286" s="0" t="str">
        <f aca="false">VLOOKUP(C1286,statusdetails!$A:$D,4,0)</f>
        <v>READY</v>
      </c>
    </row>
    <row r="1287" customFormat="false" ht="12.8" hidden="true" customHeight="false" outlineLevel="0" collapsed="false">
      <c r="A1287" s="0" t="n">
        <v>467446</v>
      </c>
      <c r="B1287" s="0" t="n">
        <v>467446</v>
      </c>
      <c r="C1287" s="0" t="n">
        <v>3</v>
      </c>
      <c r="D1287" s="0" t="n">
        <v>14</v>
      </c>
      <c r="E1287" s="0" t="n">
        <v>1789</v>
      </c>
      <c r="F1287" s="0" t="n">
        <v>32</v>
      </c>
      <c r="G1287" s="0" t="n">
        <v>67</v>
      </c>
      <c r="H1287" s="0" t="s">
        <v>2548</v>
      </c>
      <c r="I1287" s="0" t="s">
        <v>2558</v>
      </c>
      <c r="J1287" s="9" t="n">
        <v>45904</v>
      </c>
      <c r="K1287" s="0" t="s">
        <v>2559</v>
      </c>
      <c r="L1287" s="0" t="n">
        <v>6</v>
      </c>
      <c r="M1287" s="10" t="n">
        <f aca="false">_xlfn.NUMBERVALUE("" &amp; K1287 &amp; "",".",",")</f>
        <v>0.253192717222222</v>
      </c>
      <c r="N1287" s="10"/>
      <c r="O1287" s="0" t="str">
        <f aca="false">VLOOKUP(C1287,statusdetails!$A:$D,4,0)</f>
        <v>STANDBY</v>
      </c>
      <c r="P1287" s="0" t="str">
        <f aca="false">VLOOKUP(F1287,equipment!$A:$E,4,0)</f>
        <v>CM403</v>
      </c>
      <c r="Q1287" s="0" t="str">
        <f aca="false">VLOOKUP(F1287,equipment!$A:$E,5,0)</f>
        <v>CM403 - 32</v>
      </c>
    </row>
    <row r="1288" customFormat="false" ht="12.8" hidden="true" customHeight="false" outlineLevel="0" collapsed="false">
      <c r="A1288" s="0" t="n">
        <v>467447</v>
      </c>
      <c r="B1288" s="0" t="n">
        <v>467447</v>
      </c>
      <c r="C1288" s="0" t="n">
        <v>3</v>
      </c>
      <c r="D1288" s="0" t="n">
        <v>14</v>
      </c>
      <c r="E1288" s="0" t="n">
        <v>2406</v>
      </c>
      <c r="F1288" s="0" t="n">
        <v>86</v>
      </c>
      <c r="G1288" s="0" t="n">
        <v>149</v>
      </c>
      <c r="H1288" s="0" t="s">
        <v>2518</v>
      </c>
      <c r="I1288" s="0" t="s">
        <v>2560</v>
      </c>
      <c r="J1288" s="9" t="n">
        <v>45904</v>
      </c>
      <c r="K1288" s="0" t="s">
        <v>2561</v>
      </c>
      <c r="L1288" s="0" t="n">
        <v>6</v>
      </c>
      <c r="M1288" s="10" t="n">
        <f aca="false">_xlfn.NUMBERVALUE("" &amp; K1288 &amp; "",".",",")</f>
        <v>0.266982222222222</v>
      </c>
      <c r="N1288" s="10"/>
      <c r="O1288" s="0" t="str">
        <f aca="false">VLOOKUP(C1288,statusdetails!$A:$D,4,0)</f>
        <v>STANDBY</v>
      </c>
      <c r="P1288" s="0" t="str">
        <f aca="false">VLOOKUP(F1288,equipment!$A:$E,4,0)</f>
        <v>CM03</v>
      </c>
      <c r="Q1288" s="0" t="str">
        <f aca="false">VLOOKUP(F1288,equipment!$A:$E,5,0)</f>
        <v>CM03 - 86</v>
      </c>
    </row>
    <row r="1289" customFormat="false" ht="12.8" hidden="true" customHeight="false" outlineLevel="0" collapsed="false">
      <c r="A1289" s="0" t="n">
        <v>467448</v>
      </c>
      <c r="B1289" s="0" t="n">
        <v>467448</v>
      </c>
      <c r="C1289" s="0" t="n">
        <v>3</v>
      </c>
      <c r="D1289" s="0" t="n">
        <v>14</v>
      </c>
      <c r="E1289" s="0" t="n">
        <v>1785</v>
      </c>
      <c r="F1289" s="0" t="n">
        <v>37</v>
      </c>
      <c r="G1289" s="0" t="n">
        <v>54</v>
      </c>
      <c r="H1289" s="0" t="s">
        <v>2514</v>
      </c>
      <c r="I1289" s="0" t="s">
        <v>2562</v>
      </c>
      <c r="J1289" s="9" t="n">
        <v>45904</v>
      </c>
      <c r="K1289" s="0" t="s">
        <v>2563</v>
      </c>
      <c r="L1289" s="0" t="n">
        <v>6</v>
      </c>
      <c r="M1289" s="10" t="n">
        <f aca="false">_xlfn.NUMBERVALUE("" &amp; K1289 &amp; "",".",",")</f>
        <v>0.358553333333333</v>
      </c>
      <c r="N1289" s="10"/>
      <c r="O1289" s="0" t="str">
        <f aca="false">VLOOKUP(C1289,statusdetails!$A:$D,4,0)</f>
        <v>STANDBY</v>
      </c>
      <c r="P1289" s="0" t="str">
        <f aca="false">VLOOKUP(F1289,equipment!$A:$E,4,0)</f>
        <v>DZ201</v>
      </c>
      <c r="Q1289" s="0" t="str">
        <f aca="false">VLOOKUP(F1289,equipment!$A:$E,5,0)</f>
        <v>DZ201 - 37</v>
      </c>
    </row>
    <row r="1290" customFormat="false" ht="12.8" hidden="true" customHeight="false" outlineLevel="0" collapsed="false">
      <c r="A1290" s="0" t="n">
        <v>467449</v>
      </c>
      <c r="B1290" s="0" t="n">
        <v>467449</v>
      </c>
      <c r="C1290" s="0" t="n">
        <v>3</v>
      </c>
      <c r="D1290" s="0" t="n">
        <v>14</v>
      </c>
      <c r="E1290" s="0" t="n">
        <v>1789</v>
      </c>
      <c r="F1290" s="0" t="n">
        <v>66</v>
      </c>
      <c r="G1290" s="0" t="n">
        <v>66</v>
      </c>
      <c r="H1290" s="0" t="s">
        <v>2542</v>
      </c>
      <c r="I1290" s="0" t="s">
        <v>2564</v>
      </c>
      <c r="J1290" s="9" t="n">
        <v>45904</v>
      </c>
      <c r="K1290" s="0" t="s">
        <v>2565</v>
      </c>
      <c r="L1290" s="0" t="n">
        <v>6</v>
      </c>
      <c r="M1290" s="10" t="n">
        <f aca="false">_xlfn.NUMBERVALUE("" &amp; K1290 &amp; "",".",",")</f>
        <v>0.218495694444444</v>
      </c>
      <c r="N1290" s="10"/>
      <c r="O1290" s="0" t="str">
        <f aca="false">VLOOKUP(C1290,statusdetails!$A:$D,4,0)</f>
        <v>STANDBY</v>
      </c>
      <c r="P1290" s="0" t="str">
        <f aca="false">VLOOKUP(F1290,equipment!$A:$E,4,0)</f>
        <v>CM407</v>
      </c>
      <c r="Q1290" s="0" t="str">
        <f aca="false">VLOOKUP(F1290,equipment!$A:$E,5,0)</f>
        <v>CM407 - 66</v>
      </c>
    </row>
    <row r="1291" customFormat="false" ht="12.8" hidden="true" customHeight="false" outlineLevel="0" collapsed="false">
      <c r="A1291" s="0" t="n">
        <v>467450</v>
      </c>
      <c r="B1291" s="0" t="n">
        <v>467450</v>
      </c>
      <c r="C1291" s="0" t="n">
        <v>3</v>
      </c>
      <c r="D1291" s="0" t="n">
        <v>14</v>
      </c>
      <c r="E1291" s="0" t="n">
        <v>2406</v>
      </c>
      <c r="F1291" s="0" t="n">
        <v>85</v>
      </c>
      <c r="G1291" s="0" t="n">
        <v>147</v>
      </c>
      <c r="H1291" s="0" t="s">
        <v>2480</v>
      </c>
      <c r="I1291" s="0" t="s">
        <v>2566</v>
      </c>
      <c r="J1291" s="9" t="n">
        <v>45904</v>
      </c>
      <c r="K1291" s="0" t="s">
        <v>2567</v>
      </c>
      <c r="L1291" s="0" t="n">
        <v>6</v>
      </c>
      <c r="M1291" s="10" t="n">
        <f aca="false">_xlfn.NUMBERVALUE("" &amp; K1291 &amp; "",".",",")</f>
        <v>0.198559198055556</v>
      </c>
      <c r="N1291" s="10"/>
      <c r="O1291" s="0" t="str">
        <f aca="false">VLOOKUP(C1291,statusdetails!$A:$D,4,0)</f>
        <v>STANDBY</v>
      </c>
      <c r="P1291" s="0" t="str">
        <f aca="false">VLOOKUP(F1291,equipment!$A:$E,4,0)</f>
        <v>CM02</v>
      </c>
      <c r="Q1291" s="0" t="str">
        <f aca="false">VLOOKUP(F1291,equipment!$A:$E,5,0)</f>
        <v>CM02 - 85</v>
      </c>
    </row>
    <row r="1292" customFormat="false" ht="12.8" hidden="true" customHeight="false" outlineLevel="0" collapsed="false">
      <c r="A1292" s="0" t="n">
        <v>467451</v>
      </c>
      <c r="B1292" s="0" t="n">
        <v>467451</v>
      </c>
      <c r="C1292" s="0" t="n">
        <v>3</v>
      </c>
      <c r="D1292" s="0" t="n">
        <v>14</v>
      </c>
      <c r="E1292" s="0" t="n">
        <v>2083</v>
      </c>
      <c r="F1292" s="0" t="n">
        <v>42</v>
      </c>
      <c r="G1292" s="0" t="n">
        <v>16</v>
      </c>
      <c r="H1292" s="0" t="s">
        <v>2486</v>
      </c>
      <c r="I1292" s="0" t="s">
        <v>2568</v>
      </c>
      <c r="J1292" s="9" t="n">
        <v>45904</v>
      </c>
      <c r="K1292" s="0" t="s">
        <v>2569</v>
      </c>
      <c r="L1292" s="0" t="n">
        <v>6</v>
      </c>
      <c r="M1292" s="10" t="n">
        <f aca="false">_xlfn.NUMBERVALUE("" &amp; K1292 &amp; "",".",",")</f>
        <v>0.235488888888889</v>
      </c>
      <c r="N1292" s="10"/>
      <c r="O1292" s="0" t="str">
        <f aca="false">VLOOKUP(C1292,statusdetails!$A:$D,4,0)</f>
        <v>STANDBY</v>
      </c>
      <c r="P1292" s="0" t="str">
        <f aca="false">VLOOKUP(F1292,equipment!$A:$E,4,0)</f>
        <v>PE301</v>
      </c>
      <c r="Q1292" s="0" t="str">
        <f aca="false">VLOOKUP(F1292,equipment!$A:$E,5,0)</f>
        <v>PE301 - 42</v>
      </c>
    </row>
    <row r="1293" customFormat="false" ht="12.8" hidden="true" customHeight="false" outlineLevel="0" collapsed="false">
      <c r="A1293" s="0" t="n">
        <v>467452</v>
      </c>
      <c r="B1293" s="0" t="n">
        <v>467452</v>
      </c>
      <c r="C1293" s="0" t="n">
        <v>3</v>
      </c>
      <c r="D1293" s="0" t="n">
        <v>14</v>
      </c>
      <c r="E1293" s="0" t="n">
        <v>2392</v>
      </c>
      <c r="F1293" s="0" t="n">
        <v>82</v>
      </c>
      <c r="G1293" s="0" t="n">
        <v>107</v>
      </c>
      <c r="H1293" s="0" t="s">
        <v>2490</v>
      </c>
      <c r="I1293" s="0" t="s">
        <v>2570</v>
      </c>
      <c r="J1293" s="9" t="n">
        <v>45904</v>
      </c>
      <c r="K1293" s="0" t="s">
        <v>2571</v>
      </c>
      <c r="L1293" s="0" t="n">
        <v>6</v>
      </c>
      <c r="M1293" s="10" t="n">
        <f aca="false">_xlfn.NUMBERVALUE("" &amp; K1293 &amp; "",".",",")</f>
        <v>0.175275006666667</v>
      </c>
      <c r="N1293" s="10"/>
      <c r="O1293" s="0" t="str">
        <f aca="false">VLOOKUP(C1293,statusdetails!$A:$D,4,0)</f>
        <v>STANDBY</v>
      </c>
      <c r="P1293" s="0" t="str">
        <f aca="false">VLOOKUP(F1293,equipment!$A:$E,4,0)</f>
        <v>EX502</v>
      </c>
      <c r="Q1293" s="0" t="str">
        <f aca="false">VLOOKUP(F1293,equipment!$A:$E,5,0)</f>
        <v>EX502 - 82</v>
      </c>
    </row>
    <row r="1294" customFormat="false" ht="12.8" hidden="true" customHeight="false" outlineLevel="0" collapsed="false">
      <c r="A1294" s="0" t="n">
        <v>467453</v>
      </c>
      <c r="B1294" s="0" t="n">
        <v>467453</v>
      </c>
      <c r="C1294" s="0" t="n">
        <v>3</v>
      </c>
      <c r="D1294" s="0" t="n">
        <v>14</v>
      </c>
      <c r="E1294" s="0" t="n">
        <v>2406</v>
      </c>
      <c r="F1294" s="0" t="n">
        <v>87</v>
      </c>
      <c r="G1294" s="0" t="n">
        <v>61</v>
      </c>
      <c r="H1294" s="0" t="s">
        <v>2546</v>
      </c>
      <c r="I1294" s="0" t="s">
        <v>2572</v>
      </c>
      <c r="J1294" s="9" t="n">
        <v>45904</v>
      </c>
      <c r="K1294" s="0" t="s">
        <v>2573</v>
      </c>
      <c r="L1294" s="0" t="n">
        <v>6</v>
      </c>
      <c r="M1294" s="10" t="n">
        <f aca="false">_xlfn.NUMBERVALUE("" &amp; K1294 &amp; "",".",",")</f>
        <v>0.242346379444444</v>
      </c>
      <c r="N1294" s="10"/>
      <c r="O1294" s="0" t="str">
        <f aca="false">VLOOKUP(C1294,statusdetails!$A:$D,4,0)</f>
        <v>STANDBY</v>
      </c>
      <c r="P1294" s="0" t="str">
        <f aca="false">VLOOKUP(F1294,equipment!$A:$E,4,0)</f>
        <v>CM04</v>
      </c>
      <c r="Q1294" s="0" t="str">
        <f aca="false">VLOOKUP(F1294,equipment!$A:$E,5,0)</f>
        <v>CM04 - 87</v>
      </c>
    </row>
    <row r="1295" customFormat="false" ht="12.8" hidden="true" customHeight="false" outlineLevel="0" collapsed="false">
      <c r="A1295" s="0" t="n">
        <v>467454</v>
      </c>
      <c r="B1295" s="0" t="n">
        <v>467454</v>
      </c>
      <c r="C1295" s="0" t="n">
        <v>3</v>
      </c>
      <c r="D1295" s="0" t="n">
        <v>14</v>
      </c>
      <c r="E1295" s="0" t="n">
        <v>2406</v>
      </c>
      <c r="F1295" s="0" t="n">
        <v>89</v>
      </c>
      <c r="G1295" s="0" t="n">
        <v>150</v>
      </c>
      <c r="H1295" s="0" t="s">
        <v>2325</v>
      </c>
      <c r="I1295" s="0" t="s">
        <v>2574</v>
      </c>
      <c r="J1295" s="9" t="n">
        <v>45904</v>
      </c>
      <c r="K1295" s="0" t="s">
        <v>2575</v>
      </c>
      <c r="L1295" s="0" t="n">
        <v>6</v>
      </c>
      <c r="M1295" s="10" t="n">
        <f aca="false">_xlfn.NUMBERVALUE("" &amp; K1295 &amp; "",".",",")</f>
        <v>0.215390277777778</v>
      </c>
      <c r="N1295" s="10"/>
      <c r="O1295" s="0" t="str">
        <f aca="false">VLOOKUP(C1295,statusdetails!$A:$D,4,0)</f>
        <v>STANDBY</v>
      </c>
      <c r="P1295" s="0" t="str">
        <f aca="false">VLOOKUP(F1295,equipment!$A:$E,4,0)</f>
        <v>CM06</v>
      </c>
      <c r="Q1295" s="0" t="str">
        <f aca="false">VLOOKUP(F1295,equipment!$A:$E,5,0)</f>
        <v>CM06 - 89</v>
      </c>
    </row>
    <row r="1296" customFormat="false" ht="12.8" hidden="true" customHeight="false" outlineLevel="0" collapsed="false">
      <c r="A1296" s="0" t="n">
        <v>467455</v>
      </c>
      <c r="B1296" s="0" t="n">
        <v>467455</v>
      </c>
      <c r="C1296" s="0" t="n">
        <v>3</v>
      </c>
      <c r="D1296" s="0" t="n">
        <v>14</v>
      </c>
      <c r="E1296" s="0" t="n">
        <v>2406</v>
      </c>
      <c r="F1296" s="0" t="n">
        <v>88</v>
      </c>
      <c r="G1296" s="0" t="n">
        <v>148</v>
      </c>
      <c r="H1296" s="0" t="s">
        <v>2494</v>
      </c>
      <c r="I1296" s="0" t="s">
        <v>2576</v>
      </c>
      <c r="J1296" s="9" t="n">
        <v>45904</v>
      </c>
      <c r="K1296" s="0" t="s">
        <v>2577</v>
      </c>
      <c r="L1296" s="0" t="n">
        <v>6</v>
      </c>
      <c r="M1296" s="10" t="n">
        <f aca="false">_xlfn.NUMBERVALUE("" &amp; K1296 &amp; "",".",",")</f>
        <v>0.185187315833333</v>
      </c>
      <c r="N1296" s="10"/>
      <c r="O1296" s="0" t="str">
        <f aca="false">VLOOKUP(C1296,statusdetails!$A:$D,4,0)</f>
        <v>STANDBY</v>
      </c>
      <c r="P1296" s="0" t="str">
        <f aca="false">VLOOKUP(F1296,equipment!$A:$E,4,0)</f>
        <v>CM05</v>
      </c>
      <c r="Q1296" s="0" t="str">
        <f aca="false">VLOOKUP(F1296,equipment!$A:$E,5,0)</f>
        <v>CM05 - 88</v>
      </c>
    </row>
    <row r="1297" customFormat="false" ht="12.8" hidden="true" customHeight="false" outlineLevel="0" collapsed="false">
      <c r="A1297" s="0" t="n">
        <v>467456</v>
      </c>
      <c r="B1297" s="0" t="n">
        <v>467456</v>
      </c>
      <c r="C1297" s="0" t="n">
        <v>3</v>
      </c>
      <c r="D1297" s="0" t="n">
        <v>14</v>
      </c>
      <c r="E1297" s="0" t="n">
        <v>1789</v>
      </c>
      <c r="F1297" s="0" t="n">
        <v>33</v>
      </c>
      <c r="G1297" s="0" t="n">
        <v>7</v>
      </c>
      <c r="H1297" s="0" t="s">
        <v>2554</v>
      </c>
      <c r="I1297" s="0" t="s">
        <v>2578</v>
      </c>
      <c r="J1297" s="9" t="n">
        <v>45904</v>
      </c>
      <c r="K1297" s="0" t="s">
        <v>2579</v>
      </c>
      <c r="L1297" s="0" t="n">
        <v>6</v>
      </c>
      <c r="M1297" s="10" t="n">
        <f aca="false">_xlfn.NUMBERVALUE("" &amp; K1297 &amp; "",".",",")</f>
        <v>0.0398142286111111</v>
      </c>
      <c r="N1297" s="10"/>
      <c r="O1297" s="0" t="str">
        <f aca="false">VLOOKUP(C1297,statusdetails!$A:$D,4,0)</f>
        <v>STANDBY</v>
      </c>
      <c r="P1297" s="0" t="str">
        <f aca="false">VLOOKUP(F1297,equipment!$A:$E,4,0)</f>
        <v>CM406</v>
      </c>
      <c r="Q1297" s="0" t="str">
        <f aca="false">VLOOKUP(F1297,equipment!$A:$E,5,0)</f>
        <v>CM406 - 33</v>
      </c>
    </row>
    <row r="1298" customFormat="false" ht="12.8" hidden="true" customHeight="false" outlineLevel="0" collapsed="false">
      <c r="A1298" s="0" t="n">
        <v>467457</v>
      </c>
      <c r="B1298" s="0" t="n">
        <v>467457</v>
      </c>
      <c r="C1298" s="0" t="n">
        <v>1</v>
      </c>
      <c r="D1298" s="0" t="n">
        <v>6</v>
      </c>
      <c r="E1298" s="0" t="n">
        <v>260</v>
      </c>
      <c r="F1298" s="0" t="n">
        <v>33</v>
      </c>
      <c r="G1298" s="0" t="n">
        <v>98</v>
      </c>
      <c r="H1298" s="0" t="s">
        <v>2578</v>
      </c>
      <c r="I1298" s="0" t="s">
        <v>2580</v>
      </c>
      <c r="J1298" s="9" t="n">
        <v>45905</v>
      </c>
      <c r="K1298" s="0" t="s">
        <v>2581</v>
      </c>
      <c r="L1298" s="0" t="n">
        <v>7</v>
      </c>
      <c r="M1298" s="10"/>
      <c r="N1298" s="10"/>
      <c r="O1298" s="0" t="str">
        <f aca="false">VLOOKUP(C1298,statusdetails!$A:$D,4,0)</f>
        <v>READY</v>
      </c>
    </row>
    <row r="1299" customFormat="false" ht="12.8" hidden="true" customHeight="false" outlineLevel="0" collapsed="false">
      <c r="H1299" s="0"/>
      <c r="I1299" s="0"/>
      <c r="J1299" s="9"/>
    </row>
    <row r="1300" customFormat="false" ht="12.8" hidden="true" customHeight="false" outlineLevel="0" collapsed="false">
      <c r="H1300" s="0"/>
      <c r="I1300" s="0"/>
      <c r="J1300" s="9"/>
      <c r="M1300" s="3" t="s">
        <v>2582</v>
      </c>
    </row>
    <row r="1301" customFormat="false" ht="12.8" hidden="true" customHeight="false" outlineLevel="0" collapsed="false">
      <c r="A1301" s="0" t="n">
        <v>467460</v>
      </c>
      <c r="B1301" s="0" t="n">
        <v>467460</v>
      </c>
      <c r="C1301" s="0" t="n">
        <v>4</v>
      </c>
      <c r="D1301" s="0" t="n">
        <v>16</v>
      </c>
      <c r="E1301" s="0" t="n">
        <v>2461</v>
      </c>
      <c r="F1301" s="0" t="n">
        <v>85</v>
      </c>
      <c r="G1301" s="0" t="n">
        <v>47</v>
      </c>
      <c r="H1301" s="0" t="s">
        <v>2566</v>
      </c>
      <c r="I1301" s="0" t="s">
        <v>2583</v>
      </c>
      <c r="J1301" s="9" t="n">
        <v>45905</v>
      </c>
      <c r="K1301" s="0" t="s">
        <v>2584</v>
      </c>
      <c r="L1301" s="0" t="n">
        <v>7</v>
      </c>
      <c r="M1301" s="10"/>
      <c r="N1301" s="10"/>
      <c r="O1301" s="0" t="str">
        <f aca="false">VLOOKUP(C1301,statusdetails!$A:$D,4,0)</f>
        <v>MAINT</v>
      </c>
    </row>
    <row r="1302" customFormat="false" ht="12.8" hidden="true" customHeight="false" outlineLevel="0" collapsed="false">
      <c r="A1302" s="0" t="n">
        <v>467461</v>
      </c>
      <c r="B1302" s="0" t="n">
        <v>467461</v>
      </c>
      <c r="C1302" s="0" t="n">
        <v>1</v>
      </c>
      <c r="D1302" s="0" t="n">
        <v>6</v>
      </c>
      <c r="E1302" s="0" t="n">
        <v>2404</v>
      </c>
      <c r="F1302" s="0" t="n">
        <v>88</v>
      </c>
      <c r="G1302" s="0" t="n">
        <v>148</v>
      </c>
      <c r="H1302" s="0" t="s">
        <v>2576</v>
      </c>
      <c r="I1302" s="0" t="s">
        <v>2585</v>
      </c>
      <c r="J1302" s="9" t="n">
        <v>45905</v>
      </c>
      <c r="K1302" s="0" t="s">
        <v>2586</v>
      </c>
      <c r="L1302" s="0" t="n">
        <v>7</v>
      </c>
      <c r="M1302" s="10"/>
      <c r="N1302" s="10"/>
      <c r="O1302" s="0" t="str">
        <f aca="false">VLOOKUP(C1302,statusdetails!$A:$D,4,0)</f>
        <v>READY</v>
      </c>
    </row>
    <row r="1303" customFormat="false" ht="12.8" hidden="true" customHeight="false" outlineLevel="0" collapsed="false">
      <c r="A1303" s="0" t="n">
        <v>467462</v>
      </c>
      <c r="B1303" s="0" t="n">
        <v>467462</v>
      </c>
      <c r="C1303" s="0" t="n">
        <v>1</v>
      </c>
      <c r="D1303" s="0" t="n">
        <v>6</v>
      </c>
      <c r="E1303" s="0" t="n">
        <v>260</v>
      </c>
      <c r="F1303" s="0" t="n">
        <v>66</v>
      </c>
      <c r="G1303" s="0" t="n">
        <v>66</v>
      </c>
      <c r="H1303" s="0" t="s">
        <v>2564</v>
      </c>
      <c r="I1303" s="0" t="s">
        <v>2587</v>
      </c>
      <c r="J1303" s="9" t="n">
        <v>45905</v>
      </c>
      <c r="K1303" s="0" t="s">
        <v>2588</v>
      </c>
      <c r="L1303" s="0" t="n">
        <v>7</v>
      </c>
      <c r="M1303" s="10"/>
      <c r="N1303" s="10"/>
      <c r="O1303" s="0" t="str">
        <f aca="false">VLOOKUP(C1303,statusdetails!$A:$D,4,0)</f>
        <v>READY</v>
      </c>
    </row>
    <row r="1304" customFormat="false" ht="12.8" hidden="true" customHeight="false" outlineLevel="0" collapsed="false">
      <c r="A1304" s="0" t="n">
        <v>467463</v>
      </c>
      <c r="B1304" s="0" t="n">
        <v>467463</v>
      </c>
      <c r="C1304" s="0" t="n">
        <v>1</v>
      </c>
      <c r="D1304" s="0" t="n">
        <v>6</v>
      </c>
      <c r="E1304" s="0" t="n">
        <v>260</v>
      </c>
      <c r="F1304" s="0" t="n">
        <v>32</v>
      </c>
      <c r="G1304" s="0" t="n">
        <v>23</v>
      </c>
      <c r="H1304" s="0" t="s">
        <v>2589</v>
      </c>
      <c r="I1304" s="0" t="s">
        <v>2590</v>
      </c>
      <c r="J1304" s="9" t="n">
        <v>45905</v>
      </c>
      <c r="K1304" s="0" t="s">
        <v>2591</v>
      </c>
      <c r="L1304" s="0" t="n">
        <v>7</v>
      </c>
      <c r="M1304" s="10"/>
      <c r="N1304" s="10"/>
      <c r="O1304" s="0" t="str">
        <f aca="false">VLOOKUP(C1304,statusdetails!$A:$D,4,0)</f>
        <v>READY</v>
      </c>
    </row>
    <row r="1305" customFormat="false" ht="12.8" hidden="true" customHeight="false" outlineLevel="0" collapsed="false">
      <c r="A1305" s="0" t="n">
        <v>467464</v>
      </c>
      <c r="B1305" s="0" t="n">
        <v>467464</v>
      </c>
      <c r="C1305" s="0" t="n">
        <v>1</v>
      </c>
      <c r="D1305" s="0" t="n">
        <v>6</v>
      </c>
      <c r="E1305" s="0" t="n">
        <v>2404</v>
      </c>
      <c r="F1305" s="0" t="n">
        <v>89</v>
      </c>
      <c r="G1305" s="0" t="n">
        <v>153</v>
      </c>
      <c r="H1305" s="0" t="s">
        <v>2574</v>
      </c>
      <c r="I1305" s="0" t="s">
        <v>2592</v>
      </c>
      <c r="J1305" s="9" t="n">
        <v>45905</v>
      </c>
      <c r="K1305" s="0" t="s">
        <v>2593</v>
      </c>
      <c r="L1305" s="0" t="n">
        <v>7</v>
      </c>
      <c r="M1305" s="10"/>
      <c r="N1305" s="10"/>
      <c r="O1305" s="0" t="str">
        <f aca="false">VLOOKUP(C1305,statusdetails!$A:$D,4,0)</f>
        <v>READY</v>
      </c>
    </row>
    <row r="1306" customFormat="false" ht="12.8" hidden="true" customHeight="false" outlineLevel="0" collapsed="false">
      <c r="A1306" s="0" t="n">
        <v>467465</v>
      </c>
      <c r="B1306" s="0" t="n">
        <v>467465</v>
      </c>
      <c r="C1306" s="0" t="n">
        <v>1</v>
      </c>
      <c r="D1306" s="0" t="n">
        <v>6</v>
      </c>
      <c r="E1306" s="0" t="n">
        <v>2518</v>
      </c>
      <c r="F1306" s="0" t="n">
        <v>82</v>
      </c>
      <c r="G1306" s="0" t="n">
        <v>88</v>
      </c>
      <c r="H1306" s="0" t="s">
        <v>2594</v>
      </c>
      <c r="I1306" s="0" t="s">
        <v>2595</v>
      </c>
      <c r="J1306" s="9" t="n">
        <v>45905</v>
      </c>
      <c r="K1306" s="0" t="s">
        <v>2596</v>
      </c>
      <c r="L1306" s="0" t="n">
        <v>7</v>
      </c>
      <c r="M1306" s="10"/>
      <c r="N1306" s="10"/>
      <c r="O1306" s="0" t="str">
        <f aca="false">VLOOKUP(C1306,statusdetails!$A:$D,4,0)</f>
        <v>READY</v>
      </c>
    </row>
    <row r="1307" customFormat="false" ht="12.8" hidden="true" customHeight="false" outlineLevel="0" collapsed="false">
      <c r="A1307" s="0" t="n">
        <v>467466</v>
      </c>
      <c r="B1307" s="0" t="n">
        <v>467466</v>
      </c>
      <c r="C1307" s="0" t="n">
        <v>1</v>
      </c>
      <c r="D1307" s="0" t="n">
        <v>6</v>
      </c>
      <c r="E1307" s="0" t="n">
        <v>811</v>
      </c>
      <c r="F1307" s="0" t="n">
        <v>42</v>
      </c>
      <c r="G1307" s="0" t="n">
        <v>83</v>
      </c>
      <c r="H1307" s="0" t="s">
        <v>2568</v>
      </c>
      <c r="I1307" s="0" t="s">
        <v>2597</v>
      </c>
      <c r="J1307" s="9" t="n">
        <v>45905</v>
      </c>
      <c r="K1307" s="0" t="s">
        <v>2598</v>
      </c>
      <c r="L1307" s="0" t="n">
        <v>7</v>
      </c>
      <c r="M1307" s="10"/>
      <c r="N1307" s="10"/>
      <c r="O1307" s="0" t="str">
        <f aca="false">VLOOKUP(C1307,statusdetails!$A:$D,4,0)</f>
        <v>READY</v>
      </c>
    </row>
    <row r="1308" customFormat="false" ht="12.8" hidden="true" customHeight="false" outlineLevel="0" collapsed="false">
      <c r="A1308" s="0" t="n">
        <v>467467</v>
      </c>
      <c r="B1308" s="0" t="n">
        <v>467467</v>
      </c>
      <c r="C1308" s="0" t="n">
        <v>1</v>
      </c>
      <c r="D1308" s="0" t="n">
        <v>6</v>
      </c>
      <c r="E1308" s="0" t="n">
        <v>2404</v>
      </c>
      <c r="F1308" s="0" t="n">
        <v>86</v>
      </c>
      <c r="G1308" s="0" t="n">
        <v>155</v>
      </c>
      <c r="H1308" s="0" t="s">
        <v>2560</v>
      </c>
      <c r="I1308" s="0" t="s">
        <v>2599</v>
      </c>
      <c r="J1308" s="9" t="n">
        <v>45905</v>
      </c>
      <c r="K1308" s="0" t="s">
        <v>2600</v>
      </c>
      <c r="L1308" s="0" t="n">
        <v>7</v>
      </c>
      <c r="M1308" s="10"/>
      <c r="N1308" s="10"/>
      <c r="O1308" s="0" t="str">
        <f aca="false">VLOOKUP(C1308,statusdetails!$A:$D,4,0)</f>
        <v>READY</v>
      </c>
    </row>
    <row r="1309" customFormat="false" ht="12.8" hidden="true" customHeight="false" outlineLevel="0" collapsed="false">
      <c r="H1309" s="0"/>
      <c r="I1309" s="0"/>
      <c r="J1309" s="9"/>
    </row>
    <row r="1310" customFormat="false" ht="12.8" hidden="true" customHeight="false" outlineLevel="0" collapsed="false">
      <c r="A1310" s="0" t="n">
        <v>467469</v>
      </c>
      <c r="B1310" s="0" t="n">
        <v>467469</v>
      </c>
      <c r="C1310" s="0" t="n">
        <v>1</v>
      </c>
      <c r="D1310" s="0" t="n">
        <v>6</v>
      </c>
      <c r="E1310" s="0" t="n">
        <v>2404</v>
      </c>
      <c r="F1310" s="0" t="n">
        <v>87</v>
      </c>
      <c r="G1310" s="0" t="n">
        <v>61</v>
      </c>
      <c r="H1310" s="0" t="s">
        <v>2572</v>
      </c>
      <c r="I1310" s="0" t="s">
        <v>2601</v>
      </c>
      <c r="J1310" s="9" t="n">
        <v>45905</v>
      </c>
      <c r="K1310" s="0" t="s">
        <v>2602</v>
      </c>
      <c r="L1310" s="0" t="n">
        <v>7</v>
      </c>
      <c r="M1310" s="10"/>
      <c r="N1310" s="10"/>
      <c r="O1310" s="0" t="str">
        <f aca="false">VLOOKUP(C1310,statusdetails!$A:$D,4,0)</f>
        <v>READY</v>
      </c>
    </row>
    <row r="1311" customFormat="false" ht="12.8" hidden="true" customHeight="false" outlineLevel="0" collapsed="false">
      <c r="H1311" s="0"/>
      <c r="I1311" s="0"/>
      <c r="J1311" s="9"/>
    </row>
    <row r="1312" customFormat="false" ht="12.8" hidden="true" customHeight="false" outlineLevel="0" collapsed="false">
      <c r="A1312" s="0" t="n">
        <v>467471</v>
      </c>
      <c r="B1312" s="0" t="n">
        <v>467471</v>
      </c>
      <c r="C1312" s="0" t="n">
        <v>1</v>
      </c>
      <c r="D1312" s="0" t="n">
        <v>6</v>
      </c>
      <c r="E1312" s="0" t="n">
        <v>372</v>
      </c>
      <c r="F1312" s="0" t="n">
        <v>37</v>
      </c>
      <c r="G1312" s="0" t="n">
        <v>44</v>
      </c>
      <c r="H1312" s="0" t="s">
        <v>2562</v>
      </c>
      <c r="I1312" s="0" t="s">
        <v>2603</v>
      </c>
      <c r="J1312" s="9" t="n">
        <v>45905</v>
      </c>
      <c r="K1312" s="0" t="s">
        <v>2604</v>
      </c>
      <c r="L1312" s="0" t="n">
        <v>7</v>
      </c>
      <c r="M1312" s="10"/>
      <c r="N1312" s="10"/>
      <c r="O1312" s="0" t="str">
        <f aca="false">VLOOKUP(C1312,statusdetails!$A:$D,4,0)</f>
        <v>READY</v>
      </c>
    </row>
    <row r="1313" customFormat="false" ht="12.8" hidden="true" customHeight="false" outlineLevel="0" collapsed="false">
      <c r="A1313" s="0" t="n">
        <v>467472</v>
      </c>
      <c r="B1313" s="0" t="n">
        <v>467472</v>
      </c>
      <c r="C1313" s="0" t="n">
        <v>1</v>
      </c>
      <c r="D1313" s="0" t="n">
        <v>6</v>
      </c>
      <c r="E1313" s="0" t="n">
        <v>2404</v>
      </c>
      <c r="F1313" s="0" t="n">
        <v>84</v>
      </c>
      <c r="G1313" s="0" t="n">
        <v>152</v>
      </c>
      <c r="H1313" s="0" t="s">
        <v>2605</v>
      </c>
      <c r="I1313" s="0" t="s">
        <v>2606</v>
      </c>
      <c r="J1313" s="9" t="n">
        <v>45905</v>
      </c>
      <c r="K1313" s="0" t="s">
        <v>2607</v>
      </c>
      <c r="L1313" s="0" t="n">
        <v>7</v>
      </c>
      <c r="M1313" s="10"/>
      <c r="N1313" s="10"/>
      <c r="O1313" s="0" t="str">
        <f aca="false">VLOOKUP(C1313,statusdetails!$A:$D,4,0)</f>
        <v>READY</v>
      </c>
    </row>
    <row r="1314" customFormat="false" ht="12.8" hidden="true" customHeight="false" outlineLevel="0" collapsed="false">
      <c r="H1314" s="0"/>
      <c r="I1314" s="0"/>
      <c r="J1314" s="9"/>
    </row>
    <row r="1315" customFormat="false" ht="12.8" hidden="true" customHeight="false" outlineLevel="0" collapsed="false">
      <c r="A1315" s="0" t="n">
        <v>467474</v>
      </c>
      <c r="B1315" s="0" t="n">
        <v>467474</v>
      </c>
      <c r="C1315" s="0" t="n">
        <v>1</v>
      </c>
      <c r="D1315" s="0" t="n">
        <v>6</v>
      </c>
      <c r="E1315" s="0" t="n">
        <v>811</v>
      </c>
      <c r="F1315" s="0" t="n">
        <v>42</v>
      </c>
      <c r="G1315" s="0" t="n">
        <v>83</v>
      </c>
      <c r="H1315" s="0" t="s">
        <v>2608</v>
      </c>
      <c r="I1315" s="0" t="s">
        <v>2609</v>
      </c>
      <c r="J1315" s="9" t="n">
        <v>45905</v>
      </c>
      <c r="K1315" s="0" t="s">
        <v>2610</v>
      </c>
      <c r="L1315" s="0" t="n">
        <v>7</v>
      </c>
      <c r="M1315" s="10"/>
      <c r="N1315" s="10"/>
      <c r="O1315" s="0" t="str">
        <f aca="false">VLOOKUP(C1315,statusdetails!$A:$D,4,0)</f>
        <v>READY</v>
      </c>
    </row>
    <row r="1316" customFormat="false" ht="12.8" hidden="false" customHeight="false" outlineLevel="0" collapsed="false">
      <c r="A1316" s="0" t="n">
        <v>467475</v>
      </c>
      <c r="B1316" s="0" t="n">
        <v>467475</v>
      </c>
      <c r="C1316" s="0" t="n">
        <v>1</v>
      </c>
      <c r="D1316" s="0" t="n">
        <v>6</v>
      </c>
      <c r="E1316" s="0" t="n">
        <v>2404</v>
      </c>
      <c r="F1316" s="0" t="n">
        <v>85</v>
      </c>
      <c r="G1316" s="0" t="n">
        <v>47</v>
      </c>
      <c r="H1316" s="1" t="s">
        <v>2583</v>
      </c>
      <c r="I1316" s="1" t="s">
        <v>2611</v>
      </c>
      <c r="J1316" s="9" t="n">
        <v>45905</v>
      </c>
      <c r="K1316" s="0" t="s">
        <v>2612</v>
      </c>
      <c r="L1316" s="0" t="n">
        <v>8</v>
      </c>
      <c r="M1316" s="10"/>
      <c r="N1316" s="10"/>
      <c r="O1316" s="0" t="str">
        <f aca="false">VLOOKUP(C1316,statusdetails!$A:$D,4,0)</f>
        <v>READY</v>
      </c>
    </row>
    <row r="1317" customFormat="false" ht="12.8" hidden="false" customHeight="false" outlineLevel="0" collapsed="false">
      <c r="A1317" s="0" t="n">
        <v>467476</v>
      </c>
      <c r="B1317" s="0" t="n">
        <v>467476</v>
      </c>
      <c r="C1317" s="0" t="n">
        <v>3</v>
      </c>
      <c r="D1317" s="0" t="n">
        <v>12</v>
      </c>
      <c r="E1317" s="0" t="n">
        <v>1011</v>
      </c>
      <c r="F1317" s="0" t="n">
        <v>32</v>
      </c>
      <c r="G1317" s="0" t="n">
        <v>23</v>
      </c>
      <c r="H1317" s="1" t="s">
        <v>2590</v>
      </c>
      <c r="I1317" s="1" t="s">
        <v>2613</v>
      </c>
      <c r="J1317" s="9" t="n">
        <v>45905</v>
      </c>
      <c r="K1317" s="0" t="s">
        <v>2614</v>
      </c>
      <c r="L1317" s="0" t="n">
        <v>8</v>
      </c>
      <c r="M1317" s="10"/>
      <c r="N1317" s="10"/>
      <c r="O1317" s="0" t="str">
        <f aca="false">VLOOKUP(C1317,statusdetails!$A:$D,4,0)</f>
        <v>STANDBY</v>
      </c>
      <c r="P1317" s="0" t="str">
        <f aca="false">VLOOKUP(F1317,equipment!$A:$E,4,0)</f>
        <v>CM403</v>
      </c>
      <c r="Q1317" s="0" t="str">
        <f aca="false">VLOOKUP(F1317,equipment!$A:$E,5,0)</f>
        <v>CM403 - 32</v>
      </c>
    </row>
    <row r="1318" customFormat="false" ht="12.8" hidden="false" customHeight="false" outlineLevel="0" collapsed="false">
      <c r="A1318" s="0" t="n">
        <v>467477</v>
      </c>
      <c r="B1318" s="0" t="n">
        <v>467477</v>
      </c>
      <c r="C1318" s="0" t="n">
        <v>4</v>
      </c>
      <c r="D1318" s="0" t="n">
        <v>15</v>
      </c>
      <c r="E1318" s="0" t="n">
        <v>2410</v>
      </c>
      <c r="F1318" s="0" t="n">
        <v>82</v>
      </c>
      <c r="G1318" s="0" t="n">
        <v>88</v>
      </c>
      <c r="H1318" s="1" t="s">
        <v>2595</v>
      </c>
      <c r="I1318" s="1" t="s">
        <v>2615</v>
      </c>
      <c r="J1318" s="9" t="n">
        <v>45905</v>
      </c>
      <c r="K1318" s="0" t="s">
        <v>2616</v>
      </c>
      <c r="L1318" s="0" t="n">
        <v>8</v>
      </c>
      <c r="M1318" s="10"/>
      <c r="N1318" s="10"/>
      <c r="O1318" s="0" t="str">
        <f aca="false">VLOOKUP(C1318,statusdetails!$A:$D,4,0)</f>
        <v>MAINT</v>
      </c>
    </row>
    <row r="1319" customFormat="false" ht="12.8" hidden="false" customHeight="false" outlineLevel="0" collapsed="false">
      <c r="A1319" s="0" t="n">
        <v>467478</v>
      </c>
      <c r="B1319" s="0" t="n">
        <v>467478</v>
      </c>
      <c r="C1319" s="0" t="n">
        <v>3</v>
      </c>
      <c r="D1319" s="0" t="n">
        <v>14</v>
      </c>
      <c r="E1319" s="0" t="n">
        <v>2555</v>
      </c>
      <c r="F1319" s="0" t="n">
        <v>88</v>
      </c>
      <c r="G1319" s="0" t="n">
        <v>151</v>
      </c>
      <c r="H1319" s="1" t="s">
        <v>2585</v>
      </c>
      <c r="I1319" s="1" t="s">
        <v>2617</v>
      </c>
      <c r="J1319" s="9" t="n">
        <v>45905</v>
      </c>
      <c r="K1319" s="0" t="s">
        <v>2618</v>
      </c>
      <c r="L1319" s="0" t="n">
        <v>8</v>
      </c>
      <c r="M1319" s="10"/>
      <c r="N1319" s="10"/>
      <c r="O1319" s="0" t="str">
        <f aca="false">VLOOKUP(C1319,statusdetails!$A:$D,4,0)</f>
        <v>STANDBY</v>
      </c>
      <c r="P1319" s="0" t="str">
        <f aca="false">VLOOKUP(F1319,equipment!$A:$E,4,0)</f>
        <v>CM05</v>
      </c>
      <c r="Q1319" s="0" t="str">
        <f aca="false">VLOOKUP(F1319,equipment!$A:$E,5,0)</f>
        <v>CM05 - 88</v>
      </c>
    </row>
    <row r="1320" customFormat="false" ht="12.8" hidden="false" customHeight="false" outlineLevel="0" collapsed="false">
      <c r="A1320" s="0" t="n">
        <v>467479</v>
      </c>
      <c r="B1320" s="0" t="n">
        <v>467479</v>
      </c>
      <c r="C1320" s="0" t="n">
        <v>3</v>
      </c>
      <c r="D1320" s="0" t="n">
        <v>12</v>
      </c>
      <c r="E1320" s="0" t="n">
        <v>1011</v>
      </c>
      <c r="F1320" s="0" t="n">
        <v>66</v>
      </c>
      <c r="G1320" s="0" t="n">
        <v>45</v>
      </c>
      <c r="H1320" s="1" t="s">
        <v>2587</v>
      </c>
      <c r="I1320" s="1" t="s">
        <v>2619</v>
      </c>
      <c r="J1320" s="9" t="n">
        <v>45905</v>
      </c>
      <c r="K1320" s="0" t="s">
        <v>2620</v>
      </c>
      <c r="L1320" s="0" t="n">
        <v>8</v>
      </c>
      <c r="M1320" s="10"/>
      <c r="N1320" s="10"/>
      <c r="O1320" s="0" t="str">
        <f aca="false">VLOOKUP(C1320,statusdetails!$A:$D,4,0)</f>
        <v>STANDBY</v>
      </c>
      <c r="P1320" s="0" t="str">
        <f aca="false">VLOOKUP(F1320,equipment!$A:$E,4,0)</f>
        <v>CM407</v>
      </c>
      <c r="Q1320" s="0" t="str">
        <f aca="false">VLOOKUP(F1320,equipment!$A:$E,5,0)</f>
        <v>CM407 - 66</v>
      </c>
    </row>
    <row r="1321" customFormat="false" ht="12.8" hidden="false" customHeight="false" outlineLevel="0" collapsed="false">
      <c r="A1321" s="0" t="n">
        <v>467480</v>
      </c>
      <c r="B1321" s="0" t="n">
        <v>467480</v>
      </c>
      <c r="C1321" s="0" t="n">
        <v>1</v>
      </c>
      <c r="D1321" s="0" t="n">
        <v>6</v>
      </c>
      <c r="E1321" s="0" t="n">
        <v>2404</v>
      </c>
      <c r="F1321" s="0" t="n">
        <v>88</v>
      </c>
      <c r="G1321" s="0" t="n">
        <v>151</v>
      </c>
      <c r="H1321" s="1" t="s">
        <v>2617</v>
      </c>
      <c r="I1321" s="1" t="s">
        <v>2621</v>
      </c>
      <c r="J1321" s="9" t="n">
        <v>45905</v>
      </c>
      <c r="K1321" s="0" t="s">
        <v>2622</v>
      </c>
      <c r="L1321" s="0" t="n">
        <v>8</v>
      </c>
      <c r="M1321" s="10"/>
      <c r="N1321" s="10"/>
      <c r="O1321" s="0" t="str">
        <f aca="false">VLOOKUP(C1321,statusdetails!$A:$D,4,0)</f>
        <v>READY</v>
      </c>
    </row>
    <row r="1322" customFormat="false" ht="12.8" hidden="false" customHeight="false" outlineLevel="0" collapsed="false">
      <c r="A1322" s="0" t="n">
        <v>467481</v>
      </c>
      <c r="B1322" s="0" t="n">
        <v>467481</v>
      </c>
      <c r="C1322" s="0" t="n">
        <v>3</v>
      </c>
      <c r="D1322" s="0" t="n">
        <v>12</v>
      </c>
      <c r="E1322" s="0" t="n">
        <v>2422</v>
      </c>
      <c r="F1322" s="0" t="n">
        <v>85</v>
      </c>
      <c r="G1322" s="0" t="n">
        <v>47</v>
      </c>
      <c r="H1322" s="1" t="s">
        <v>2611</v>
      </c>
      <c r="I1322" s="1" t="s">
        <v>2623</v>
      </c>
      <c r="J1322" s="9" t="n">
        <v>45905</v>
      </c>
      <c r="K1322" s="0" t="s">
        <v>2624</v>
      </c>
      <c r="L1322" s="0" t="n">
        <v>8</v>
      </c>
      <c r="M1322" s="10"/>
      <c r="N1322" s="10"/>
      <c r="O1322" s="0" t="str">
        <f aca="false">VLOOKUP(C1322,statusdetails!$A:$D,4,0)</f>
        <v>STANDBY</v>
      </c>
      <c r="P1322" s="0" t="str">
        <f aca="false">VLOOKUP(F1322,equipment!$A:$E,4,0)</f>
        <v>CM02</v>
      </c>
      <c r="Q1322" s="0" t="str">
        <f aca="false">VLOOKUP(F1322,equipment!$A:$E,5,0)</f>
        <v>CM02 - 85</v>
      </c>
    </row>
    <row r="1323" customFormat="false" ht="12.8" hidden="false" customHeight="false" outlineLevel="0" collapsed="false">
      <c r="A1323" s="0" t="n">
        <v>467482</v>
      </c>
      <c r="B1323" s="0" t="n">
        <v>467482</v>
      </c>
      <c r="C1323" s="0" t="n">
        <v>4</v>
      </c>
      <c r="D1323" s="0" t="n">
        <v>16</v>
      </c>
      <c r="E1323" s="0" t="n">
        <v>2481</v>
      </c>
      <c r="F1323" s="0" t="n">
        <v>88</v>
      </c>
      <c r="G1323" s="0" t="n">
        <v>151</v>
      </c>
      <c r="H1323" s="1" t="s">
        <v>2621</v>
      </c>
      <c r="I1323" s="1" t="s">
        <v>2625</v>
      </c>
      <c r="J1323" s="9" t="n">
        <v>45905</v>
      </c>
      <c r="K1323" s="0" t="s">
        <v>2626</v>
      </c>
      <c r="L1323" s="0" t="n">
        <v>8</v>
      </c>
      <c r="M1323" s="10"/>
      <c r="N1323" s="10"/>
      <c r="O1323" s="0" t="str">
        <f aca="false">VLOOKUP(C1323,statusdetails!$A:$D,4,0)</f>
        <v>MAINT</v>
      </c>
    </row>
    <row r="1324" customFormat="false" ht="12.8" hidden="false" customHeight="false" outlineLevel="0" collapsed="false">
      <c r="A1324" s="0" t="n">
        <v>467483</v>
      </c>
      <c r="B1324" s="0" t="n">
        <v>467483</v>
      </c>
      <c r="C1324" s="0" t="n">
        <v>1</v>
      </c>
      <c r="D1324" s="0" t="n">
        <v>2303</v>
      </c>
      <c r="E1324" s="0" t="n">
        <v>2560</v>
      </c>
      <c r="F1324" s="0" t="n">
        <v>43</v>
      </c>
      <c r="G1324" s="0" t="n">
        <v>36</v>
      </c>
      <c r="H1324" s="1" t="s">
        <v>2240</v>
      </c>
      <c r="I1324" s="1" t="s">
        <v>2627</v>
      </c>
      <c r="J1324" s="9" t="n">
        <v>45905</v>
      </c>
      <c r="K1324" s="0" t="s">
        <v>2628</v>
      </c>
      <c r="L1324" s="0" t="n">
        <v>8</v>
      </c>
      <c r="M1324" s="10"/>
      <c r="N1324" s="10"/>
      <c r="O1324" s="0" t="str">
        <f aca="false">VLOOKUP(C1324,statusdetails!$A:$D,4,0)</f>
        <v>READY</v>
      </c>
    </row>
    <row r="1325" customFormat="false" ht="12.8" hidden="true" customHeight="false" outlineLevel="0" collapsed="false">
      <c r="H1325" s="0"/>
      <c r="I1325" s="0"/>
      <c r="J1325" s="9"/>
    </row>
    <row r="1326" customFormat="false" ht="12.8" hidden="true" customHeight="false" outlineLevel="0" collapsed="false">
      <c r="H1326" s="0"/>
      <c r="I1326" s="0"/>
      <c r="J1326" s="9"/>
    </row>
    <row r="1327" customFormat="false" ht="12.8" hidden="false" customHeight="false" outlineLevel="0" collapsed="false">
      <c r="A1327" s="0" t="n">
        <v>467486</v>
      </c>
      <c r="B1327" s="0" t="n">
        <v>467486</v>
      </c>
      <c r="C1327" s="0" t="n">
        <v>3</v>
      </c>
      <c r="D1327" s="0" t="n">
        <v>14</v>
      </c>
      <c r="E1327" s="0" t="n">
        <v>1163</v>
      </c>
      <c r="F1327" s="0" t="n">
        <v>45</v>
      </c>
      <c r="G1327" s="0" t="n">
        <v>156</v>
      </c>
      <c r="H1327" s="1" t="s">
        <v>2172</v>
      </c>
      <c r="I1327" s="1" t="s">
        <v>2629</v>
      </c>
      <c r="J1327" s="9" t="n">
        <v>45905</v>
      </c>
      <c r="K1327" s="0" t="s">
        <v>2630</v>
      </c>
      <c r="L1327" s="0" t="n">
        <v>9</v>
      </c>
      <c r="M1327" s="10"/>
      <c r="N1327" s="10"/>
      <c r="O1327" s="0" t="str">
        <f aca="false">VLOOKUP(C1327,statusdetails!$A:$D,4,0)</f>
        <v>STANDBY</v>
      </c>
      <c r="P1327" s="0" t="str">
        <f aca="false">VLOOKUP(F1327,equipment!$A:$E,4,0)</f>
        <v>EX501</v>
      </c>
      <c r="Q1327" s="0" t="str">
        <f aca="false">VLOOKUP(F1327,equipment!$A:$E,5,0)</f>
        <v>EX501 - 45</v>
      </c>
    </row>
    <row r="1328" customFormat="false" ht="12.8" hidden="true" customHeight="false" outlineLevel="0" collapsed="false">
      <c r="H1328" s="0"/>
      <c r="I1328" s="0"/>
      <c r="J1328" s="9"/>
    </row>
    <row r="1329" customFormat="false" ht="12.8" hidden="true" customHeight="false" outlineLevel="0" collapsed="false">
      <c r="H1329" s="0"/>
      <c r="I1329" s="0"/>
      <c r="J1329" s="9"/>
    </row>
    <row r="1330" customFormat="false" ht="12.8" hidden="false" customHeight="false" outlineLevel="0" collapsed="false">
      <c r="A1330" s="0" t="n">
        <v>467489</v>
      </c>
      <c r="B1330" s="0" t="n">
        <v>467489</v>
      </c>
      <c r="C1330" s="0" t="n">
        <v>3</v>
      </c>
      <c r="D1330" s="0" t="n">
        <v>14</v>
      </c>
      <c r="E1330" s="0" t="n">
        <v>2503</v>
      </c>
      <c r="F1330" s="0" t="n">
        <v>89</v>
      </c>
      <c r="G1330" s="0" t="n">
        <v>153</v>
      </c>
      <c r="H1330" s="1" t="s">
        <v>2631</v>
      </c>
      <c r="I1330" s="1" t="s">
        <v>2632</v>
      </c>
      <c r="J1330" s="9" t="n">
        <v>45905</v>
      </c>
      <c r="K1330" s="0" t="s">
        <v>2633</v>
      </c>
      <c r="L1330" s="0" t="n">
        <v>9</v>
      </c>
      <c r="M1330" s="10"/>
      <c r="N1330" s="10"/>
      <c r="O1330" s="0" t="str">
        <f aca="false">VLOOKUP(C1330,statusdetails!$A:$D,4,0)</f>
        <v>STANDBY</v>
      </c>
      <c r="P1330" s="0" t="str">
        <f aca="false">VLOOKUP(F1330,equipment!$A:$E,4,0)</f>
        <v>CM06</v>
      </c>
      <c r="Q1330" s="0" t="str">
        <f aca="false">VLOOKUP(F1330,equipment!$A:$E,5,0)</f>
        <v>CM06 - 89</v>
      </c>
    </row>
    <row r="1331" customFormat="false" ht="12.8" hidden="true" customHeight="false" outlineLevel="0" collapsed="false">
      <c r="A1331" s="0" t="n">
        <v>467490</v>
      </c>
      <c r="B1331" s="0" t="n">
        <v>467490</v>
      </c>
      <c r="C1331" s="0" t="n">
        <v>1</v>
      </c>
      <c r="D1331" s="0" t="n">
        <v>6</v>
      </c>
      <c r="E1331" s="0" t="n">
        <v>2404</v>
      </c>
      <c r="F1331" s="0" t="n">
        <v>84</v>
      </c>
      <c r="G1331" s="0" t="n">
        <v>152</v>
      </c>
      <c r="H1331" s="0" t="s">
        <v>2634</v>
      </c>
      <c r="I1331" s="0" t="s">
        <v>2635</v>
      </c>
      <c r="J1331" s="9" t="n">
        <v>45905</v>
      </c>
      <c r="K1331" s="0" t="s">
        <v>2636</v>
      </c>
      <c r="L1331" s="0" t="n">
        <v>9</v>
      </c>
      <c r="M1331" s="10"/>
      <c r="N1331" s="10"/>
      <c r="O1331" s="0" t="str">
        <f aca="false">VLOOKUP(C1331,statusdetails!$A:$D,4,0)</f>
        <v>READY</v>
      </c>
    </row>
    <row r="1332" customFormat="false" ht="12.8" hidden="true" customHeight="false" outlineLevel="0" collapsed="false">
      <c r="A1332" s="0" t="n">
        <v>467491</v>
      </c>
      <c r="B1332" s="0" t="n">
        <v>467491</v>
      </c>
      <c r="C1332" s="0" t="n">
        <v>1</v>
      </c>
      <c r="D1332" s="0" t="n">
        <v>6</v>
      </c>
      <c r="E1332" s="0" t="n">
        <v>2404</v>
      </c>
      <c r="F1332" s="0" t="n">
        <v>89</v>
      </c>
      <c r="G1332" s="0" t="n">
        <v>153</v>
      </c>
      <c r="H1332" s="0" t="s">
        <v>2632</v>
      </c>
      <c r="I1332" s="0" t="s">
        <v>2637</v>
      </c>
      <c r="J1332" s="9" t="n">
        <v>45905</v>
      </c>
      <c r="K1332" s="0" t="s">
        <v>2638</v>
      </c>
      <c r="L1332" s="0" t="n">
        <v>9</v>
      </c>
      <c r="M1332" s="10"/>
      <c r="N1332" s="10"/>
      <c r="O1332" s="0" t="str">
        <f aca="false">VLOOKUP(C1332,statusdetails!$A:$D,4,0)</f>
        <v>READY</v>
      </c>
    </row>
    <row r="1333" customFormat="false" ht="12.8" hidden="true" customHeight="false" outlineLevel="0" collapsed="false">
      <c r="A1333" s="0" t="n">
        <v>467492</v>
      </c>
      <c r="B1333" s="0" t="n">
        <v>467492</v>
      </c>
      <c r="C1333" s="0" t="n">
        <v>1</v>
      </c>
      <c r="D1333" s="0" t="n">
        <v>6</v>
      </c>
      <c r="E1333" s="0" t="n">
        <v>2404</v>
      </c>
      <c r="F1333" s="0" t="n">
        <v>86</v>
      </c>
      <c r="G1333" s="0" t="n">
        <v>151</v>
      </c>
      <c r="H1333" s="0" t="s">
        <v>2639</v>
      </c>
      <c r="I1333" s="0" t="s">
        <v>2640</v>
      </c>
      <c r="J1333" s="9" t="n">
        <v>45905</v>
      </c>
      <c r="K1333" s="0" t="s">
        <v>2641</v>
      </c>
      <c r="L1333" s="0" t="n">
        <v>9</v>
      </c>
      <c r="M1333" s="10"/>
      <c r="N1333" s="10"/>
      <c r="O1333" s="0" t="str">
        <f aca="false">VLOOKUP(C1333,statusdetails!$A:$D,4,0)</f>
        <v>READY</v>
      </c>
    </row>
    <row r="1334" customFormat="false" ht="12.8" hidden="true" customHeight="false" outlineLevel="0" collapsed="false">
      <c r="H1334" s="0"/>
      <c r="I1334" s="0"/>
      <c r="J1334" s="9"/>
    </row>
    <row r="1335" customFormat="false" ht="12.8" hidden="true" customHeight="false" outlineLevel="0" collapsed="false">
      <c r="A1335" s="0" t="n">
        <v>467494</v>
      </c>
      <c r="B1335" s="0" t="n">
        <v>467494</v>
      </c>
      <c r="C1335" s="0" t="n">
        <v>1</v>
      </c>
      <c r="D1335" s="0" t="n">
        <v>6</v>
      </c>
      <c r="E1335" s="0" t="n">
        <v>138</v>
      </c>
      <c r="F1335" s="0" t="n">
        <v>45</v>
      </c>
      <c r="G1335" s="0" t="n">
        <v>156</v>
      </c>
      <c r="H1335" s="0" t="s">
        <v>2629</v>
      </c>
      <c r="I1335" s="0" t="s">
        <v>2642</v>
      </c>
      <c r="J1335" s="9" t="n">
        <v>45905</v>
      </c>
      <c r="K1335" s="0" t="s">
        <v>2643</v>
      </c>
      <c r="L1335" s="0" t="n">
        <v>9</v>
      </c>
      <c r="M1335" s="10"/>
      <c r="N1335" s="10"/>
      <c r="O1335" s="0" t="str">
        <f aca="false">VLOOKUP(C1335,statusdetails!$A:$D,4,0)</f>
        <v>READY</v>
      </c>
    </row>
    <row r="1336" customFormat="false" ht="12.8" hidden="true" customHeight="false" outlineLevel="0" collapsed="false">
      <c r="A1336" s="0" t="n">
        <v>467495</v>
      </c>
      <c r="B1336" s="0" t="n">
        <v>467495</v>
      </c>
      <c r="C1336" s="0" t="n">
        <v>1</v>
      </c>
      <c r="D1336" s="0" t="n">
        <v>6</v>
      </c>
      <c r="E1336" s="0" t="n">
        <v>2404</v>
      </c>
      <c r="F1336" s="0" t="n">
        <v>87</v>
      </c>
      <c r="G1336" s="0" t="n">
        <v>154</v>
      </c>
      <c r="H1336" s="0" t="s">
        <v>2644</v>
      </c>
      <c r="I1336" s="11" t="n">
        <v>45905.5448958333</v>
      </c>
      <c r="J1336" s="9" t="n">
        <v>45905</v>
      </c>
      <c r="K1336" s="0" t="s">
        <v>2645</v>
      </c>
      <c r="L1336" s="0" t="n">
        <v>9</v>
      </c>
      <c r="M1336" s="10"/>
      <c r="N1336" s="10"/>
      <c r="O1336" s="0" t="str">
        <f aca="false">VLOOKUP(C1336,statusdetails!$A:$D,4,0)</f>
        <v>READY</v>
      </c>
    </row>
    <row r="1337" customFormat="false" ht="12.8" hidden="true" customHeight="false" outlineLevel="0" collapsed="false">
      <c r="A1337" s="0" t="n">
        <v>467496</v>
      </c>
      <c r="B1337" s="0" t="n">
        <v>467496</v>
      </c>
      <c r="C1337" s="0" t="n">
        <v>4</v>
      </c>
      <c r="D1337" s="0" t="n">
        <v>15</v>
      </c>
      <c r="E1337" s="0" t="n">
        <v>870</v>
      </c>
      <c r="F1337" s="0" t="n">
        <v>43</v>
      </c>
      <c r="G1337" s="0" t="n">
        <v>36</v>
      </c>
      <c r="H1337" s="0" t="s">
        <v>2627</v>
      </c>
      <c r="I1337" s="0" t="s">
        <v>2646</v>
      </c>
      <c r="J1337" s="9" t="n">
        <v>45905</v>
      </c>
      <c r="K1337" s="0" t="s">
        <v>2647</v>
      </c>
      <c r="L1337" s="0" t="n">
        <v>9</v>
      </c>
      <c r="M1337" s="10"/>
      <c r="N1337" s="10"/>
      <c r="O1337" s="0" t="str">
        <f aca="false">VLOOKUP(C1337,statusdetails!$A:$D,4,0)</f>
        <v>MAINT</v>
      </c>
    </row>
    <row r="1338" customFormat="false" ht="12.8" hidden="true" customHeight="false" outlineLevel="0" collapsed="false">
      <c r="H1338" s="0"/>
      <c r="I1338" s="0"/>
      <c r="J1338" s="9"/>
    </row>
    <row r="1339" customFormat="false" ht="12.8" hidden="true" customHeight="false" outlineLevel="0" collapsed="false">
      <c r="A1339" s="0" t="n">
        <v>467498</v>
      </c>
      <c r="B1339" s="0" t="n">
        <v>467498</v>
      </c>
      <c r="C1339" s="0" t="n">
        <v>1</v>
      </c>
      <c r="D1339" s="0" t="n">
        <v>6</v>
      </c>
      <c r="E1339" s="0" t="n">
        <v>260</v>
      </c>
      <c r="F1339" s="0" t="n">
        <v>32</v>
      </c>
      <c r="G1339" s="0" t="n">
        <v>23</v>
      </c>
      <c r="H1339" s="0" t="s">
        <v>2613</v>
      </c>
      <c r="I1339" s="0" t="s">
        <v>2648</v>
      </c>
      <c r="J1339" s="9" t="n">
        <v>45905</v>
      </c>
      <c r="K1339" s="0" t="s">
        <v>2649</v>
      </c>
      <c r="L1339" s="0" t="n">
        <v>9</v>
      </c>
      <c r="M1339" s="10"/>
      <c r="N1339" s="10"/>
      <c r="O1339" s="0" t="str">
        <f aca="false">VLOOKUP(C1339,statusdetails!$A:$D,4,0)</f>
        <v>READY</v>
      </c>
    </row>
    <row r="1340" customFormat="false" ht="12.8" hidden="true" customHeight="false" outlineLevel="0" collapsed="false">
      <c r="A1340" s="0" t="n">
        <v>467499</v>
      </c>
      <c r="B1340" s="0" t="n">
        <v>467499</v>
      </c>
      <c r="C1340" s="0" t="n">
        <v>1</v>
      </c>
      <c r="D1340" s="0" t="n">
        <v>6</v>
      </c>
      <c r="E1340" s="0" t="n">
        <v>2404</v>
      </c>
      <c r="F1340" s="0" t="n">
        <v>85</v>
      </c>
      <c r="G1340" s="0" t="n">
        <v>47</v>
      </c>
      <c r="H1340" s="0" t="s">
        <v>2623</v>
      </c>
      <c r="I1340" s="0" t="s">
        <v>2650</v>
      </c>
      <c r="J1340" s="9" t="n">
        <v>45905</v>
      </c>
      <c r="K1340" s="0" t="s">
        <v>2651</v>
      </c>
      <c r="L1340" s="0" t="n">
        <v>9</v>
      </c>
      <c r="M1340" s="10"/>
      <c r="N1340" s="10"/>
      <c r="O1340" s="0" t="str">
        <f aca="false">VLOOKUP(C1340,statusdetails!$A:$D,4,0)</f>
        <v>READY</v>
      </c>
    </row>
    <row r="1341" customFormat="false" ht="12.8" hidden="true" customHeight="false" outlineLevel="0" collapsed="false">
      <c r="A1341" s="0" t="n">
        <v>467500</v>
      </c>
      <c r="B1341" s="0" t="n">
        <v>467500</v>
      </c>
      <c r="C1341" s="0" t="n">
        <v>1</v>
      </c>
      <c r="D1341" s="0" t="n">
        <v>6</v>
      </c>
      <c r="E1341" s="0" t="n">
        <v>2518</v>
      </c>
      <c r="F1341" s="0" t="n">
        <v>82</v>
      </c>
      <c r="G1341" s="0" t="n">
        <v>88</v>
      </c>
      <c r="H1341" s="0" t="s">
        <v>2652</v>
      </c>
      <c r="I1341" s="0" t="s">
        <v>2653</v>
      </c>
      <c r="J1341" s="9" t="n">
        <v>45905</v>
      </c>
      <c r="K1341" s="0" t="s">
        <v>2654</v>
      </c>
      <c r="L1341" s="0" t="n">
        <v>9</v>
      </c>
      <c r="M1341" s="10"/>
      <c r="N1341" s="10"/>
      <c r="O1341" s="0" t="str">
        <f aca="false">VLOOKUP(C1341,statusdetails!$A:$D,4,0)</f>
        <v>READY</v>
      </c>
    </row>
    <row r="1342" customFormat="false" ht="12.8" hidden="false" customHeight="false" outlineLevel="0" collapsed="false">
      <c r="A1342" s="0" t="n">
        <v>467501</v>
      </c>
      <c r="B1342" s="0" t="n">
        <v>467501</v>
      </c>
      <c r="C1342" s="0" t="n">
        <v>3</v>
      </c>
      <c r="D1342" s="0" t="n">
        <v>14</v>
      </c>
      <c r="E1342" s="0" t="n">
        <v>1159</v>
      </c>
      <c r="F1342" s="0" t="n">
        <v>42</v>
      </c>
      <c r="G1342" s="0" t="n">
        <v>83</v>
      </c>
      <c r="H1342" s="1" t="s">
        <v>2609</v>
      </c>
      <c r="I1342" s="1" t="s">
        <v>2655</v>
      </c>
      <c r="J1342" s="9" t="n">
        <v>45905</v>
      </c>
      <c r="K1342" s="0" t="s">
        <v>2656</v>
      </c>
      <c r="L1342" s="0" t="n">
        <v>9</v>
      </c>
      <c r="M1342" s="10"/>
      <c r="N1342" s="10"/>
      <c r="O1342" s="0" t="str">
        <f aca="false">VLOOKUP(C1342,statusdetails!$A:$D,4,0)</f>
        <v>STANDBY</v>
      </c>
      <c r="P1342" s="0" t="str">
        <f aca="false">VLOOKUP(F1342,equipment!$A:$E,4,0)</f>
        <v>PE301</v>
      </c>
      <c r="Q1342" s="0" t="str">
        <f aca="false">VLOOKUP(F1342,equipment!$A:$E,5,0)</f>
        <v>PE301 - 42</v>
      </c>
    </row>
    <row r="1343" customFormat="false" ht="12.8" hidden="true" customHeight="false" outlineLevel="0" collapsed="false">
      <c r="A1343" s="0" t="n">
        <v>467502</v>
      </c>
      <c r="B1343" s="0" t="n">
        <v>467502</v>
      </c>
      <c r="C1343" s="0" t="n">
        <v>1</v>
      </c>
      <c r="D1343" s="0" t="n">
        <v>6</v>
      </c>
      <c r="E1343" s="0" t="n">
        <v>260</v>
      </c>
      <c r="F1343" s="0" t="n">
        <v>66</v>
      </c>
      <c r="G1343" s="0" t="n">
        <v>45</v>
      </c>
      <c r="H1343" s="0" t="s">
        <v>2619</v>
      </c>
      <c r="I1343" s="0" t="s">
        <v>2657</v>
      </c>
      <c r="J1343" s="9" t="n">
        <v>45905</v>
      </c>
      <c r="K1343" s="0" t="s">
        <v>2658</v>
      </c>
      <c r="L1343" s="0" t="n">
        <v>9</v>
      </c>
      <c r="M1343" s="10"/>
      <c r="N1343" s="10"/>
      <c r="O1343" s="0" t="str">
        <f aca="false">VLOOKUP(C1343,statusdetails!$A:$D,4,0)</f>
        <v>READY</v>
      </c>
    </row>
    <row r="1344" customFormat="false" ht="12.8" hidden="false" customHeight="false" outlineLevel="0" collapsed="false">
      <c r="A1344" s="0" t="n">
        <v>467503</v>
      </c>
      <c r="B1344" s="0" t="n">
        <v>467503</v>
      </c>
      <c r="C1344" s="0" t="n">
        <v>3</v>
      </c>
      <c r="D1344" s="0" t="n">
        <v>12</v>
      </c>
      <c r="E1344" s="0" t="n">
        <v>1012</v>
      </c>
      <c r="F1344" s="0" t="n">
        <v>42</v>
      </c>
      <c r="G1344" s="0" t="n">
        <v>83</v>
      </c>
      <c r="H1344" s="1" t="s">
        <v>2655</v>
      </c>
      <c r="I1344" s="1" t="s">
        <v>2659</v>
      </c>
      <c r="J1344" s="9" t="n">
        <v>45905</v>
      </c>
      <c r="K1344" s="0" t="s">
        <v>2660</v>
      </c>
      <c r="L1344" s="0" t="n">
        <v>9</v>
      </c>
      <c r="M1344" s="10"/>
      <c r="N1344" s="10"/>
      <c r="O1344" s="0" t="str">
        <f aca="false">VLOOKUP(C1344,statusdetails!$A:$D,4,0)</f>
        <v>STANDBY</v>
      </c>
      <c r="P1344" s="0" t="str">
        <f aca="false">VLOOKUP(F1344,equipment!$A:$E,4,0)</f>
        <v>PE301</v>
      </c>
      <c r="Q1344" s="0" t="str">
        <f aca="false">VLOOKUP(F1344,equipment!$A:$E,5,0)</f>
        <v>PE301 - 42</v>
      </c>
    </row>
    <row r="1345" customFormat="false" ht="12.8" hidden="false" customHeight="false" outlineLevel="0" collapsed="false">
      <c r="A1345" s="0" t="n">
        <v>467504</v>
      </c>
      <c r="B1345" s="0" t="n">
        <v>467504</v>
      </c>
      <c r="C1345" s="0" t="n">
        <v>3</v>
      </c>
      <c r="D1345" s="0" t="n">
        <v>14</v>
      </c>
      <c r="E1345" s="0" t="n">
        <v>2555</v>
      </c>
      <c r="F1345" s="0" t="n">
        <v>86</v>
      </c>
      <c r="G1345" s="0" t="n">
        <v>151</v>
      </c>
      <c r="H1345" s="1" t="s">
        <v>2640</v>
      </c>
      <c r="I1345" s="1" t="s">
        <v>2661</v>
      </c>
      <c r="J1345" s="9" t="n">
        <v>45905</v>
      </c>
      <c r="K1345" s="0" t="s">
        <v>2662</v>
      </c>
      <c r="L1345" s="0" t="n">
        <v>9</v>
      </c>
      <c r="M1345" s="10"/>
      <c r="N1345" s="10"/>
      <c r="O1345" s="0" t="str">
        <f aca="false">VLOOKUP(C1345,statusdetails!$A:$D,4,0)</f>
        <v>STANDBY</v>
      </c>
      <c r="P1345" s="0" t="str">
        <f aca="false">VLOOKUP(F1345,equipment!$A:$E,4,0)</f>
        <v>CM03</v>
      </c>
      <c r="Q1345" s="0" t="str">
        <f aca="false">VLOOKUP(F1345,equipment!$A:$E,5,0)</f>
        <v>CM03 - 86</v>
      </c>
    </row>
    <row r="1346" customFormat="false" ht="12.8" hidden="true" customHeight="false" outlineLevel="0" collapsed="false">
      <c r="A1346" s="0" t="n">
        <v>467505</v>
      </c>
      <c r="B1346" s="0" t="n">
        <v>467505</v>
      </c>
      <c r="C1346" s="0" t="n">
        <v>1</v>
      </c>
      <c r="D1346" s="0" t="n">
        <v>6</v>
      </c>
      <c r="E1346" s="0" t="n">
        <v>2404</v>
      </c>
      <c r="F1346" s="0" t="n">
        <v>86</v>
      </c>
      <c r="G1346" s="0" t="n">
        <v>151</v>
      </c>
      <c r="H1346" s="0" t="s">
        <v>2661</v>
      </c>
      <c r="I1346" s="0" t="s">
        <v>2663</v>
      </c>
      <c r="J1346" s="9" t="n">
        <v>45905</v>
      </c>
      <c r="K1346" s="0" t="s">
        <v>2664</v>
      </c>
      <c r="L1346" s="0" t="n">
        <v>9</v>
      </c>
      <c r="M1346" s="10"/>
      <c r="N1346" s="10"/>
      <c r="O1346" s="0" t="str">
        <f aca="false">VLOOKUP(C1346,statusdetails!$A:$D,4,0)</f>
        <v>READY</v>
      </c>
    </row>
    <row r="1347" customFormat="false" ht="12.8" hidden="false" customHeight="false" outlineLevel="0" collapsed="false">
      <c r="A1347" s="0" t="n">
        <v>467506</v>
      </c>
      <c r="B1347" s="0" t="n">
        <v>467506</v>
      </c>
      <c r="C1347" s="0" t="n">
        <v>3</v>
      </c>
      <c r="D1347" s="0" t="n">
        <v>14</v>
      </c>
      <c r="E1347" s="0" t="n">
        <v>1161</v>
      </c>
      <c r="F1347" s="0" t="n">
        <v>41</v>
      </c>
      <c r="G1347" s="0" t="n">
        <v>118</v>
      </c>
      <c r="H1347" s="1" t="s">
        <v>2508</v>
      </c>
      <c r="I1347" s="1" t="s">
        <v>2665</v>
      </c>
      <c r="J1347" s="9" t="n">
        <v>45905</v>
      </c>
      <c r="K1347" s="0" t="s">
        <v>2666</v>
      </c>
      <c r="L1347" s="0" t="n">
        <v>9</v>
      </c>
      <c r="M1347" s="10"/>
      <c r="N1347" s="10"/>
      <c r="O1347" s="0" t="str">
        <f aca="false">VLOOKUP(C1347,statusdetails!$A:$D,4,0)</f>
        <v>STANDBY</v>
      </c>
      <c r="P1347" s="0" t="str">
        <f aca="false">VLOOKUP(F1347,equipment!$A:$E,4,0)</f>
        <v>MO102</v>
      </c>
      <c r="Q1347" s="0" t="str">
        <f aca="false">VLOOKUP(F1347,equipment!$A:$E,5,0)</f>
        <v>MO102 - 41</v>
      </c>
    </row>
    <row r="1348" customFormat="false" ht="12.8" hidden="true" customHeight="false" outlineLevel="0" collapsed="false">
      <c r="A1348" s="0" t="n">
        <v>467507</v>
      </c>
      <c r="B1348" s="0" t="n">
        <v>467507</v>
      </c>
      <c r="C1348" s="0" t="n">
        <v>1</v>
      </c>
      <c r="D1348" s="0" t="n">
        <v>6</v>
      </c>
      <c r="E1348" s="0" t="n">
        <v>2524</v>
      </c>
      <c r="F1348" s="0" t="n">
        <v>49</v>
      </c>
      <c r="G1348" s="0" t="n">
        <v>0</v>
      </c>
      <c r="H1348" s="0" t="s">
        <v>2134</v>
      </c>
      <c r="I1348" s="0" t="s">
        <v>2667</v>
      </c>
      <c r="J1348" s="9" t="n">
        <v>45905</v>
      </c>
      <c r="K1348" s="0" t="s">
        <v>2668</v>
      </c>
      <c r="L1348" s="0" t="n">
        <v>9</v>
      </c>
      <c r="M1348" s="10"/>
      <c r="N1348" s="10"/>
      <c r="O1348" s="0" t="str">
        <f aca="false">VLOOKUP(C1348,statusdetails!$A:$D,4,0)</f>
        <v>READY</v>
      </c>
    </row>
    <row r="1349" customFormat="false" ht="12.8" hidden="true" customHeight="false" outlineLevel="0" collapsed="false">
      <c r="H1349" s="0"/>
      <c r="I1349" s="0"/>
      <c r="J1349" s="9"/>
    </row>
    <row r="1350" customFormat="false" ht="12.8" hidden="true" customHeight="false" outlineLevel="0" collapsed="false">
      <c r="H1350" s="0"/>
      <c r="I1350" s="0"/>
      <c r="J1350" s="9"/>
    </row>
    <row r="1351" customFormat="false" ht="12.8" hidden="true" customHeight="false" outlineLevel="0" collapsed="false">
      <c r="H1351" s="0"/>
      <c r="I1351" s="0"/>
      <c r="J1351" s="9"/>
    </row>
    <row r="1352" customFormat="false" ht="12.8" hidden="true" customHeight="false" outlineLevel="0" collapsed="false">
      <c r="A1352" s="0" t="n">
        <v>467512</v>
      </c>
      <c r="B1352" s="0" t="n">
        <v>467512</v>
      </c>
      <c r="C1352" s="0" t="n">
        <v>4</v>
      </c>
      <c r="D1352" s="0" t="n">
        <v>15</v>
      </c>
      <c r="E1352" s="0" t="n">
        <v>2533</v>
      </c>
      <c r="F1352" s="0" t="n">
        <v>85</v>
      </c>
      <c r="G1352" s="0" t="n">
        <v>47</v>
      </c>
      <c r="H1352" s="0" t="s">
        <v>2650</v>
      </c>
      <c r="I1352" s="0" t="s">
        <v>2669</v>
      </c>
      <c r="J1352" s="9" t="n">
        <v>45905</v>
      </c>
      <c r="K1352" s="0" t="s">
        <v>2670</v>
      </c>
      <c r="L1352" s="0" t="n">
        <v>9</v>
      </c>
      <c r="M1352" s="10"/>
      <c r="N1352" s="10"/>
      <c r="O1352" s="0" t="str">
        <f aca="false">VLOOKUP(C1352,statusdetails!$A:$D,4,0)</f>
        <v>MAINT</v>
      </c>
    </row>
    <row r="1353" customFormat="false" ht="12.8" hidden="true" customHeight="false" outlineLevel="0" collapsed="false">
      <c r="A1353" s="0" t="n">
        <v>467513</v>
      </c>
      <c r="B1353" s="0" t="n">
        <v>467513</v>
      </c>
      <c r="C1353" s="0" t="n">
        <v>1</v>
      </c>
      <c r="D1353" s="0" t="n">
        <v>2303</v>
      </c>
      <c r="E1353" s="0" t="n">
        <v>1798</v>
      </c>
      <c r="F1353" s="0" t="n">
        <v>37</v>
      </c>
      <c r="G1353" s="0" t="n">
        <v>44</v>
      </c>
      <c r="H1353" s="0" t="s">
        <v>2603</v>
      </c>
      <c r="I1353" s="0" t="s">
        <v>2671</v>
      </c>
      <c r="J1353" s="9" t="n">
        <v>45905</v>
      </c>
      <c r="K1353" s="0" t="s">
        <v>2672</v>
      </c>
      <c r="L1353" s="0" t="n">
        <v>9</v>
      </c>
      <c r="M1353" s="10"/>
      <c r="N1353" s="10"/>
      <c r="O1353" s="0" t="str">
        <f aca="false">VLOOKUP(C1353,statusdetails!$A:$D,4,0)</f>
        <v>READY</v>
      </c>
    </row>
    <row r="1354" customFormat="false" ht="12.8" hidden="true" customHeight="false" outlineLevel="0" collapsed="false">
      <c r="A1354" s="0" t="n">
        <v>467514</v>
      </c>
      <c r="B1354" s="0" t="n">
        <v>467514</v>
      </c>
      <c r="C1354" s="0" t="n">
        <v>1</v>
      </c>
      <c r="D1354" s="0" t="n">
        <v>6</v>
      </c>
      <c r="E1354" s="0" t="n">
        <v>2518</v>
      </c>
      <c r="F1354" s="0" t="n">
        <v>82</v>
      </c>
      <c r="G1354" s="0" t="n">
        <v>88</v>
      </c>
      <c r="H1354" s="0" t="s">
        <v>2673</v>
      </c>
      <c r="I1354" s="0" t="s">
        <v>2674</v>
      </c>
      <c r="J1354" s="9" t="n">
        <v>45905</v>
      </c>
      <c r="K1354" s="0" t="s">
        <v>2675</v>
      </c>
      <c r="L1354" s="0" t="n">
        <v>10</v>
      </c>
      <c r="M1354" s="10"/>
      <c r="N1354" s="10"/>
      <c r="O1354" s="0" t="str">
        <f aca="false">VLOOKUP(C1354,statusdetails!$A:$D,4,0)</f>
        <v>READY</v>
      </c>
    </row>
    <row r="1355" customFormat="false" ht="12.8" hidden="true" customHeight="false" outlineLevel="0" collapsed="false">
      <c r="A1355" s="0" t="n">
        <v>467515</v>
      </c>
      <c r="B1355" s="0" t="n">
        <v>467515</v>
      </c>
      <c r="C1355" s="0" t="n">
        <v>1</v>
      </c>
      <c r="D1355" s="0" t="n">
        <v>6</v>
      </c>
      <c r="E1355" s="0" t="n">
        <v>260</v>
      </c>
      <c r="F1355" s="0" t="n">
        <v>66</v>
      </c>
      <c r="G1355" s="0" t="n">
        <v>45</v>
      </c>
      <c r="H1355" s="0" t="s">
        <v>2676</v>
      </c>
      <c r="I1355" s="0" t="s">
        <v>2677</v>
      </c>
      <c r="J1355" s="9" t="n">
        <v>45905</v>
      </c>
      <c r="K1355" s="0" t="s">
        <v>2678</v>
      </c>
      <c r="L1355" s="0" t="n">
        <v>10</v>
      </c>
      <c r="M1355" s="10"/>
      <c r="N1355" s="10"/>
      <c r="O1355" s="0" t="str">
        <f aca="false">VLOOKUP(C1355,statusdetails!$A:$D,4,0)</f>
        <v>READY</v>
      </c>
    </row>
    <row r="1356" customFormat="false" ht="12.8" hidden="true" customHeight="false" outlineLevel="0" collapsed="false">
      <c r="A1356" s="0" t="n">
        <v>467516</v>
      </c>
      <c r="B1356" s="0" t="n">
        <v>467516</v>
      </c>
      <c r="C1356" s="0" t="n">
        <v>1</v>
      </c>
      <c r="D1356" s="0" t="n">
        <v>6</v>
      </c>
      <c r="E1356" s="0" t="n">
        <v>260</v>
      </c>
      <c r="F1356" s="0" t="n">
        <v>32</v>
      </c>
      <c r="G1356" s="0" t="n">
        <v>23</v>
      </c>
      <c r="H1356" s="0" t="s">
        <v>2679</v>
      </c>
      <c r="I1356" s="0" t="s">
        <v>2680</v>
      </c>
      <c r="J1356" s="9" t="n">
        <v>45905</v>
      </c>
      <c r="K1356" s="0" t="s">
        <v>2681</v>
      </c>
      <c r="L1356" s="0" t="n">
        <v>10</v>
      </c>
      <c r="M1356" s="10"/>
      <c r="N1356" s="10"/>
      <c r="O1356" s="0" t="str">
        <f aca="false">VLOOKUP(C1356,statusdetails!$A:$D,4,0)</f>
        <v>READY</v>
      </c>
    </row>
    <row r="1357" customFormat="false" ht="12.8" hidden="true" customHeight="false" outlineLevel="0" collapsed="false">
      <c r="A1357" s="0" t="n">
        <v>467517</v>
      </c>
      <c r="B1357" s="0" t="n">
        <v>467517</v>
      </c>
      <c r="C1357" s="0" t="n">
        <v>1</v>
      </c>
      <c r="D1357" s="0" t="n">
        <v>6</v>
      </c>
      <c r="E1357" s="0" t="n">
        <v>811</v>
      </c>
      <c r="F1357" s="0" t="n">
        <v>42</v>
      </c>
      <c r="G1357" s="0" t="n">
        <v>83</v>
      </c>
      <c r="H1357" s="0" t="s">
        <v>2659</v>
      </c>
      <c r="I1357" s="0" t="s">
        <v>2682</v>
      </c>
      <c r="J1357" s="9" t="n">
        <v>45905</v>
      </c>
      <c r="K1357" s="0" t="s">
        <v>2683</v>
      </c>
      <c r="L1357" s="0" t="n">
        <v>11</v>
      </c>
      <c r="M1357" s="10"/>
      <c r="N1357" s="10"/>
      <c r="O1357" s="0" t="str">
        <f aca="false">VLOOKUP(C1357,statusdetails!$A:$D,4,0)</f>
        <v>READY</v>
      </c>
    </row>
    <row r="1358" customFormat="false" ht="12.8" hidden="true" customHeight="false" outlineLevel="0" collapsed="false">
      <c r="A1358" s="0" t="n">
        <v>467518</v>
      </c>
      <c r="B1358" s="0" t="n">
        <v>467518</v>
      </c>
      <c r="C1358" s="0" t="n">
        <v>1</v>
      </c>
      <c r="D1358" s="0" t="n">
        <v>2303</v>
      </c>
      <c r="E1358" s="0" t="n">
        <v>1541</v>
      </c>
      <c r="F1358" s="0" t="n">
        <v>37</v>
      </c>
      <c r="G1358" s="0" t="n">
        <v>44</v>
      </c>
      <c r="H1358" s="0" t="s">
        <v>2671</v>
      </c>
      <c r="I1358" s="0" t="s">
        <v>2684</v>
      </c>
      <c r="J1358" s="9" t="n">
        <v>45905</v>
      </c>
      <c r="K1358" s="0" t="s">
        <v>2685</v>
      </c>
      <c r="L1358" s="0" t="n">
        <v>11</v>
      </c>
      <c r="M1358" s="10"/>
      <c r="N1358" s="10"/>
      <c r="O1358" s="0" t="str">
        <f aca="false">VLOOKUP(C1358,statusdetails!$A:$D,4,0)</f>
        <v>READY</v>
      </c>
    </row>
    <row r="1359" customFormat="false" ht="12.8" hidden="true" customHeight="false" outlineLevel="0" collapsed="false">
      <c r="A1359" s="0" t="n">
        <v>467519</v>
      </c>
      <c r="B1359" s="0" t="n">
        <v>467519</v>
      </c>
      <c r="C1359" s="0" t="n">
        <v>1</v>
      </c>
      <c r="D1359" s="0" t="n">
        <v>6</v>
      </c>
      <c r="E1359" s="0" t="n">
        <v>2404</v>
      </c>
      <c r="F1359" s="0" t="n">
        <v>85</v>
      </c>
      <c r="G1359" s="0" t="n">
        <v>47</v>
      </c>
      <c r="H1359" s="0" t="s">
        <v>2669</v>
      </c>
      <c r="I1359" s="0" t="s">
        <v>2686</v>
      </c>
      <c r="J1359" s="9" t="n">
        <v>45905</v>
      </c>
      <c r="K1359" s="0" t="s">
        <v>2687</v>
      </c>
      <c r="L1359" s="0" t="n">
        <v>11</v>
      </c>
      <c r="M1359" s="10"/>
      <c r="N1359" s="10"/>
      <c r="O1359" s="0" t="str">
        <f aca="false">VLOOKUP(C1359,statusdetails!$A:$D,4,0)</f>
        <v>READY</v>
      </c>
    </row>
    <row r="1360" customFormat="false" ht="12.8" hidden="false" customHeight="false" outlineLevel="0" collapsed="false">
      <c r="A1360" s="0" t="n">
        <v>467520</v>
      </c>
      <c r="B1360" s="0" t="n">
        <v>467520</v>
      </c>
      <c r="C1360" s="0" t="n">
        <v>3</v>
      </c>
      <c r="D1360" s="0" t="n">
        <v>12</v>
      </c>
      <c r="E1360" s="0" t="n">
        <v>1011</v>
      </c>
      <c r="F1360" s="0" t="n">
        <v>33</v>
      </c>
      <c r="G1360" s="0" t="n">
        <v>98</v>
      </c>
      <c r="H1360" s="1" t="s">
        <v>2580</v>
      </c>
      <c r="I1360" s="1" t="s">
        <v>2688</v>
      </c>
      <c r="J1360" s="9" t="n">
        <v>45905</v>
      </c>
      <c r="K1360" s="0" t="s">
        <v>2689</v>
      </c>
      <c r="L1360" s="0" t="n">
        <v>11</v>
      </c>
      <c r="M1360" s="10"/>
      <c r="N1360" s="10"/>
      <c r="O1360" s="0" t="str">
        <f aca="false">VLOOKUP(C1360,statusdetails!$A:$D,4,0)</f>
        <v>STANDBY</v>
      </c>
      <c r="P1360" s="0" t="str">
        <f aca="false">VLOOKUP(F1360,equipment!$A:$E,4,0)</f>
        <v>CM406</v>
      </c>
      <c r="Q1360" s="0" t="str">
        <f aca="false">VLOOKUP(F1360,equipment!$A:$E,5,0)</f>
        <v>CM406 - 33</v>
      </c>
    </row>
    <row r="1361" customFormat="false" ht="12.8" hidden="false" customHeight="false" outlineLevel="0" collapsed="false">
      <c r="A1361" s="0" t="n">
        <v>467521</v>
      </c>
      <c r="B1361" s="0" t="n">
        <v>467521</v>
      </c>
      <c r="C1361" s="0" t="n">
        <v>3</v>
      </c>
      <c r="D1361" s="0" t="n">
        <v>14</v>
      </c>
      <c r="E1361" s="0" t="n">
        <v>1137</v>
      </c>
      <c r="F1361" s="0" t="n">
        <v>37</v>
      </c>
      <c r="G1361" s="0" t="n">
        <v>44</v>
      </c>
      <c r="H1361" s="1" t="s">
        <v>2684</v>
      </c>
      <c r="I1361" s="1" t="s">
        <v>2690</v>
      </c>
      <c r="J1361" s="9" t="n">
        <v>45905</v>
      </c>
      <c r="K1361" s="0" t="s">
        <v>2691</v>
      </c>
      <c r="L1361" s="0" t="n">
        <v>11</v>
      </c>
      <c r="M1361" s="10"/>
      <c r="N1361" s="10"/>
      <c r="O1361" s="0" t="str">
        <f aca="false">VLOOKUP(C1361,statusdetails!$A:$D,4,0)</f>
        <v>STANDBY</v>
      </c>
      <c r="P1361" s="0" t="str">
        <f aca="false">VLOOKUP(F1361,equipment!$A:$E,4,0)</f>
        <v>DZ201</v>
      </c>
      <c r="Q1361" s="0" t="str">
        <f aca="false">VLOOKUP(F1361,equipment!$A:$E,5,0)</f>
        <v>DZ201 - 37</v>
      </c>
    </row>
    <row r="1362" customFormat="false" ht="12.8" hidden="true" customHeight="false" outlineLevel="0" collapsed="false">
      <c r="A1362" s="0" t="n">
        <v>467522</v>
      </c>
      <c r="B1362" s="0" t="n">
        <v>467522</v>
      </c>
      <c r="C1362" s="0" t="n">
        <v>4</v>
      </c>
      <c r="D1362" s="0" t="n">
        <v>16</v>
      </c>
      <c r="E1362" s="0" t="n">
        <v>246</v>
      </c>
      <c r="F1362" s="0" t="n">
        <v>45</v>
      </c>
      <c r="G1362" s="0" t="n">
        <v>156</v>
      </c>
      <c r="H1362" s="0" t="s">
        <v>2642</v>
      </c>
      <c r="I1362" s="0" t="s">
        <v>2692</v>
      </c>
      <c r="J1362" s="9" t="n">
        <v>45905</v>
      </c>
      <c r="K1362" s="0" t="s">
        <v>2693</v>
      </c>
      <c r="L1362" s="0" t="n">
        <v>11</v>
      </c>
      <c r="M1362" s="10"/>
      <c r="N1362" s="10"/>
      <c r="O1362" s="0" t="str">
        <f aca="false">VLOOKUP(C1362,statusdetails!$A:$D,4,0)</f>
        <v>MAINT</v>
      </c>
    </row>
    <row r="1363" customFormat="false" ht="12.8" hidden="false" customHeight="false" outlineLevel="0" collapsed="false">
      <c r="A1363" s="0" t="n">
        <v>467523</v>
      </c>
      <c r="B1363" s="0" t="n">
        <v>467523</v>
      </c>
      <c r="C1363" s="0" t="n">
        <v>3</v>
      </c>
      <c r="D1363" s="0" t="n">
        <v>12</v>
      </c>
      <c r="E1363" s="0" t="n">
        <v>1011</v>
      </c>
      <c r="F1363" s="0" t="n">
        <v>32</v>
      </c>
      <c r="G1363" s="0" t="n">
        <v>23</v>
      </c>
      <c r="H1363" s="1" t="s">
        <v>2680</v>
      </c>
      <c r="I1363" s="1" t="s">
        <v>2694</v>
      </c>
      <c r="J1363" s="9" t="n">
        <v>45905</v>
      </c>
      <c r="K1363" s="0" t="s">
        <v>2695</v>
      </c>
      <c r="L1363" s="0" t="n">
        <v>11</v>
      </c>
      <c r="M1363" s="10"/>
      <c r="N1363" s="10"/>
      <c r="O1363" s="0" t="str">
        <f aca="false">VLOOKUP(C1363,statusdetails!$A:$D,4,0)</f>
        <v>STANDBY</v>
      </c>
      <c r="P1363" s="0" t="str">
        <f aca="false">VLOOKUP(F1363,equipment!$A:$E,4,0)</f>
        <v>CM403</v>
      </c>
      <c r="Q1363" s="0" t="str">
        <f aca="false">VLOOKUP(F1363,equipment!$A:$E,5,0)</f>
        <v>CM403 - 32</v>
      </c>
    </row>
    <row r="1364" customFormat="false" ht="12.8" hidden="false" customHeight="false" outlineLevel="0" collapsed="false">
      <c r="A1364" s="0" t="n">
        <v>467524</v>
      </c>
      <c r="B1364" s="0" t="n">
        <v>467524</v>
      </c>
      <c r="C1364" s="0" t="n">
        <v>3</v>
      </c>
      <c r="D1364" s="0" t="n">
        <v>12</v>
      </c>
      <c r="E1364" s="0" t="n">
        <v>1011</v>
      </c>
      <c r="F1364" s="0" t="n">
        <v>66</v>
      </c>
      <c r="G1364" s="0" t="n">
        <v>45</v>
      </c>
      <c r="H1364" s="1" t="s">
        <v>2677</v>
      </c>
      <c r="I1364" s="1" t="s">
        <v>2696</v>
      </c>
      <c r="J1364" s="9" t="n">
        <v>45905</v>
      </c>
      <c r="K1364" s="0" t="s">
        <v>2697</v>
      </c>
      <c r="L1364" s="0" t="n">
        <v>11</v>
      </c>
      <c r="M1364" s="10"/>
      <c r="N1364" s="10"/>
      <c r="O1364" s="0" t="str">
        <f aca="false">VLOOKUP(C1364,statusdetails!$A:$D,4,0)</f>
        <v>STANDBY</v>
      </c>
      <c r="P1364" s="0" t="str">
        <f aca="false">VLOOKUP(F1364,equipment!$A:$E,4,0)</f>
        <v>CM407</v>
      </c>
      <c r="Q1364" s="0" t="str">
        <f aca="false">VLOOKUP(F1364,equipment!$A:$E,5,0)</f>
        <v>CM407 - 66</v>
      </c>
    </row>
    <row r="1365" customFormat="false" ht="12.8" hidden="false" customHeight="false" outlineLevel="0" collapsed="false">
      <c r="A1365" s="0" t="n">
        <v>467525</v>
      </c>
      <c r="B1365" s="0" t="n">
        <v>467525</v>
      </c>
      <c r="C1365" s="0" t="n">
        <v>3</v>
      </c>
      <c r="D1365" s="0" t="n">
        <v>12</v>
      </c>
      <c r="E1365" s="0" t="n">
        <v>2402</v>
      </c>
      <c r="F1365" s="0" t="n">
        <v>96</v>
      </c>
      <c r="G1365" s="0" t="n">
        <v>89</v>
      </c>
      <c r="H1365" s="1" t="s">
        <v>2556</v>
      </c>
      <c r="I1365" s="1" t="s">
        <v>2698</v>
      </c>
      <c r="J1365" s="9" t="n">
        <v>45905</v>
      </c>
      <c r="K1365" s="0" t="s">
        <v>2699</v>
      </c>
      <c r="L1365" s="0" t="n">
        <v>12</v>
      </c>
      <c r="M1365" s="10"/>
      <c r="N1365" s="10"/>
      <c r="O1365" s="0" t="str">
        <f aca="false">VLOOKUP(C1365,statusdetails!$A:$D,4,0)</f>
        <v>STANDBY</v>
      </c>
      <c r="P1365" s="0" t="str">
        <f aca="false">VLOOKUP(F1365,equipment!$A:$E,4,0)</f>
        <v>EX503</v>
      </c>
      <c r="Q1365" s="0" t="str">
        <f aca="false">VLOOKUP(F1365,equipment!$A:$E,5,0)</f>
        <v>EX503 - 96</v>
      </c>
    </row>
    <row r="1366" customFormat="false" ht="12.8" hidden="false" customHeight="false" outlineLevel="0" collapsed="false">
      <c r="A1366" s="0" t="n">
        <v>467526</v>
      </c>
      <c r="B1366" s="0" t="n">
        <v>467526</v>
      </c>
      <c r="C1366" s="0" t="n">
        <v>3</v>
      </c>
      <c r="D1366" s="0" t="n">
        <v>12</v>
      </c>
      <c r="E1366" s="0" t="n">
        <v>1011</v>
      </c>
      <c r="F1366" s="0" t="n">
        <v>35</v>
      </c>
      <c r="G1366" s="0" t="n">
        <v>44</v>
      </c>
      <c r="H1366" s="1" t="s">
        <v>2538</v>
      </c>
      <c r="I1366" s="1" t="s">
        <v>2700</v>
      </c>
      <c r="J1366" s="9" t="n">
        <v>45905</v>
      </c>
      <c r="K1366" s="0" t="s">
        <v>2701</v>
      </c>
      <c r="L1366" s="0" t="n">
        <v>12</v>
      </c>
      <c r="M1366" s="10"/>
      <c r="N1366" s="10"/>
      <c r="O1366" s="0" t="str">
        <f aca="false">VLOOKUP(C1366,statusdetails!$A:$D,4,0)</f>
        <v>STANDBY</v>
      </c>
      <c r="P1366" s="0" t="str">
        <f aca="false">VLOOKUP(F1366,equipment!$A:$E,4,0)</f>
        <v>CM405</v>
      </c>
      <c r="Q1366" s="0" t="str">
        <f aca="false">VLOOKUP(F1366,equipment!$A:$E,5,0)</f>
        <v>CM405 - 35</v>
      </c>
    </row>
    <row r="1367" customFormat="false" ht="12.8" hidden="true" customHeight="false" outlineLevel="0" collapsed="false">
      <c r="A1367" s="0" t="n">
        <v>467527</v>
      </c>
      <c r="B1367" s="0" t="n">
        <v>467527</v>
      </c>
      <c r="C1367" s="0" t="n">
        <v>4</v>
      </c>
      <c r="D1367" s="0" t="n">
        <v>16</v>
      </c>
      <c r="E1367" s="0" t="n">
        <v>1042</v>
      </c>
      <c r="F1367" s="0" t="n">
        <v>47</v>
      </c>
      <c r="G1367" s="0" t="n">
        <v>103</v>
      </c>
      <c r="H1367" s="0" t="s">
        <v>2456</v>
      </c>
      <c r="I1367" s="0" t="s">
        <v>2702</v>
      </c>
      <c r="J1367" s="9" t="n">
        <v>45905</v>
      </c>
      <c r="K1367" s="0" t="s">
        <v>2703</v>
      </c>
      <c r="L1367" s="0" t="n">
        <v>12</v>
      </c>
      <c r="M1367" s="10"/>
      <c r="N1367" s="10"/>
      <c r="O1367" s="0" t="str">
        <f aca="false">VLOOKUP(C1367,statusdetails!$A:$D,4,0)</f>
        <v>MAINT</v>
      </c>
    </row>
    <row r="1368" customFormat="false" ht="12.8" hidden="true" customHeight="false" outlineLevel="0" collapsed="false">
      <c r="A1368" s="0" t="n">
        <v>467528</v>
      </c>
      <c r="B1368" s="0" t="n">
        <v>467528</v>
      </c>
      <c r="C1368" s="0" t="n">
        <v>4</v>
      </c>
      <c r="D1368" s="0" t="n">
        <v>15</v>
      </c>
      <c r="E1368" s="0" t="n">
        <v>2396</v>
      </c>
      <c r="F1368" s="0" t="n">
        <v>96</v>
      </c>
      <c r="G1368" s="0" t="n">
        <v>89</v>
      </c>
      <c r="H1368" s="0" t="s">
        <v>2698</v>
      </c>
      <c r="I1368" s="0" t="s">
        <v>2704</v>
      </c>
      <c r="J1368" s="9" t="n">
        <v>45905</v>
      </c>
      <c r="K1368" s="0" t="s">
        <v>2705</v>
      </c>
      <c r="L1368" s="0" t="n">
        <v>12</v>
      </c>
      <c r="M1368" s="10"/>
      <c r="N1368" s="10"/>
      <c r="O1368" s="0" t="str">
        <f aca="false">VLOOKUP(C1368,statusdetails!$A:$D,4,0)</f>
        <v>MAINT</v>
      </c>
    </row>
    <row r="1369" customFormat="false" ht="12.8" hidden="true" customHeight="false" outlineLevel="0" collapsed="false">
      <c r="A1369" s="0" t="n">
        <v>467529</v>
      </c>
      <c r="B1369" s="0" t="n">
        <v>467529</v>
      </c>
      <c r="C1369" s="0" t="n">
        <v>1</v>
      </c>
      <c r="D1369" s="0" t="n">
        <v>6</v>
      </c>
      <c r="E1369" s="0" t="n">
        <v>260</v>
      </c>
      <c r="F1369" s="0" t="n">
        <v>35</v>
      </c>
      <c r="G1369" s="0" t="n">
        <v>44</v>
      </c>
      <c r="H1369" s="0" t="s">
        <v>2700</v>
      </c>
      <c r="I1369" s="0" t="s">
        <v>2706</v>
      </c>
      <c r="J1369" s="9" t="n">
        <v>45905</v>
      </c>
      <c r="K1369" s="0" t="s">
        <v>2707</v>
      </c>
      <c r="L1369" s="0" t="n">
        <v>12</v>
      </c>
      <c r="M1369" s="10"/>
      <c r="N1369" s="10"/>
      <c r="O1369" s="0" t="str">
        <f aca="false">VLOOKUP(C1369,statusdetails!$A:$D,4,0)</f>
        <v>READY</v>
      </c>
    </row>
    <row r="1370" customFormat="false" ht="12.8" hidden="true" customHeight="false" outlineLevel="0" collapsed="false">
      <c r="A1370" s="0" t="n">
        <v>467530</v>
      </c>
      <c r="B1370" s="0" t="n">
        <v>467530</v>
      </c>
      <c r="C1370" s="0" t="n">
        <v>1</v>
      </c>
      <c r="D1370" s="0" t="n">
        <v>6</v>
      </c>
      <c r="E1370" s="0" t="n">
        <v>138</v>
      </c>
      <c r="F1370" s="0" t="n">
        <v>45</v>
      </c>
      <c r="G1370" s="0" t="n">
        <v>156</v>
      </c>
      <c r="H1370" s="0" t="s">
        <v>2692</v>
      </c>
      <c r="I1370" s="0" t="s">
        <v>2708</v>
      </c>
      <c r="J1370" s="9" t="n">
        <v>45905</v>
      </c>
      <c r="K1370" s="0" t="s">
        <v>2709</v>
      </c>
      <c r="L1370" s="0" t="n">
        <v>12</v>
      </c>
      <c r="M1370" s="10"/>
      <c r="N1370" s="10"/>
      <c r="O1370" s="0" t="str">
        <f aca="false">VLOOKUP(C1370,statusdetails!$A:$D,4,0)</f>
        <v>READY</v>
      </c>
    </row>
    <row r="1371" customFormat="false" ht="12.8" hidden="true" customHeight="false" outlineLevel="0" collapsed="false">
      <c r="A1371" s="0" t="n">
        <v>467531</v>
      </c>
      <c r="B1371" s="0" t="n">
        <v>467531</v>
      </c>
      <c r="C1371" s="0" t="n">
        <v>1</v>
      </c>
      <c r="D1371" s="0" t="n">
        <v>6</v>
      </c>
      <c r="E1371" s="0" t="n">
        <v>260</v>
      </c>
      <c r="F1371" s="0" t="n">
        <v>32</v>
      </c>
      <c r="G1371" s="0" t="n">
        <v>23</v>
      </c>
      <c r="H1371" s="0" t="s">
        <v>2694</v>
      </c>
      <c r="I1371" s="0" t="s">
        <v>2710</v>
      </c>
      <c r="J1371" s="9" t="n">
        <v>45905</v>
      </c>
      <c r="K1371" s="0" t="s">
        <v>2711</v>
      </c>
      <c r="L1371" s="0" t="n">
        <v>13</v>
      </c>
      <c r="M1371" s="10"/>
      <c r="N1371" s="10"/>
      <c r="O1371" s="0" t="str">
        <f aca="false">VLOOKUP(C1371,statusdetails!$A:$D,4,0)</f>
        <v>READY</v>
      </c>
    </row>
    <row r="1372" customFormat="false" ht="12.8" hidden="true" customHeight="false" outlineLevel="0" collapsed="false">
      <c r="A1372" s="0" t="n">
        <v>467532</v>
      </c>
      <c r="B1372" s="0" t="n">
        <v>467532</v>
      </c>
      <c r="C1372" s="0" t="n">
        <v>1</v>
      </c>
      <c r="D1372" s="0" t="n">
        <v>6</v>
      </c>
      <c r="E1372" s="0" t="n">
        <v>260</v>
      </c>
      <c r="F1372" s="0" t="n">
        <v>66</v>
      </c>
      <c r="G1372" s="0" t="n">
        <v>45</v>
      </c>
      <c r="H1372" s="0" t="s">
        <v>2696</v>
      </c>
      <c r="I1372" s="0" t="s">
        <v>2712</v>
      </c>
      <c r="J1372" s="9" t="n">
        <v>45905</v>
      </c>
      <c r="K1372" s="0" t="s">
        <v>2713</v>
      </c>
      <c r="L1372" s="0" t="n">
        <v>13</v>
      </c>
      <c r="M1372" s="10"/>
      <c r="N1372" s="10"/>
      <c r="O1372" s="0" t="str">
        <f aca="false">VLOOKUP(C1372,statusdetails!$A:$D,4,0)</f>
        <v>READY</v>
      </c>
    </row>
    <row r="1373" customFormat="false" ht="12.8" hidden="false" customHeight="false" outlineLevel="0" collapsed="false">
      <c r="A1373" s="0" t="n">
        <v>467533</v>
      </c>
      <c r="B1373" s="0" t="n">
        <v>467533</v>
      </c>
      <c r="C1373" s="0" t="n">
        <v>3</v>
      </c>
      <c r="D1373" s="0" t="n">
        <v>14</v>
      </c>
      <c r="E1373" s="0" t="n">
        <v>1137</v>
      </c>
      <c r="F1373" s="0" t="n">
        <v>37</v>
      </c>
      <c r="G1373" s="0" t="n">
        <v>0</v>
      </c>
      <c r="H1373" s="1" t="s">
        <v>2690</v>
      </c>
      <c r="I1373" s="1" t="s">
        <v>2714</v>
      </c>
      <c r="J1373" s="9" t="n">
        <v>45905</v>
      </c>
      <c r="K1373" s="0" t="s">
        <v>2715</v>
      </c>
      <c r="L1373" s="0" t="n">
        <v>13</v>
      </c>
      <c r="M1373" s="10"/>
      <c r="N1373" s="10"/>
      <c r="O1373" s="0" t="str">
        <f aca="false">VLOOKUP(C1373,statusdetails!$A:$D,4,0)</f>
        <v>STANDBY</v>
      </c>
      <c r="P1373" s="0" t="str">
        <f aca="false">VLOOKUP(F1373,equipment!$A:$E,4,0)</f>
        <v>DZ201</v>
      </c>
      <c r="Q1373" s="0" t="str">
        <f aca="false">VLOOKUP(F1373,equipment!$A:$E,5,0)</f>
        <v>DZ201 - 37</v>
      </c>
    </row>
    <row r="1374" customFormat="false" ht="12.8" hidden="false" customHeight="false" outlineLevel="0" collapsed="false">
      <c r="A1374" s="0" t="n">
        <v>467534</v>
      </c>
      <c r="B1374" s="0" t="n">
        <v>467534</v>
      </c>
      <c r="C1374" s="0" t="n">
        <v>3</v>
      </c>
      <c r="D1374" s="0" t="n">
        <v>12</v>
      </c>
      <c r="E1374" s="0" t="n">
        <v>1175</v>
      </c>
      <c r="F1374" s="0" t="n">
        <v>74</v>
      </c>
      <c r="G1374" s="0" t="n">
        <v>42</v>
      </c>
      <c r="H1374" s="1" t="s">
        <v>2534</v>
      </c>
      <c r="I1374" s="1" t="s">
        <v>2716</v>
      </c>
      <c r="J1374" s="9" t="n">
        <v>45905</v>
      </c>
      <c r="K1374" s="0" t="s">
        <v>2717</v>
      </c>
      <c r="L1374" s="0" t="n">
        <v>13</v>
      </c>
      <c r="M1374" s="10"/>
      <c r="N1374" s="10"/>
      <c r="O1374" s="0" t="str">
        <f aca="false">VLOOKUP(C1374,statusdetails!$A:$D,4,0)</f>
        <v>STANDBY</v>
      </c>
      <c r="P1374" s="0" t="str">
        <f aca="false">VLOOKUP(F1374,equipment!$A:$E,4,0)</f>
        <v>CR701</v>
      </c>
      <c r="Q1374" s="0" t="str">
        <f aca="false">VLOOKUP(F1374,equipment!$A:$E,5,0)</f>
        <v>CR701 - 74</v>
      </c>
    </row>
    <row r="1375" customFormat="false" ht="12.8" hidden="false" customHeight="false" outlineLevel="0" collapsed="false">
      <c r="A1375" s="0" t="n">
        <v>467535</v>
      </c>
      <c r="B1375" s="0" t="n">
        <v>467535</v>
      </c>
      <c r="C1375" s="0" t="n">
        <v>3</v>
      </c>
      <c r="D1375" s="0" t="n">
        <v>12</v>
      </c>
      <c r="E1375" s="0" t="n">
        <v>1175</v>
      </c>
      <c r="F1375" s="0" t="n">
        <v>49</v>
      </c>
      <c r="G1375" s="0" t="n">
        <v>0</v>
      </c>
      <c r="H1375" s="1" t="s">
        <v>2667</v>
      </c>
      <c r="I1375" s="1" t="s">
        <v>2718</v>
      </c>
      <c r="J1375" s="9" t="n">
        <v>45905</v>
      </c>
      <c r="K1375" s="0" t="s">
        <v>2719</v>
      </c>
      <c r="L1375" s="0" t="n">
        <v>13</v>
      </c>
      <c r="M1375" s="10"/>
      <c r="N1375" s="10"/>
      <c r="O1375" s="0" t="str">
        <f aca="false">VLOOKUP(C1375,statusdetails!$A:$D,4,0)</f>
        <v>STANDBY</v>
      </c>
      <c r="P1375" s="0" t="str">
        <f aca="false">VLOOKUP(F1375,equipment!$A:$E,4,0)</f>
        <v>CR702</v>
      </c>
      <c r="Q1375" s="0" t="str">
        <f aca="false">VLOOKUP(F1375,equipment!$A:$E,5,0)</f>
        <v>CR702 - 49</v>
      </c>
    </row>
    <row r="1376" customFormat="false" ht="12.8" hidden="true" customHeight="false" outlineLevel="0" collapsed="false">
      <c r="A1376" s="0" t="n">
        <v>467536</v>
      </c>
      <c r="B1376" s="0" t="n">
        <v>467536</v>
      </c>
      <c r="C1376" s="0" t="n">
        <v>4</v>
      </c>
      <c r="D1376" s="0" t="n">
        <v>16</v>
      </c>
      <c r="E1376" s="0" t="n">
        <v>2535</v>
      </c>
      <c r="F1376" s="0" t="n">
        <v>89</v>
      </c>
      <c r="G1376" s="0" t="n">
        <v>153</v>
      </c>
      <c r="H1376" s="0" t="s">
        <v>2637</v>
      </c>
      <c r="I1376" s="0" t="s">
        <v>2720</v>
      </c>
      <c r="J1376" s="9" t="n">
        <v>45905</v>
      </c>
      <c r="K1376" s="0" t="s">
        <v>2721</v>
      </c>
      <c r="L1376" s="0" t="n">
        <v>13</v>
      </c>
      <c r="M1376" s="10"/>
      <c r="N1376" s="10"/>
      <c r="O1376" s="0" t="str">
        <f aca="false">VLOOKUP(C1376,statusdetails!$A:$D,4,0)</f>
        <v>MAINT</v>
      </c>
    </row>
    <row r="1377" customFormat="false" ht="12.8" hidden="true" customHeight="false" outlineLevel="0" collapsed="false">
      <c r="A1377" s="0" t="n">
        <v>467537</v>
      </c>
      <c r="B1377" s="0" t="n">
        <v>467537</v>
      </c>
      <c r="C1377" s="0" t="n">
        <v>1</v>
      </c>
      <c r="D1377" s="0" t="n">
        <v>2303</v>
      </c>
      <c r="E1377" s="0" t="n">
        <v>2517</v>
      </c>
      <c r="F1377" s="0" t="n">
        <v>96</v>
      </c>
      <c r="G1377" s="0" t="n">
        <v>89</v>
      </c>
      <c r="H1377" s="0" t="s">
        <v>2704</v>
      </c>
      <c r="I1377" s="0" t="s">
        <v>2722</v>
      </c>
      <c r="J1377" s="9" t="n">
        <v>45905</v>
      </c>
      <c r="K1377" s="0" t="s">
        <v>2723</v>
      </c>
      <c r="L1377" s="0" t="n">
        <v>13</v>
      </c>
      <c r="M1377" s="10"/>
      <c r="N1377" s="10"/>
      <c r="O1377" s="0" t="str">
        <f aca="false">VLOOKUP(C1377,statusdetails!$A:$D,4,0)</f>
        <v>READY</v>
      </c>
    </row>
    <row r="1378" customFormat="false" ht="12.8" hidden="true" customHeight="false" outlineLevel="0" collapsed="false">
      <c r="H1378" s="0"/>
      <c r="I1378" s="0"/>
      <c r="J1378" s="9"/>
    </row>
    <row r="1379" customFormat="false" ht="12.8" hidden="true" customHeight="false" outlineLevel="0" collapsed="false">
      <c r="A1379" s="0" t="n">
        <v>467539</v>
      </c>
      <c r="B1379" s="0" t="n">
        <v>467539</v>
      </c>
      <c r="C1379" s="0" t="n">
        <v>1</v>
      </c>
      <c r="D1379" s="0" t="n">
        <v>6</v>
      </c>
      <c r="E1379" s="0" t="n">
        <v>2518</v>
      </c>
      <c r="F1379" s="0" t="n">
        <v>96</v>
      </c>
      <c r="G1379" s="0" t="n">
        <v>89</v>
      </c>
      <c r="H1379" s="0" t="s">
        <v>2722</v>
      </c>
      <c r="I1379" s="0" t="s">
        <v>2724</v>
      </c>
      <c r="J1379" s="9" t="n">
        <v>45905</v>
      </c>
      <c r="K1379" s="0" t="s">
        <v>2725</v>
      </c>
      <c r="L1379" s="0" t="n">
        <v>13</v>
      </c>
      <c r="M1379" s="10"/>
      <c r="N1379" s="10"/>
      <c r="O1379" s="0" t="str">
        <f aca="false">VLOOKUP(C1379,statusdetails!$A:$D,4,0)</f>
        <v>READY</v>
      </c>
    </row>
    <row r="1380" customFormat="false" ht="12.8" hidden="true" customHeight="false" outlineLevel="0" collapsed="false">
      <c r="A1380" s="0" t="n">
        <v>467540</v>
      </c>
      <c r="B1380" s="0" t="n">
        <v>467540</v>
      </c>
      <c r="C1380" s="0" t="n">
        <v>1</v>
      </c>
      <c r="D1380" s="0" t="n">
        <v>6</v>
      </c>
      <c r="E1380" s="0" t="n">
        <v>811</v>
      </c>
      <c r="F1380" s="0" t="n">
        <v>42</v>
      </c>
      <c r="G1380" s="0" t="n">
        <v>83</v>
      </c>
      <c r="H1380" s="0" t="s">
        <v>2726</v>
      </c>
      <c r="I1380" s="0" t="s">
        <v>2727</v>
      </c>
      <c r="J1380" s="9" t="n">
        <v>45905</v>
      </c>
      <c r="K1380" s="0" t="s">
        <v>2728</v>
      </c>
      <c r="L1380" s="0" t="n">
        <v>13</v>
      </c>
      <c r="M1380" s="10"/>
      <c r="N1380" s="10"/>
      <c r="O1380" s="0" t="str">
        <f aca="false">VLOOKUP(C1380,statusdetails!$A:$D,4,0)</f>
        <v>READY</v>
      </c>
    </row>
    <row r="1381" customFormat="false" ht="12.8" hidden="true" customHeight="false" outlineLevel="0" collapsed="false">
      <c r="A1381" s="0" t="n">
        <v>467541</v>
      </c>
      <c r="B1381" s="0" t="n">
        <v>467541</v>
      </c>
      <c r="C1381" s="0" t="n">
        <v>1</v>
      </c>
      <c r="D1381" s="0" t="n">
        <v>6</v>
      </c>
      <c r="E1381" s="0" t="n">
        <v>260</v>
      </c>
      <c r="F1381" s="0" t="n">
        <v>33</v>
      </c>
      <c r="G1381" s="0" t="n">
        <v>0</v>
      </c>
      <c r="H1381" s="0" t="s">
        <v>2688</v>
      </c>
      <c r="I1381" s="0" t="s">
        <v>2729</v>
      </c>
      <c r="J1381" s="9" t="n">
        <v>45905</v>
      </c>
      <c r="K1381" s="0" t="s">
        <v>2730</v>
      </c>
      <c r="L1381" s="0" t="n">
        <v>13</v>
      </c>
      <c r="M1381" s="10"/>
      <c r="N1381" s="10"/>
      <c r="O1381" s="0" t="str">
        <f aca="false">VLOOKUP(C1381,statusdetails!$A:$D,4,0)</f>
        <v>READY</v>
      </c>
    </row>
    <row r="1382" customFormat="false" ht="12.8" hidden="true" customHeight="false" outlineLevel="0" collapsed="false">
      <c r="A1382" s="0" t="n">
        <v>467542</v>
      </c>
      <c r="B1382" s="0" t="n">
        <v>467542</v>
      </c>
      <c r="C1382" s="0" t="n">
        <v>1</v>
      </c>
      <c r="D1382" s="0" t="n">
        <v>6</v>
      </c>
      <c r="E1382" s="0" t="n">
        <v>1040</v>
      </c>
      <c r="F1382" s="0" t="n">
        <v>47</v>
      </c>
      <c r="G1382" s="0" t="n">
        <v>103</v>
      </c>
      <c r="H1382" s="0" t="s">
        <v>2702</v>
      </c>
      <c r="I1382" s="0" t="s">
        <v>2731</v>
      </c>
      <c r="J1382" s="9" t="n">
        <v>45905</v>
      </c>
      <c r="K1382" s="0" t="s">
        <v>2732</v>
      </c>
      <c r="L1382" s="0" t="n">
        <v>13</v>
      </c>
      <c r="M1382" s="10"/>
      <c r="N1382" s="10"/>
      <c r="O1382" s="0" t="str">
        <f aca="false">VLOOKUP(C1382,statusdetails!$A:$D,4,0)</f>
        <v>READY</v>
      </c>
    </row>
    <row r="1383" customFormat="false" ht="12.8" hidden="true" customHeight="false" outlineLevel="0" collapsed="false">
      <c r="A1383" s="0" t="n">
        <v>467543</v>
      </c>
      <c r="B1383" s="0" t="n">
        <v>467543</v>
      </c>
      <c r="C1383" s="0" t="n">
        <v>1</v>
      </c>
      <c r="D1383" s="0" t="n">
        <v>2303</v>
      </c>
      <c r="E1383" s="0" t="n">
        <v>1541</v>
      </c>
      <c r="F1383" s="0" t="n">
        <v>37</v>
      </c>
      <c r="G1383" s="0" t="n">
        <v>44</v>
      </c>
      <c r="H1383" s="0" t="s">
        <v>2714</v>
      </c>
      <c r="I1383" s="0" t="s">
        <v>2733</v>
      </c>
      <c r="J1383" s="9" t="n">
        <v>45905</v>
      </c>
      <c r="K1383" s="0" t="s">
        <v>2734</v>
      </c>
      <c r="L1383" s="0" t="n">
        <v>14</v>
      </c>
      <c r="M1383" s="10"/>
      <c r="N1383" s="10"/>
      <c r="O1383" s="0" t="str">
        <f aca="false">VLOOKUP(C1383,statusdetails!$A:$D,4,0)</f>
        <v>READY</v>
      </c>
    </row>
    <row r="1384" customFormat="false" ht="12.8" hidden="true" customHeight="false" outlineLevel="0" collapsed="false">
      <c r="A1384" s="0" t="n">
        <v>467544</v>
      </c>
      <c r="B1384" s="0" t="n">
        <v>467544</v>
      </c>
      <c r="C1384" s="0" t="n">
        <v>1</v>
      </c>
      <c r="D1384" s="0" t="n">
        <v>6</v>
      </c>
      <c r="E1384" s="0" t="n">
        <v>586</v>
      </c>
      <c r="F1384" s="0" t="n">
        <v>41</v>
      </c>
      <c r="G1384" s="0" t="n">
        <v>118</v>
      </c>
      <c r="H1384" s="0" t="s">
        <v>2665</v>
      </c>
      <c r="I1384" s="0" t="s">
        <v>2735</v>
      </c>
      <c r="J1384" s="9" t="n">
        <v>45905</v>
      </c>
      <c r="K1384" s="0" t="s">
        <v>2736</v>
      </c>
      <c r="L1384" s="0" t="n">
        <v>14</v>
      </c>
      <c r="M1384" s="10"/>
      <c r="N1384" s="10"/>
      <c r="O1384" s="0" t="str">
        <f aca="false">VLOOKUP(C1384,statusdetails!$A:$D,4,0)</f>
        <v>READY</v>
      </c>
    </row>
    <row r="1385" customFormat="false" ht="12.8" hidden="true" customHeight="false" outlineLevel="0" collapsed="false">
      <c r="A1385" s="0" t="n">
        <v>467545</v>
      </c>
      <c r="B1385" s="0" t="n">
        <v>467545</v>
      </c>
      <c r="C1385" s="0" t="n">
        <v>1</v>
      </c>
      <c r="D1385" s="0" t="n">
        <v>6</v>
      </c>
      <c r="E1385" s="0" t="n">
        <v>2404</v>
      </c>
      <c r="F1385" s="0" t="n">
        <v>89</v>
      </c>
      <c r="G1385" s="0" t="n">
        <v>0</v>
      </c>
      <c r="H1385" s="0" t="s">
        <v>2720</v>
      </c>
      <c r="I1385" s="0" t="s">
        <v>2737</v>
      </c>
      <c r="J1385" s="9" t="n">
        <v>45905</v>
      </c>
      <c r="K1385" s="0" t="s">
        <v>2738</v>
      </c>
      <c r="L1385" s="0" t="n">
        <v>14</v>
      </c>
      <c r="M1385" s="10"/>
      <c r="N1385" s="10"/>
      <c r="O1385" s="0" t="str">
        <f aca="false">VLOOKUP(C1385,statusdetails!$A:$D,4,0)</f>
        <v>READY</v>
      </c>
    </row>
    <row r="1386" customFormat="false" ht="12.8" hidden="false" customHeight="false" outlineLevel="0" collapsed="false">
      <c r="A1386" s="0" t="n">
        <v>467546</v>
      </c>
      <c r="B1386" s="0" t="n">
        <v>467546</v>
      </c>
      <c r="C1386" s="0" t="n">
        <v>3</v>
      </c>
      <c r="D1386" s="0" t="n">
        <v>14</v>
      </c>
      <c r="E1386" s="0" t="n">
        <v>1157</v>
      </c>
      <c r="F1386" s="0" t="n">
        <v>37</v>
      </c>
      <c r="G1386" s="0" t="n">
        <v>44</v>
      </c>
      <c r="H1386" s="1" t="s">
        <v>2733</v>
      </c>
      <c r="I1386" s="1" t="s">
        <v>2739</v>
      </c>
      <c r="J1386" s="9" t="n">
        <v>45905</v>
      </c>
      <c r="K1386" s="0" t="s">
        <v>2740</v>
      </c>
      <c r="L1386" s="0" t="n">
        <v>14</v>
      </c>
      <c r="M1386" s="10"/>
      <c r="N1386" s="10"/>
      <c r="O1386" s="0" t="str">
        <f aca="false">VLOOKUP(C1386,statusdetails!$A:$D,4,0)</f>
        <v>STANDBY</v>
      </c>
      <c r="P1386" s="0" t="str">
        <f aca="false">VLOOKUP(F1386,equipment!$A:$E,4,0)</f>
        <v>DZ201</v>
      </c>
      <c r="Q1386" s="0" t="str">
        <f aca="false">VLOOKUP(F1386,equipment!$A:$E,5,0)</f>
        <v>DZ201 - 37</v>
      </c>
    </row>
    <row r="1387" customFormat="false" ht="12.8" hidden="false" customHeight="false" outlineLevel="0" collapsed="false">
      <c r="A1387" s="0" t="n">
        <v>467547</v>
      </c>
      <c r="B1387" s="0" t="n">
        <v>467547</v>
      </c>
      <c r="C1387" s="0" t="n">
        <v>3</v>
      </c>
      <c r="D1387" s="0" t="n">
        <v>14</v>
      </c>
      <c r="E1387" s="0" t="n">
        <v>1162</v>
      </c>
      <c r="F1387" s="0" t="n">
        <v>66</v>
      </c>
      <c r="G1387" s="0" t="n">
        <v>45</v>
      </c>
      <c r="H1387" s="1" t="s">
        <v>2712</v>
      </c>
      <c r="I1387" s="1" t="s">
        <v>2741</v>
      </c>
      <c r="J1387" s="9" t="n">
        <v>45905</v>
      </c>
      <c r="K1387" s="0" t="s">
        <v>2742</v>
      </c>
      <c r="L1387" s="0" t="n">
        <v>15</v>
      </c>
      <c r="M1387" s="10"/>
      <c r="N1387" s="10"/>
      <c r="O1387" s="0" t="str">
        <f aca="false">VLOOKUP(C1387,statusdetails!$A:$D,4,0)</f>
        <v>STANDBY</v>
      </c>
      <c r="P1387" s="0" t="str">
        <f aca="false">VLOOKUP(F1387,equipment!$A:$E,4,0)</f>
        <v>CM407</v>
      </c>
      <c r="Q1387" s="0" t="str">
        <f aca="false">VLOOKUP(F1387,equipment!$A:$E,5,0)</f>
        <v>CM407 - 66</v>
      </c>
    </row>
    <row r="1388" customFormat="false" ht="12.8" hidden="true" customHeight="false" outlineLevel="0" collapsed="false">
      <c r="A1388" s="0" t="n">
        <v>467548</v>
      </c>
      <c r="B1388" s="0" t="n">
        <v>467548</v>
      </c>
      <c r="C1388" s="0" t="n">
        <v>1</v>
      </c>
      <c r="D1388" s="0" t="n">
        <v>2303</v>
      </c>
      <c r="E1388" s="0" t="n">
        <v>1541</v>
      </c>
      <c r="F1388" s="0" t="n">
        <v>37</v>
      </c>
      <c r="G1388" s="0" t="n">
        <v>44</v>
      </c>
      <c r="H1388" s="0" t="s">
        <v>2739</v>
      </c>
      <c r="I1388" s="0" t="s">
        <v>2743</v>
      </c>
      <c r="J1388" s="9" t="n">
        <v>45905</v>
      </c>
      <c r="K1388" s="0" t="s">
        <v>2744</v>
      </c>
      <c r="L1388" s="0" t="n">
        <v>15</v>
      </c>
      <c r="M1388" s="10"/>
      <c r="N1388" s="10"/>
      <c r="O1388" s="0" t="str">
        <f aca="false">VLOOKUP(C1388,statusdetails!$A:$D,4,0)</f>
        <v>READY</v>
      </c>
    </row>
    <row r="1389" customFormat="false" ht="12.8" hidden="true" customHeight="false" outlineLevel="0" collapsed="false">
      <c r="A1389" s="0" t="n">
        <v>467549</v>
      </c>
      <c r="B1389" s="0" t="n">
        <v>467549</v>
      </c>
      <c r="C1389" s="0" t="n">
        <v>1</v>
      </c>
      <c r="D1389" s="0" t="n">
        <v>6</v>
      </c>
      <c r="E1389" s="0" t="n">
        <v>260</v>
      </c>
      <c r="F1389" s="0" t="n">
        <v>66</v>
      </c>
      <c r="G1389" s="0" t="n">
        <v>45</v>
      </c>
      <c r="H1389" s="0" t="s">
        <v>2741</v>
      </c>
      <c r="I1389" s="0" t="s">
        <v>2745</v>
      </c>
      <c r="J1389" s="9" t="n">
        <v>45905</v>
      </c>
      <c r="K1389" s="0" t="s">
        <v>2746</v>
      </c>
      <c r="L1389" s="0" t="n">
        <v>15</v>
      </c>
      <c r="M1389" s="10"/>
      <c r="N1389" s="10"/>
      <c r="O1389" s="0" t="str">
        <f aca="false">VLOOKUP(C1389,statusdetails!$A:$D,4,0)</f>
        <v>READY</v>
      </c>
    </row>
    <row r="1390" customFormat="false" ht="12.8" hidden="false" customHeight="false" outlineLevel="0" collapsed="false">
      <c r="A1390" s="0" t="n">
        <v>467550</v>
      </c>
      <c r="B1390" s="0" t="n">
        <v>467550</v>
      </c>
      <c r="C1390" s="0" t="n">
        <v>3</v>
      </c>
      <c r="D1390" s="0" t="n">
        <v>12</v>
      </c>
      <c r="E1390" s="0" t="n">
        <v>1012</v>
      </c>
      <c r="F1390" s="0" t="n">
        <v>42</v>
      </c>
      <c r="G1390" s="0" t="n">
        <v>36</v>
      </c>
      <c r="H1390" s="1" t="s">
        <v>2727</v>
      </c>
      <c r="I1390" s="1" t="s">
        <v>2747</v>
      </c>
      <c r="J1390" s="9" t="n">
        <v>45905</v>
      </c>
      <c r="K1390" s="0" t="s">
        <v>2748</v>
      </c>
      <c r="L1390" s="0" t="n">
        <v>15</v>
      </c>
      <c r="M1390" s="10"/>
      <c r="N1390" s="10"/>
      <c r="O1390" s="0" t="str">
        <f aca="false">VLOOKUP(C1390,statusdetails!$A:$D,4,0)</f>
        <v>STANDBY</v>
      </c>
      <c r="P1390" s="0" t="str">
        <f aca="false">VLOOKUP(F1390,equipment!$A:$E,4,0)</f>
        <v>PE301</v>
      </c>
      <c r="Q1390" s="0" t="str">
        <f aca="false">VLOOKUP(F1390,equipment!$A:$E,5,0)</f>
        <v>PE301 - 42</v>
      </c>
    </row>
    <row r="1391" customFormat="false" ht="12.8" hidden="false" customHeight="false" outlineLevel="0" collapsed="false">
      <c r="A1391" s="0" t="n">
        <v>467551</v>
      </c>
      <c r="B1391" s="0" t="n">
        <v>467551</v>
      </c>
      <c r="C1391" s="0" t="n">
        <v>3</v>
      </c>
      <c r="D1391" s="0" t="n">
        <v>14</v>
      </c>
      <c r="E1391" s="0" t="n">
        <v>1162</v>
      </c>
      <c r="F1391" s="0" t="n">
        <v>35</v>
      </c>
      <c r="G1391" s="0" t="n">
        <v>15</v>
      </c>
      <c r="H1391" s="1" t="s">
        <v>2706</v>
      </c>
      <c r="I1391" s="1" t="s">
        <v>2749</v>
      </c>
      <c r="J1391" s="9" t="n">
        <v>45905</v>
      </c>
      <c r="K1391" s="0" t="s">
        <v>2750</v>
      </c>
      <c r="L1391" s="0" t="n">
        <v>15</v>
      </c>
      <c r="M1391" s="10"/>
      <c r="N1391" s="10"/>
      <c r="O1391" s="0" t="str">
        <f aca="false">VLOOKUP(C1391,statusdetails!$A:$D,4,0)</f>
        <v>STANDBY</v>
      </c>
      <c r="P1391" s="0" t="str">
        <f aca="false">VLOOKUP(F1391,equipment!$A:$E,4,0)</f>
        <v>CM405</v>
      </c>
      <c r="Q1391" s="0" t="str">
        <f aca="false">VLOOKUP(F1391,equipment!$A:$E,5,0)</f>
        <v>CM405 - 35</v>
      </c>
    </row>
    <row r="1392" customFormat="false" ht="12.8" hidden="true" customHeight="false" outlineLevel="0" collapsed="false">
      <c r="A1392" s="0" t="n">
        <v>467552</v>
      </c>
      <c r="B1392" s="0" t="n">
        <v>467552</v>
      </c>
      <c r="C1392" s="0" t="n">
        <v>1</v>
      </c>
      <c r="D1392" s="0" t="n">
        <v>6</v>
      </c>
      <c r="E1392" s="0" t="n">
        <v>260</v>
      </c>
      <c r="F1392" s="0" t="n">
        <v>35</v>
      </c>
      <c r="G1392" s="0" t="n">
        <v>15</v>
      </c>
      <c r="H1392" s="0" t="s">
        <v>2749</v>
      </c>
      <c r="I1392" s="0" t="s">
        <v>2751</v>
      </c>
      <c r="J1392" s="9" t="n">
        <v>45905</v>
      </c>
      <c r="K1392" s="0" t="s">
        <v>2752</v>
      </c>
      <c r="L1392" s="0" t="n">
        <v>15</v>
      </c>
      <c r="M1392" s="10"/>
      <c r="N1392" s="10"/>
      <c r="O1392" s="0" t="str">
        <f aca="false">VLOOKUP(C1392,statusdetails!$A:$D,4,0)</f>
        <v>READY</v>
      </c>
    </row>
    <row r="1393" customFormat="false" ht="12.8" hidden="true" customHeight="false" outlineLevel="0" collapsed="false">
      <c r="A1393" s="0" t="n">
        <v>467553</v>
      </c>
      <c r="B1393" s="0" t="n">
        <v>467553</v>
      </c>
      <c r="C1393" s="0" t="n">
        <v>4</v>
      </c>
      <c r="D1393" s="0" t="n">
        <v>16</v>
      </c>
      <c r="E1393" s="0" t="n">
        <v>921</v>
      </c>
      <c r="F1393" s="0" t="n">
        <v>42</v>
      </c>
      <c r="G1393" s="0" t="n">
        <v>0</v>
      </c>
      <c r="H1393" s="0" t="s">
        <v>2747</v>
      </c>
      <c r="I1393" s="0" t="s">
        <v>2753</v>
      </c>
      <c r="J1393" s="9" t="n">
        <v>45905</v>
      </c>
      <c r="K1393" s="0" t="s">
        <v>2754</v>
      </c>
      <c r="L1393" s="0" t="n">
        <v>15</v>
      </c>
      <c r="M1393" s="10"/>
      <c r="N1393" s="10"/>
      <c r="O1393" s="0" t="str">
        <f aca="false">VLOOKUP(C1393,statusdetails!$A:$D,4,0)</f>
        <v>MAINT</v>
      </c>
    </row>
    <row r="1394" customFormat="false" ht="12.8" hidden="false" customHeight="false" outlineLevel="0" collapsed="false">
      <c r="A1394" s="0" t="n">
        <v>467554</v>
      </c>
      <c r="B1394" s="0" t="n">
        <v>467554</v>
      </c>
      <c r="C1394" s="0" t="n">
        <v>3</v>
      </c>
      <c r="D1394" s="0" t="n">
        <v>14</v>
      </c>
      <c r="E1394" s="0" t="n">
        <v>2503</v>
      </c>
      <c r="F1394" s="0" t="n">
        <v>86</v>
      </c>
      <c r="G1394" s="0" t="n">
        <v>151</v>
      </c>
      <c r="H1394" s="1" t="s">
        <v>2663</v>
      </c>
      <c r="I1394" s="1" t="s">
        <v>2755</v>
      </c>
      <c r="J1394" s="9" t="n">
        <v>45905</v>
      </c>
      <c r="K1394" s="0" t="s">
        <v>2756</v>
      </c>
      <c r="L1394" s="0" t="n">
        <v>15</v>
      </c>
      <c r="M1394" s="10"/>
      <c r="N1394" s="10"/>
      <c r="O1394" s="0" t="str">
        <f aca="false">VLOOKUP(C1394,statusdetails!$A:$D,4,0)</f>
        <v>STANDBY</v>
      </c>
      <c r="P1394" s="0" t="str">
        <f aca="false">VLOOKUP(F1394,equipment!$A:$E,4,0)</f>
        <v>CM03</v>
      </c>
      <c r="Q1394" s="0" t="str">
        <f aca="false">VLOOKUP(F1394,equipment!$A:$E,5,0)</f>
        <v>CM03 - 86</v>
      </c>
    </row>
    <row r="1395" customFormat="false" ht="12.8" hidden="true" customHeight="false" outlineLevel="0" collapsed="false">
      <c r="A1395" s="0" t="n">
        <v>467555</v>
      </c>
      <c r="B1395" s="0" t="n">
        <v>467555</v>
      </c>
      <c r="C1395" s="0" t="n">
        <v>1</v>
      </c>
      <c r="D1395" s="0" t="n">
        <v>6</v>
      </c>
      <c r="E1395" s="0" t="n">
        <v>2404</v>
      </c>
      <c r="F1395" s="0" t="n">
        <v>86</v>
      </c>
      <c r="G1395" s="0" t="n">
        <v>151</v>
      </c>
      <c r="H1395" s="0" t="s">
        <v>2755</v>
      </c>
      <c r="I1395" s="0" t="s">
        <v>2757</v>
      </c>
      <c r="J1395" s="9" t="n">
        <v>45905</v>
      </c>
      <c r="K1395" s="0" t="s">
        <v>2758</v>
      </c>
      <c r="L1395" s="0" t="n">
        <v>15</v>
      </c>
      <c r="M1395" s="10"/>
      <c r="N1395" s="10"/>
      <c r="O1395" s="0" t="str">
        <f aca="false">VLOOKUP(C1395,statusdetails!$A:$D,4,0)</f>
        <v>READY</v>
      </c>
    </row>
    <row r="1396" customFormat="false" ht="12.8" hidden="false" customHeight="false" outlineLevel="0" collapsed="false">
      <c r="A1396" s="0" t="n">
        <v>467556</v>
      </c>
      <c r="B1396" s="0" t="n">
        <v>467556</v>
      </c>
      <c r="C1396" s="0" t="n">
        <v>3</v>
      </c>
      <c r="D1396" s="0" t="n">
        <v>14</v>
      </c>
      <c r="E1396" s="0" t="n">
        <v>2503</v>
      </c>
      <c r="F1396" s="0" t="n">
        <v>85</v>
      </c>
      <c r="G1396" s="0" t="n">
        <v>47</v>
      </c>
      <c r="H1396" s="1" t="s">
        <v>2686</v>
      </c>
      <c r="I1396" s="1" t="s">
        <v>2759</v>
      </c>
      <c r="J1396" s="9" t="n">
        <v>45905</v>
      </c>
      <c r="K1396" s="0" t="s">
        <v>2760</v>
      </c>
      <c r="L1396" s="0" t="n">
        <v>15</v>
      </c>
      <c r="M1396" s="10"/>
      <c r="N1396" s="10"/>
      <c r="O1396" s="0" t="str">
        <f aca="false">VLOOKUP(C1396,statusdetails!$A:$D,4,0)</f>
        <v>STANDBY</v>
      </c>
      <c r="P1396" s="0" t="str">
        <f aca="false">VLOOKUP(F1396,equipment!$A:$E,4,0)</f>
        <v>CM02</v>
      </c>
      <c r="Q1396" s="0" t="str">
        <f aca="false">VLOOKUP(F1396,equipment!$A:$E,5,0)</f>
        <v>CM02 - 85</v>
      </c>
    </row>
    <row r="1397" customFormat="false" ht="12.8" hidden="true" customHeight="false" outlineLevel="0" collapsed="false">
      <c r="A1397" s="0" t="n">
        <v>467557</v>
      </c>
      <c r="B1397" s="0" t="n">
        <v>467557</v>
      </c>
      <c r="C1397" s="0" t="n">
        <v>1</v>
      </c>
      <c r="D1397" s="0" t="n">
        <v>6</v>
      </c>
      <c r="E1397" s="0" t="n">
        <v>2404</v>
      </c>
      <c r="F1397" s="0" t="n">
        <v>85</v>
      </c>
      <c r="G1397" s="0" t="n">
        <v>47</v>
      </c>
      <c r="H1397" s="0" t="s">
        <v>2759</v>
      </c>
      <c r="I1397" s="0" t="s">
        <v>2761</v>
      </c>
      <c r="J1397" s="9" t="n">
        <v>45905</v>
      </c>
      <c r="K1397" s="0" t="s">
        <v>2762</v>
      </c>
      <c r="L1397" s="0" t="n">
        <v>15</v>
      </c>
      <c r="M1397" s="10"/>
      <c r="N1397" s="10"/>
      <c r="O1397" s="0" t="str">
        <f aca="false">VLOOKUP(C1397,statusdetails!$A:$D,4,0)</f>
        <v>READY</v>
      </c>
    </row>
    <row r="1398" customFormat="false" ht="12.8" hidden="true" customHeight="false" outlineLevel="0" collapsed="false">
      <c r="H1398" s="0"/>
      <c r="I1398" s="0"/>
      <c r="J1398" s="9"/>
    </row>
    <row r="1399" customFormat="false" ht="12.8" hidden="false" customHeight="false" outlineLevel="0" collapsed="false">
      <c r="A1399" s="0" t="n">
        <v>467559</v>
      </c>
      <c r="B1399" s="0" t="n">
        <v>467559</v>
      </c>
      <c r="C1399" s="0" t="n">
        <v>3</v>
      </c>
      <c r="D1399" s="0" t="n">
        <v>14</v>
      </c>
      <c r="E1399" s="0" t="n">
        <v>2503</v>
      </c>
      <c r="F1399" s="0" t="n">
        <v>84</v>
      </c>
      <c r="G1399" s="0" t="n">
        <v>152</v>
      </c>
      <c r="H1399" s="1" t="s">
        <v>2635</v>
      </c>
      <c r="I1399" s="1" t="s">
        <v>2763</v>
      </c>
      <c r="J1399" s="9" t="n">
        <v>45905</v>
      </c>
      <c r="K1399" s="0" t="s">
        <v>2764</v>
      </c>
      <c r="L1399" s="0" t="n">
        <v>16</v>
      </c>
      <c r="M1399" s="10"/>
      <c r="N1399" s="10"/>
      <c r="O1399" s="0" t="str">
        <f aca="false">VLOOKUP(C1399,statusdetails!$A:$D,4,0)</f>
        <v>STANDBY</v>
      </c>
      <c r="P1399" s="0" t="str">
        <f aca="false">VLOOKUP(F1399,equipment!$A:$E,4,0)</f>
        <v>CM01</v>
      </c>
      <c r="Q1399" s="0" t="str">
        <f aca="false">VLOOKUP(F1399,equipment!$A:$E,5,0)</f>
        <v>CM01 - 84</v>
      </c>
    </row>
    <row r="1400" customFormat="false" ht="12.8" hidden="true" customHeight="false" outlineLevel="0" collapsed="false">
      <c r="A1400" s="0" t="n">
        <v>467560</v>
      </c>
      <c r="B1400" s="0" t="n">
        <v>467560</v>
      </c>
      <c r="C1400" s="0" t="n">
        <v>1</v>
      </c>
      <c r="D1400" s="0" t="n">
        <v>6</v>
      </c>
      <c r="E1400" s="0" t="n">
        <v>2404</v>
      </c>
      <c r="F1400" s="0" t="n">
        <v>84</v>
      </c>
      <c r="G1400" s="0" t="n">
        <v>152</v>
      </c>
      <c r="H1400" s="0" t="s">
        <v>2763</v>
      </c>
      <c r="I1400" s="0" t="s">
        <v>2765</v>
      </c>
      <c r="J1400" s="9" t="n">
        <v>45905</v>
      </c>
      <c r="K1400" s="0" t="s">
        <v>2766</v>
      </c>
      <c r="L1400" s="0" t="n">
        <v>16</v>
      </c>
      <c r="M1400" s="10"/>
      <c r="N1400" s="10"/>
      <c r="O1400" s="0" t="str">
        <f aca="false">VLOOKUP(C1400,statusdetails!$A:$D,4,0)</f>
        <v>READY</v>
      </c>
    </row>
    <row r="1401" customFormat="false" ht="12.8" hidden="true" customHeight="false" outlineLevel="0" collapsed="false">
      <c r="A1401" s="0" t="n">
        <v>467561</v>
      </c>
      <c r="B1401" s="0" t="n">
        <v>467561</v>
      </c>
      <c r="C1401" s="0" t="n">
        <v>1</v>
      </c>
      <c r="D1401" s="0" t="n">
        <v>6</v>
      </c>
      <c r="E1401" s="0" t="n">
        <v>811</v>
      </c>
      <c r="F1401" s="0" t="n">
        <v>43</v>
      </c>
      <c r="G1401" s="0" t="n">
        <v>36</v>
      </c>
      <c r="H1401" s="0" t="s">
        <v>2767</v>
      </c>
      <c r="I1401" s="0" t="s">
        <v>2768</v>
      </c>
      <c r="J1401" s="9" t="n">
        <v>45905</v>
      </c>
      <c r="K1401" s="0" t="s">
        <v>2769</v>
      </c>
      <c r="L1401" s="0" t="n">
        <v>16</v>
      </c>
      <c r="M1401" s="10"/>
      <c r="N1401" s="10"/>
      <c r="O1401" s="0" t="str">
        <f aca="false">VLOOKUP(C1401,statusdetails!$A:$D,4,0)</f>
        <v>READY</v>
      </c>
    </row>
    <row r="1402" customFormat="false" ht="12.8" hidden="true" customHeight="false" outlineLevel="0" collapsed="false">
      <c r="H1402" s="0"/>
      <c r="I1402" s="11"/>
      <c r="J1402" s="9"/>
    </row>
    <row r="1403" customFormat="false" ht="12.8" hidden="true" customHeight="false" outlineLevel="0" collapsed="false">
      <c r="H1403" s="0"/>
      <c r="I1403" s="0"/>
      <c r="J1403" s="9"/>
    </row>
    <row r="1404" customFormat="false" ht="12.8" hidden="true" customHeight="false" outlineLevel="0" collapsed="false">
      <c r="A1404" s="0" t="n">
        <v>467565</v>
      </c>
      <c r="B1404" s="0" t="n">
        <v>467565</v>
      </c>
      <c r="C1404" s="0" t="n">
        <v>1</v>
      </c>
      <c r="D1404" s="0" t="n">
        <v>6</v>
      </c>
      <c r="E1404" s="0" t="n">
        <v>260</v>
      </c>
      <c r="F1404" s="0" t="n">
        <v>33</v>
      </c>
      <c r="G1404" s="0" t="n">
        <v>98</v>
      </c>
      <c r="H1404" s="0" t="s">
        <v>2770</v>
      </c>
      <c r="I1404" s="0" t="s">
        <v>2771</v>
      </c>
      <c r="J1404" s="9" t="n">
        <v>45905</v>
      </c>
      <c r="K1404" s="0" t="s">
        <v>2772</v>
      </c>
      <c r="L1404" s="0" t="n">
        <v>16</v>
      </c>
      <c r="M1404" s="10"/>
      <c r="N1404" s="10"/>
      <c r="O1404" s="0" t="str">
        <f aca="false">VLOOKUP(C1404,statusdetails!$A:$D,4,0)</f>
        <v>READY</v>
      </c>
    </row>
    <row r="1405" customFormat="false" ht="12.8" hidden="true" customHeight="false" outlineLevel="0" collapsed="false">
      <c r="A1405" s="0" t="n">
        <v>467567</v>
      </c>
      <c r="B1405" s="0" t="n">
        <v>467567</v>
      </c>
      <c r="C1405" s="0" t="n">
        <v>4</v>
      </c>
      <c r="D1405" s="0" t="n">
        <v>16</v>
      </c>
      <c r="E1405" s="0" t="n">
        <v>1042</v>
      </c>
      <c r="F1405" s="0" t="n">
        <v>47</v>
      </c>
      <c r="G1405" s="0" t="n">
        <v>103</v>
      </c>
      <c r="H1405" s="0" t="s">
        <v>2731</v>
      </c>
      <c r="I1405" s="0" t="s">
        <v>2773</v>
      </c>
      <c r="J1405" s="9" t="n">
        <v>45905</v>
      </c>
      <c r="K1405" s="0" t="s">
        <v>2774</v>
      </c>
      <c r="L1405" s="0" t="n">
        <v>16</v>
      </c>
      <c r="M1405" s="10"/>
      <c r="N1405" s="10"/>
      <c r="O1405" s="0" t="str">
        <f aca="false">VLOOKUP(C1405,statusdetails!$A:$D,4,0)</f>
        <v>MAINT</v>
      </c>
    </row>
    <row r="1406" customFormat="false" ht="12.8" hidden="true" customHeight="false" outlineLevel="0" collapsed="false">
      <c r="A1406" s="0" t="n">
        <v>467569</v>
      </c>
      <c r="B1406" s="0" t="n">
        <v>467569</v>
      </c>
      <c r="C1406" s="0" t="n">
        <v>4</v>
      </c>
      <c r="D1406" s="0" t="n">
        <v>16</v>
      </c>
      <c r="E1406" s="0" t="n">
        <v>218</v>
      </c>
      <c r="F1406" s="0" t="n">
        <v>45</v>
      </c>
      <c r="G1406" s="0" t="n">
        <v>156</v>
      </c>
      <c r="H1406" s="0" t="s">
        <v>2708</v>
      </c>
      <c r="I1406" s="0" t="s">
        <v>2775</v>
      </c>
      <c r="J1406" s="9" t="n">
        <v>45905</v>
      </c>
      <c r="K1406" s="0" t="s">
        <v>2776</v>
      </c>
      <c r="L1406" s="0" t="n">
        <v>17</v>
      </c>
      <c r="M1406" s="10"/>
      <c r="N1406" s="10"/>
      <c r="O1406" s="0" t="str">
        <f aca="false">VLOOKUP(C1406,statusdetails!$A:$D,4,0)</f>
        <v>MAINT</v>
      </c>
    </row>
    <row r="1407" customFormat="false" ht="12.8" hidden="true" customHeight="false" outlineLevel="0" collapsed="false">
      <c r="H1407" s="0"/>
      <c r="I1407" s="0"/>
      <c r="J1407" s="9"/>
    </row>
    <row r="1408" customFormat="false" ht="12.8" hidden="true" customHeight="false" outlineLevel="0" collapsed="false">
      <c r="A1408" s="0" t="n">
        <v>467571</v>
      </c>
      <c r="B1408" s="0" t="n">
        <v>467571</v>
      </c>
      <c r="C1408" s="0" t="n">
        <v>1</v>
      </c>
      <c r="D1408" s="0" t="n">
        <v>6</v>
      </c>
      <c r="E1408" s="0" t="n">
        <v>2518</v>
      </c>
      <c r="F1408" s="0" t="n">
        <v>82</v>
      </c>
      <c r="G1408" s="0" t="n">
        <v>88</v>
      </c>
      <c r="H1408" s="0" t="s">
        <v>2777</v>
      </c>
      <c r="I1408" s="0" t="s">
        <v>2778</v>
      </c>
      <c r="J1408" s="9" t="n">
        <v>45905</v>
      </c>
      <c r="K1408" s="0" t="s">
        <v>2779</v>
      </c>
      <c r="L1408" s="0" t="n">
        <v>17</v>
      </c>
      <c r="M1408" s="10"/>
      <c r="N1408" s="10"/>
      <c r="O1408" s="0" t="str">
        <f aca="false">VLOOKUP(C1408,statusdetails!$A:$D,4,0)</f>
        <v>READY</v>
      </c>
    </row>
    <row r="1409" customFormat="false" ht="12.8" hidden="false" customHeight="false" outlineLevel="0" collapsed="false">
      <c r="A1409" s="0" t="n">
        <v>467572</v>
      </c>
      <c r="B1409" s="0" t="n">
        <v>467572</v>
      </c>
      <c r="C1409" s="0" t="n">
        <v>3</v>
      </c>
      <c r="D1409" s="0" t="n">
        <v>12</v>
      </c>
      <c r="E1409" s="0" t="n">
        <v>840</v>
      </c>
      <c r="F1409" s="0" t="n">
        <v>42</v>
      </c>
      <c r="G1409" s="0" t="n">
        <v>0</v>
      </c>
      <c r="H1409" s="1" t="s">
        <v>2753</v>
      </c>
      <c r="I1409" s="1" t="s">
        <v>2780</v>
      </c>
      <c r="J1409" s="9" t="n">
        <v>45905</v>
      </c>
      <c r="K1409" s="0" t="s">
        <v>2781</v>
      </c>
      <c r="L1409" s="0" t="n">
        <v>17</v>
      </c>
      <c r="M1409" s="10"/>
      <c r="N1409" s="10"/>
      <c r="O1409" s="0" t="str">
        <f aca="false">VLOOKUP(C1409,statusdetails!$A:$D,4,0)</f>
        <v>STANDBY</v>
      </c>
      <c r="P1409" s="0" t="str">
        <f aca="false">VLOOKUP(F1409,equipment!$A:$E,4,0)</f>
        <v>PE301</v>
      </c>
      <c r="Q1409" s="0" t="str">
        <f aca="false">VLOOKUP(F1409,equipment!$A:$E,5,0)</f>
        <v>PE301 - 42</v>
      </c>
    </row>
    <row r="1410" customFormat="false" ht="12.8" hidden="true" customHeight="false" outlineLevel="0" collapsed="false">
      <c r="A1410" s="0" t="n">
        <v>467573</v>
      </c>
      <c r="B1410" s="0" t="n">
        <v>467573</v>
      </c>
      <c r="C1410" s="0" t="n">
        <v>4</v>
      </c>
      <c r="D1410" s="0" t="n">
        <v>15</v>
      </c>
      <c r="E1410" s="0" t="n">
        <v>1778</v>
      </c>
      <c r="F1410" s="0" t="n">
        <v>37</v>
      </c>
      <c r="G1410" s="0" t="n">
        <v>44</v>
      </c>
      <c r="H1410" s="0" t="s">
        <v>2743</v>
      </c>
      <c r="I1410" s="0" t="s">
        <v>2782</v>
      </c>
      <c r="J1410" s="9" t="n">
        <v>45905</v>
      </c>
      <c r="K1410" s="0" t="s">
        <v>2783</v>
      </c>
      <c r="L1410" s="0" t="n">
        <v>17</v>
      </c>
      <c r="M1410" s="10"/>
      <c r="N1410" s="10"/>
      <c r="O1410" s="0" t="str">
        <f aca="false">VLOOKUP(C1410,statusdetails!$A:$D,4,0)</f>
        <v>MAINT</v>
      </c>
    </row>
    <row r="1411" customFormat="false" ht="12.8" hidden="true" customHeight="false" outlineLevel="0" collapsed="false">
      <c r="A1411" s="0" t="n">
        <v>467574</v>
      </c>
      <c r="B1411" s="0" t="n">
        <v>467574</v>
      </c>
      <c r="C1411" s="0" t="n">
        <v>1</v>
      </c>
      <c r="D1411" s="0" t="n">
        <v>6</v>
      </c>
      <c r="E1411" s="0" t="n">
        <v>372</v>
      </c>
      <c r="F1411" s="0" t="n">
        <v>37</v>
      </c>
      <c r="G1411" s="0" t="n">
        <v>44</v>
      </c>
      <c r="H1411" s="0" t="s">
        <v>2782</v>
      </c>
      <c r="I1411" s="0" t="s">
        <v>2784</v>
      </c>
      <c r="J1411" s="9" t="n">
        <v>45905</v>
      </c>
      <c r="K1411" s="0" t="s">
        <v>2785</v>
      </c>
      <c r="L1411" s="0" t="n">
        <v>17</v>
      </c>
      <c r="M1411" s="10"/>
      <c r="N1411" s="10"/>
      <c r="O1411" s="0" t="str">
        <f aca="false">VLOOKUP(C1411,statusdetails!$A:$D,4,0)</f>
        <v>READY</v>
      </c>
    </row>
    <row r="1412" customFormat="false" ht="12.8" hidden="true" customHeight="false" outlineLevel="0" collapsed="false">
      <c r="A1412" s="0" t="n">
        <v>467575</v>
      </c>
      <c r="B1412" s="0" t="n">
        <v>467575</v>
      </c>
      <c r="C1412" s="0" t="n">
        <v>1</v>
      </c>
      <c r="D1412" s="0" t="n">
        <v>6</v>
      </c>
      <c r="E1412" s="0" t="n">
        <v>138</v>
      </c>
      <c r="F1412" s="0" t="n">
        <v>45</v>
      </c>
      <c r="G1412" s="0" t="n">
        <v>156</v>
      </c>
      <c r="H1412" s="0" t="s">
        <v>2775</v>
      </c>
      <c r="I1412" s="0" t="s">
        <v>2786</v>
      </c>
      <c r="J1412" s="9" t="n">
        <v>45905</v>
      </c>
      <c r="K1412" s="0" t="s">
        <v>2787</v>
      </c>
      <c r="L1412" s="0" t="n">
        <v>17</v>
      </c>
      <c r="M1412" s="10"/>
      <c r="N1412" s="10"/>
      <c r="O1412" s="0" t="str">
        <f aca="false">VLOOKUP(C1412,statusdetails!$A:$D,4,0)</f>
        <v>READY</v>
      </c>
    </row>
    <row r="1413" customFormat="false" ht="12.8" hidden="true" customHeight="false" outlineLevel="0" collapsed="false">
      <c r="A1413" s="0" t="n">
        <v>467576</v>
      </c>
      <c r="B1413" s="0" t="n">
        <v>467576</v>
      </c>
      <c r="C1413" s="0" t="n">
        <v>4</v>
      </c>
      <c r="D1413" s="0" t="n">
        <v>15</v>
      </c>
      <c r="E1413" s="0" t="n">
        <v>2396</v>
      </c>
      <c r="F1413" s="0" t="n">
        <v>82</v>
      </c>
      <c r="G1413" s="0" t="n">
        <v>88</v>
      </c>
      <c r="H1413" s="0" t="s">
        <v>2778</v>
      </c>
      <c r="I1413" s="0" t="s">
        <v>2788</v>
      </c>
      <c r="J1413" s="9" t="n">
        <v>45905</v>
      </c>
      <c r="K1413" s="0" t="s">
        <v>2789</v>
      </c>
      <c r="L1413" s="0" t="n">
        <v>18</v>
      </c>
      <c r="M1413" s="10"/>
      <c r="N1413" s="10"/>
      <c r="O1413" s="0" t="str">
        <f aca="false">VLOOKUP(C1413,statusdetails!$A:$D,4,0)</f>
        <v>MAINT</v>
      </c>
    </row>
    <row r="1414" customFormat="false" ht="12.8" hidden="true" customHeight="false" outlineLevel="0" collapsed="false">
      <c r="A1414" s="0" t="n">
        <v>467577</v>
      </c>
      <c r="B1414" s="0" t="n">
        <v>467577</v>
      </c>
      <c r="C1414" s="0" t="n">
        <v>1</v>
      </c>
      <c r="D1414" s="0" t="n">
        <v>6</v>
      </c>
      <c r="E1414" s="0" t="n">
        <v>2518</v>
      </c>
      <c r="F1414" s="0" t="n">
        <v>82</v>
      </c>
      <c r="G1414" s="0" t="n">
        <v>88</v>
      </c>
      <c r="H1414" s="0" t="s">
        <v>2788</v>
      </c>
      <c r="I1414" s="0" t="s">
        <v>2790</v>
      </c>
      <c r="J1414" s="9" t="n">
        <v>45905</v>
      </c>
      <c r="K1414" s="0" t="s">
        <v>2791</v>
      </c>
      <c r="L1414" s="0" t="n">
        <v>18</v>
      </c>
      <c r="M1414" s="10"/>
      <c r="N1414" s="10"/>
      <c r="O1414" s="0" t="str">
        <f aca="false">VLOOKUP(C1414,statusdetails!$A:$D,4,0)</f>
        <v>READY</v>
      </c>
    </row>
    <row r="1415" customFormat="false" ht="12.8" hidden="false" customHeight="false" outlineLevel="0" collapsed="false">
      <c r="A1415" s="0" t="n">
        <v>467578</v>
      </c>
      <c r="B1415" s="0" t="n">
        <v>467578</v>
      </c>
      <c r="C1415" s="0" t="n">
        <v>3</v>
      </c>
      <c r="D1415" s="0" t="n">
        <v>12</v>
      </c>
      <c r="E1415" s="0" t="n">
        <v>2504</v>
      </c>
      <c r="F1415" s="0" t="n">
        <v>88</v>
      </c>
      <c r="G1415" s="0" t="n">
        <v>0</v>
      </c>
      <c r="H1415" s="1" t="s">
        <v>2625</v>
      </c>
      <c r="I1415" s="1" t="s">
        <v>2792</v>
      </c>
      <c r="J1415" s="9" t="n">
        <v>45905</v>
      </c>
      <c r="K1415" s="0" t="s">
        <v>2793</v>
      </c>
      <c r="L1415" s="0" t="n">
        <v>18</v>
      </c>
      <c r="M1415" s="10"/>
      <c r="N1415" s="10"/>
      <c r="O1415" s="0" t="str">
        <f aca="false">VLOOKUP(C1415,statusdetails!$A:$D,4,0)</f>
        <v>STANDBY</v>
      </c>
      <c r="P1415" s="0" t="str">
        <f aca="false">VLOOKUP(F1415,equipment!$A:$E,4,0)</f>
        <v>CM05</v>
      </c>
      <c r="Q1415" s="0" t="str">
        <f aca="false">VLOOKUP(F1415,equipment!$A:$E,5,0)</f>
        <v>CM05 - 88</v>
      </c>
    </row>
    <row r="1416" customFormat="false" ht="12.8" hidden="true" customHeight="false" outlineLevel="0" collapsed="false">
      <c r="H1416" s="0"/>
      <c r="I1416" s="0"/>
      <c r="J1416" s="9"/>
    </row>
    <row r="1417" customFormat="false" ht="12.8" hidden="true" customHeight="false" outlineLevel="0" collapsed="false">
      <c r="A1417" s="0" t="n">
        <v>467580</v>
      </c>
      <c r="B1417" s="0" t="n">
        <v>467580</v>
      </c>
      <c r="C1417" s="0" t="n">
        <v>1</v>
      </c>
      <c r="D1417" s="0" t="n">
        <v>6</v>
      </c>
      <c r="E1417" s="0" t="n">
        <v>2518</v>
      </c>
      <c r="F1417" s="0" t="n">
        <v>82</v>
      </c>
      <c r="G1417" s="0" t="n">
        <v>88</v>
      </c>
      <c r="H1417" s="0" t="s">
        <v>2794</v>
      </c>
      <c r="I1417" s="0" t="s">
        <v>2795</v>
      </c>
      <c r="J1417" s="9" t="n">
        <v>45905</v>
      </c>
      <c r="K1417" s="0" t="s">
        <v>2796</v>
      </c>
      <c r="L1417" s="0" t="n">
        <v>18</v>
      </c>
      <c r="M1417" s="10"/>
      <c r="N1417" s="10"/>
      <c r="O1417" s="0" t="str">
        <f aca="false">VLOOKUP(C1417,statusdetails!$A:$D,4,0)</f>
        <v>READY</v>
      </c>
    </row>
    <row r="1418" customFormat="false" ht="12.8" hidden="true" customHeight="false" outlineLevel="0" collapsed="false">
      <c r="A1418" s="0" t="n">
        <v>467581</v>
      </c>
      <c r="B1418" s="0" t="n">
        <v>467566</v>
      </c>
      <c r="C1418" s="0" t="n">
        <v>1</v>
      </c>
      <c r="D1418" s="0" t="n">
        <v>6</v>
      </c>
      <c r="E1418" s="0" t="n">
        <v>2518</v>
      </c>
      <c r="F1418" s="0" t="n">
        <v>96</v>
      </c>
      <c r="G1418" s="0" t="n">
        <v>89</v>
      </c>
      <c r="H1418" s="11" t="n">
        <v>45905.6978935185</v>
      </c>
      <c r="I1418" s="0" t="s">
        <v>2797</v>
      </c>
      <c r="J1418" s="9" t="n">
        <v>45905</v>
      </c>
      <c r="K1418" s="0" t="s">
        <v>2798</v>
      </c>
      <c r="L1418" s="0" t="n">
        <v>16</v>
      </c>
      <c r="M1418" s="10"/>
      <c r="N1418" s="10"/>
      <c r="O1418" s="0" t="str">
        <f aca="false">VLOOKUP(C1418,statusdetails!$A:$D,4,0)</f>
        <v>READY</v>
      </c>
    </row>
    <row r="1419" customFormat="false" ht="12.8" hidden="false" customHeight="false" outlineLevel="0" collapsed="false">
      <c r="A1419" s="0" t="n">
        <v>467582</v>
      </c>
      <c r="B1419" s="0" t="n">
        <v>467582</v>
      </c>
      <c r="C1419" s="0" t="n">
        <v>3</v>
      </c>
      <c r="D1419" s="0" t="n">
        <v>14</v>
      </c>
      <c r="E1419" s="0" t="n">
        <v>2392</v>
      </c>
      <c r="F1419" s="0" t="n">
        <v>82</v>
      </c>
      <c r="G1419" s="0" t="n">
        <v>88</v>
      </c>
      <c r="H1419" s="1" t="s">
        <v>2795</v>
      </c>
      <c r="I1419" s="1" t="s">
        <v>2799</v>
      </c>
      <c r="J1419" s="9" t="n">
        <v>45905</v>
      </c>
      <c r="K1419" s="0" t="s">
        <v>2800</v>
      </c>
      <c r="L1419" s="0" t="n">
        <v>18</v>
      </c>
      <c r="M1419" s="10"/>
      <c r="N1419" s="10"/>
      <c r="O1419" s="0" t="str">
        <f aca="false">VLOOKUP(C1419,statusdetails!$A:$D,4,0)</f>
        <v>STANDBY</v>
      </c>
      <c r="P1419" s="0" t="str">
        <f aca="false">VLOOKUP(F1419,equipment!$A:$E,4,0)</f>
        <v>EX502</v>
      </c>
      <c r="Q1419" s="0" t="str">
        <f aca="false">VLOOKUP(F1419,equipment!$A:$E,5,0)</f>
        <v>EX502 - 82</v>
      </c>
    </row>
    <row r="1420" customFormat="false" ht="12.8" hidden="false" customHeight="false" outlineLevel="0" collapsed="false">
      <c r="A1420" s="0" t="n">
        <v>467583</v>
      </c>
      <c r="B1420" s="0" t="n">
        <v>467583</v>
      </c>
      <c r="C1420" s="0" t="n">
        <v>3</v>
      </c>
      <c r="D1420" s="0" t="n">
        <v>14</v>
      </c>
      <c r="E1420" s="0" t="n">
        <v>1789</v>
      </c>
      <c r="F1420" s="0" t="n">
        <v>33</v>
      </c>
      <c r="G1420" s="0" t="n">
        <v>98</v>
      </c>
      <c r="H1420" s="1" t="s">
        <v>2771</v>
      </c>
      <c r="I1420" s="1" t="s">
        <v>2801</v>
      </c>
      <c r="J1420" s="9" t="n">
        <v>45905</v>
      </c>
      <c r="K1420" s="0" t="s">
        <v>2802</v>
      </c>
      <c r="L1420" s="0" t="n">
        <v>18</v>
      </c>
      <c r="M1420" s="10"/>
      <c r="N1420" s="10"/>
      <c r="O1420" s="0" t="str">
        <f aca="false">VLOOKUP(C1420,statusdetails!$A:$D,4,0)</f>
        <v>STANDBY</v>
      </c>
      <c r="P1420" s="0" t="str">
        <f aca="false">VLOOKUP(F1420,equipment!$A:$E,4,0)</f>
        <v>CM406</v>
      </c>
      <c r="Q1420" s="0" t="str">
        <f aca="false">VLOOKUP(F1420,equipment!$A:$E,5,0)</f>
        <v>CM406 - 33</v>
      </c>
    </row>
    <row r="1421" customFormat="false" ht="12.8" hidden="false" customHeight="false" outlineLevel="0" collapsed="false">
      <c r="A1421" s="0" t="n">
        <v>467584</v>
      </c>
      <c r="B1421" s="0" t="n">
        <v>467584</v>
      </c>
      <c r="C1421" s="0" t="n">
        <v>3</v>
      </c>
      <c r="D1421" s="0" t="n">
        <v>14</v>
      </c>
      <c r="E1421" s="0" t="n">
        <v>1785</v>
      </c>
      <c r="F1421" s="0" t="n">
        <v>37</v>
      </c>
      <c r="G1421" s="0" t="n">
        <v>44</v>
      </c>
      <c r="H1421" s="1" t="s">
        <v>2784</v>
      </c>
      <c r="I1421" s="1" t="s">
        <v>2803</v>
      </c>
      <c r="J1421" s="9" t="n">
        <v>45905</v>
      </c>
      <c r="K1421" s="0" t="s">
        <v>2804</v>
      </c>
      <c r="L1421" s="0" t="n">
        <v>18</v>
      </c>
      <c r="M1421" s="10"/>
      <c r="N1421" s="10"/>
      <c r="O1421" s="0" t="str">
        <f aca="false">VLOOKUP(C1421,statusdetails!$A:$D,4,0)</f>
        <v>STANDBY</v>
      </c>
      <c r="P1421" s="0" t="str">
        <f aca="false">VLOOKUP(F1421,equipment!$A:$E,4,0)</f>
        <v>DZ201</v>
      </c>
      <c r="Q1421" s="0" t="str">
        <f aca="false">VLOOKUP(F1421,equipment!$A:$E,5,0)</f>
        <v>DZ201 - 37</v>
      </c>
    </row>
    <row r="1422" customFormat="false" ht="12.8" hidden="false" customHeight="false" outlineLevel="0" collapsed="false">
      <c r="A1422" s="0" t="n">
        <v>467585</v>
      </c>
      <c r="B1422" s="0" t="n">
        <v>467585</v>
      </c>
      <c r="C1422" s="0" t="n">
        <v>3</v>
      </c>
      <c r="D1422" s="0" t="n">
        <v>14</v>
      </c>
      <c r="E1422" s="0" t="n">
        <v>2406</v>
      </c>
      <c r="F1422" s="0" t="n">
        <v>85</v>
      </c>
      <c r="G1422" s="0" t="n">
        <v>47</v>
      </c>
      <c r="H1422" s="1" t="s">
        <v>2761</v>
      </c>
      <c r="I1422" s="1" t="s">
        <v>2805</v>
      </c>
      <c r="J1422" s="9" t="n">
        <v>45905</v>
      </c>
      <c r="K1422" s="0" t="s">
        <v>2806</v>
      </c>
      <c r="L1422" s="0" t="n">
        <v>18</v>
      </c>
      <c r="M1422" s="10"/>
      <c r="N1422" s="10"/>
      <c r="O1422" s="0" t="str">
        <f aca="false">VLOOKUP(C1422,statusdetails!$A:$D,4,0)</f>
        <v>STANDBY</v>
      </c>
      <c r="P1422" s="0" t="str">
        <f aca="false">VLOOKUP(F1422,equipment!$A:$E,4,0)</f>
        <v>CM02</v>
      </c>
      <c r="Q1422" s="0" t="str">
        <f aca="false">VLOOKUP(F1422,equipment!$A:$E,5,0)</f>
        <v>CM02 - 85</v>
      </c>
    </row>
    <row r="1423" customFormat="false" ht="12.8" hidden="true" customHeight="false" outlineLevel="0" collapsed="false">
      <c r="A1423" s="0" t="n">
        <v>467586</v>
      </c>
      <c r="B1423" s="0" t="n">
        <v>467586</v>
      </c>
      <c r="C1423" s="0" t="n">
        <v>4</v>
      </c>
      <c r="D1423" s="0" t="n">
        <v>15</v>
      </c>
      <c r="E1423" s="0" t="n">
        <v>2442</v>
      </c>
      <c r="F1423" s="0" t="n">
        <v>87</v>
      </c>
      <c r="G1423" s="0" t="n">
        <v>154</v>
      </c>
      <c r="H1423" s="11" t="n">
        <v>45905.5448958333</v>
      </c>
      <c r="I1423" s="11" t="n">
        <v>45905.7020717593</v>
      </c>
      <c r="J1423" s="9" t="n">
        <v>45905</v>
      </c>
      <c r="K1423" s="0" t="s">
        <v>2807</v>
      </c>
      <c r="L1423" s="0" t="n">
        <v>13</v>
      </c>
      <c r="M1423" s="10"/>
      <c r="N1423" s="10"/>
      <c r="O1423" s="0" t="str">
        <f aca="false">VLOOKUP(C1423,statusdetails!$A:$D,4,0)</f>
        <v>MAINT</v>
      </c>
    </row>
    <row r="1424" customFormat="false" ht="12.8" hidden="true" customHeight="false" outlineLevel="0" collapsed="false">
      <c r="A1424" s="0" t="n">
        <v>467588</v>
      </c>
      <c r="B1424" s="0" t="n">
        <v>467587</v>
      </c>
      <c r="C1424" s="0" t="n">
        <v>1</v>
      </c>
      <c r="D1424" s="0" t="n">
        <v>6</v>
      </c>
      <c r="E1424" s="0" t="n">
        <v>2404</v>
      </c>
      <c r="F1424" s="0" t="n">
        <v>87</v>
      </c>
      <c r="G1424" s="0" t="n">
        <v>154</v>
      </c>
      <c r="H1424" s="11" t="n">
        <v>45905.7020717593</v>
      </c>
      <c r="I1424" s="0" t="s">
        <v>2808</v>
      </c>
      <c r="J1424" s="9" t="n">
        <v>45905</v>
      </c>
      <c r="K1424" s="0" t="s">
        <v>2809</v>
      </c>
      <c r="L1424" s="0" t="n">
        <v>16</v>
      </c>
      <c r="M1424" s="10"/>
      <c r="N1424" s="10"/>
      <c r="O1424" s="0" t="str">
        <f aca="false">VLOOKUP(C1424,statusdetails!$A:$D,4,0)</f>
        <v>READY</v>
      </c>
    </row>
    <row r="1425" customFormat="false" ht="12.8" hidden="false" customHeight="false" outlineLevel="0" collapsed="false">
      <c r="A1425" s="0" t="n">
        <v>467589</v>
      </c>
      <c r="B1425" s="0" t="n">
        <v>467589</v>
      </c>
      <c r="C1425" s="0" t="n">
        <v>3</v>
      </c>
      <c r="D1425" s="0" t="n">
        <v>14</v>
      </c>
      <c r="E1425" s="0" t="n">
        <v>2406</v>
      </c>
      <c r="F1425" s="0" t="n">
        <v>84</v>
      </c>
      <c r="G1425" s="0" t="n">
        <v>152</v>
      </c>
      <c r="H1425" s="1" t="s">
        <v>2765</v>
      </c>
      <c r="I1425" s="1" t="s">
        <v>2810</v>
      </c>
      <c r="J1425" s="9" t="n">
        <v>45905</v>
      </c>
      <c r="K1425" s="0" t="s">
        <v>2811</v>
      </c>
      <c r="L1425" s="0" t="n">
        <v>18</v>
      </c>
      <c r="M1425" s="10"/>
      <c r="N1425" s="10"/>
      <c r="O1425" s="0" t="str">
        <f aca="false">VLOOKUP(C1425,statusdetails!$A:$D,4,0)</f>
        <v>STANDBY</v>
      </c>
      <c r="P1425" s="0" t="str">
        <f aca="false">VLOOKUP(F1425,equipment!$A:$E,4,0)</f>
        <v>CM01</v>
      </c>
      <c r="Q1425" s="0" t="str">
        <f aca="false">VLOOKUP(F1425,equipment!$A:$E,5,0)</f>
        <v>CM01 - 84</v>
      </c>
    </row>
    <row r="1426" customFormat="false" ht="12.8" hidden="false" customHeight="false" outlineLevel="0" collapsed="false">
      <c r="A1426" s="0" t="n">
        <v>467590</v>
      </c>
      <c r="B1426" s="0" t="n">
        <v>467590</v>
      </c>
      <c r="C1426" s="0" t="n">
        <v>3</v>
      </c>
      <c r="D1426" s="0" t="n">
        <v>14</v>
      </c>
      <c r="E1426" s="0" t="n">
        <v>2406</v>
      </c>
      <c r="F1426" s="0" t="n">
        <v>86</v>
      </c>
      <c r="G1426" s="0" t="n">
        <v>151</v>
      </c>
      <c r="H1426" s="1" t="s">
        <v>2757</v>
      </c>
      <c r="I1426" s="1" t="s">
        <v>2812</v>
      </c>
      <c r="J1426" s="9" t="n">
        <v>45905</v>
      </c>
      <c r="K1426" s="0" t="s">
        <v>2813</v>
      </c>
      <c r="L1426" s="0" t="n">
        <v>18</v>
      </c>
      <c r="M1426" s="10"/>
      <c r="N1426" s="10"/>
      <c r="O1426" s="0" t="str">
        <f aca="false">VLOOKUP(C1426,statusdetails!$A:$D,4,0)</f>
        <v>STANDBY</v>
      </c>
      <c r="P1426" s="0" t="str">
        <f aca="false">VLOOKUP(F1426,equipment!$A:$E,4,0)</f>
        <v>CM03</v>
      </c>
      <c r="Q1426" s="0" t="str">
        <f aca="false">VLOOKUP(F1426,equipment!$A:$E,5,0)</f>
        <v>CM03 - 86</v>
      </c>
    </row>
    <row r="1427" customFormat="false" ht="12.8" hidden="false" customHeight="false" outlineLevel="0" collapsed="false">
      <c r="A1427" s="0" t="n">
        <v>467591</v>
      </c>
      <c r="B1427" s="0" t="n">
        <v>467591</v>
      </c>
      <c r="C1427" s="0" t="n">
        <v>3</v>
      </c>
      <c r="D1427" s="0" t="n">
        <v>14</v>
      </c>
      <c r="E1427" s="0" t="n">
        <v>1789</v>
      </c>
      <c r="F1427" s="0" t="n">
        <v>66</v>
      </c>
      <c r="G1427" s="0" t="n">
        <v>45</v>
      </c>
      <c r="H1427" s="1" t="s">
        <v>2745</v>
      </c>
      <c r="I1427" s="1" t="s">
        <v>2814</v>
      </c>
      <c r="J1427" s="9" t="n">
        <v>45905</v>
      </c>
      <c r="K1427" s="0" t="s">
        <v>2815</v>
      </c>
      <c r="L1427" s="0" t="n">
        <v>18</v>
      </c>
      <c r="M1427" s="10"/>
      <c r="N1427" s="10"/>
      <c r="O1427" s="0" t="str">
        <f aca="false">VLOOKUP(C1427,statusdetails!$A:$D,4,0)</f>
        <v>STANDBY</v>
      </c>
      <c r="P1427" s="0" t="str">
        <f aca="false">VLOOKUP(F1427,equipment!$A:$E,4,0)</f>
        <v>CM407</v>
      </c>
      <c r="Q1427" s="0" t="str">
        <f aca="false">VLOOKUP(F1427,equipment!$A:$E,5,0)</f>
        <v>CM407 - 66</v>
      </c>
    </row>
    <row r="1428" customFormat="false" ht="12.8" hidden="false" customHeight="false" outlineLevel="0" collapsed="false">
      <c r="A1428" s="0" t="n">
        <v>467592</v>
      </c>
      <c r="B1428" s="0" t="n">
        <v>467592</v>
      </c>
      <c r="C1428" s="0" t="n">
        <v>3</v>
      </c>
      <c r="D1428" s="0" t="n">
        <v>14</v>
      </c>
      <c r="E1428" s="0" t="n">
        <v>1789</v>
      </c>
      <c r="F1428" s="0" t="n">
        <v>35</v>
      </c>
      <c r="G1428" s="0" t="n">
        <v>15</v>
      </c>
      <c r="H1428" s="1" t="s">
        <v>2751</v>
      </c>
      <c r="I1428" s="1" t="s">
        <v>2816</v>
      </c>
      <c r="J1428" s="9" t="n">
        <v>45905</v>
      </c>
      <c r="K1428" s="0" t="s">
        <v>2817</v>
      </c>
      <c r="L1428" s="0" t="n">
        <v>18</v>
      </c>
      <c r="M1428" s="10"/>
      <c r="N1428" s="10"/>
      <c r="O1428" s="0" t="str">
        <f aca="false">VLOOKUP(C1428,statusdetails!$A:$D,4,0)</f>
        <v>STANDBY</v>
      </c>
      <c r="P1428" s="0" t="str">
        <f aca="false">VLOOKUP(F1428,equipment!$A:$E,4,0)</f>
        <v>CM405</v>
      </c>
      <c r="Q1428" s="0" t="str">
        <f aca="false">VLOOKUP(F1428,equipment!$A:$E,5,0)</f>
        <v>CM405 - 35</v>
      </c>
    </row>
    <row r="1429" customFormat="false" ht="12.8" hidden="true" customHeight="false" outlineLevel="0" collapsed="false">
      <c r="A1429" s="0" t="n">
        <v>467593</v>
      </c>
      <c r="B1429" s="0" t="n">
        <v>467593</v>
      </c>
      <c r="C1429" s="0" t="n">
        <v>1</v>
      </c>
      <c r="D1429" s="0" t="n">
        <v>6</v>
      </c>
      <c r="E1429" s="0" t="n">
        <v>2404</v>
      </c>
      <c r="F1429" s="0" t="n">
        <v>85</v>
      </c>
      <c r="G1429" s="0" t="n">
        <v>147</v>
      </c>
      <c r="H1429" s="0" t="s">
        <v>2805</v>
      </c>
      <c r="I1429" s="0" t="s">
        <v>2818</v>
      </c>
      <c r="J1429" s="9" t="n">
        <v>45905</v>
      </c>
      <c r="K1429" s="0" t="s">
        <v>2819</v>
      </c>
      <c r="L1429" s="0" t="n">
        <v>18</v>
      </c>
      <c r="M1429" s="10"/>
      <c r="N1429" s="10"/>
      <c r="O1429" s="0" t="str">
        <f aca="false">VLOOKUP(C1429,statusdetails!$A:$D,4,0)</f>
        <v>READY</v>
      </c>
    </row>
    <row r="1430" customFormat="false" ht="12.8" hidden="false" customHeight="false" outlineLevel="0" collapsed="false">
      <c r="A1430" s="0" t="n">
        <v>467594</v>
      </c>
      <c r="B1430" s="0" t="n">
        <v>467594</v>
      </c>
      <c r="C1430" s="0" t="n">
        <v>3</v>
      </c>
      <c r="D1430" s="0" t="n">
        <v>14</v>
      </c>
      <c r="E1430" s="0" t="n">
        <v>1788</v>
      </c>
      <c r="F1430" s="0" t="n">
        <v>41</v>
      </c>
      <c r="G1430" s="0" t="n">
        <v>118</v>
      </c>
      <c r="H1430" s="1" t="s">
        <v>2735</v>
      </c>
      <c r="I1430" s="1" t="s">
        <v>2820</v>
      </c>
      <c r="J1430" s="9" t="n">
        <v>45905</v>
      </c>
      <c r="K1430" s="0" t="s">
        <v>2821</v>
      </c>
      <c r="L1430" s="0" t="n">
        <v>18</v>
      </c>
      <c r="M1430" s="10"/>
      <c r="N1430" s="10"/>
      <c r="O1430" s="0" t="str">
        <f aca="false">VLOOKUP(C1430,statusdetails!$A:$D,4,0)</f>
        <v>STANDBY</v>
      </c>
      <c r="P1430" s="0" t="str">
        <f aca="false">VLOOKUP(F1430,equipment!$A:$E,4,0)</f>
        <v>MO102</v>
      </c>
      <c r="Q1430" s="0" t="str">
        <f aca="false">VLOOKUP(F1430,equipment!$A:$E,5,0)</f>
        <v>MO102 - 41</v>
      </c>
    </row>
    <row r="1431" customFormat="false" ht="12.8" hidden="true" customHeight="false" outlineLevel="0" collapsed="false">
      <c r="A1431" s="0" t="n">
        <v>467595</v>
      </c>
      <c r="B1431" s="0" t="n">
        <v>467595</v>
      </c>
      <c r="C1431" s="0" t="n">
        <v>1</v>
      </c>
      <c r="D1431" s="0" t="n">
        <v>6</v>
      </c>
      <c r="E1431" s="0" t="n">
        <v>2404</v>
      </c>
      <c r="F1431" s="0" t="n">
        <v>86</v>
      </c>
      <c r="G1431" s="0" t="n">
        <v>149</v>
      </c>
      <c r="H1431" s="0" t="s">
        <v>2812</v>
      </c>
      <c r="I1431" s="0" t="s">
        <v>2822</v>
      </c>
      <c r="J1431" s="9" t="n">
        <v>45905</v>
      </c>
      <c r="K1431" s="0" t="s">
        <v>2823</v>
      </c>
      <c r="L1431" s="0" t="n">
        <v>18</v>
      </c>
      <c r="M1431" s="10"/>
      <c r="N1431" s="10"/>
      <c r="O1431" s="0" t="str">
        <f aca="false">VLOOKUP(C1431,statusdetails!$A:$D,4,0)</f>
        <v>READY</v>
      </c>
    </row>
    <row r="1432" customFormat="false" ht="12.8" hidden="true" customHeight="false" outlineLevel="0" collapsed="false">
      <c r="A1432" s="0" t="n">
        <v>467596</v>
      </c>
      <c r="B1432" s="0" t="n">
        <v>467596</v>
      </c>
      <c r="C1432" s="0" t="n">
        <v>1</v>
      </c>
      <c r="D1432" s="0" t="n">
        <v>6</v>
      </c>
      <c r="E1432" s="0" t="n">
        <v>2404</v>
      </c>
      <c r="F1432" s="0" t="n">
        <v>84</v>
      </c>
      <c r="G1432" s="0" t="n">
        <v>82</v>
      </c>
      <c r="H1432" s="0" t="s">
        <v>2810</v>
      </c>
      <c r="I1432" s="0" t="s">
        <v>2824</v>
      </c>
      <c r="J1432" s="9" t="n">
        <v>45905</v>
      </c>
      <c r="K1432" s="0" t="s">
        <v>2825</v>
      </c>
      <c r="L1432" s="0" t="n">
        <v>18</v>
      </c>
      <c r="M1432" s="10"/>
      <c r="N1432" s="10"/>
      <c r="O1432" s="0" t="str">
        <f aca="false">VLOOKUP(C1432,statusdetails!$A:$D,4,0)</f>
        <v>READY</v>
      </c>
    </row>
    <row r="1433" customFormat="false" ht="12.8" hidden="false" customHeight="false" outlineLevel="0" collapsed="false">
      <c r="A1433" s="0" t="n">
        <v>467597</v>
      </c>
      <c r="B1433" s="0" t="n">
        <v>467597</v>
      </c>
      <c r="C1433" s="0" t="n">
        <v>3</v>
      </c>
      <c r="D1433" s="0" t="n">
        <v>12</v>
      </c>
      <c r="E1433" s="0" t="n">
        <v>394</v>
      </c>
      <c r="F1433" s="0" t="n">
        <v>37</v>
      </c>
      <c r="G1433" s="0" t="n">
        <v>44</v>
      </c>
      <c r="H1433" s="1" t="s">
        <v>2803</v>
      </c>
      <c r="I1433" s="1" t="s">
        <v>2826</v>
      </c>
      <c r="J1433" s="9" t="n">
        <v>45905</v>
      </c>
      <c r="K1433" s="0" t="s">
        <v>2827</v>
      </c>
      <c r="L1433" s="0" t="n">
        <v>18</v>
      </c>
      <c r="M1433" s="10"/>
      <c r="N1433" s="10"/>
      <c r="O1433" s="0" t="str">
        <f aca="false">VLOOKUP(C1433,statusdetails!$A:$D,4,0)</f>
        <v>STANDBY</v>
      </c>
      <c r="P1433" s="0" t="str">
        <f aca="false">VLOOKUP(F1433,equipment!$A:$E,4,0)</f>
        <v>DZ201</v>
      </c>
      <c r="Q1433" s="0" t="str">
        <f aca="false">VLOOKUP(F1433,equipment!$A:$E,5,0)</f>
        <v>DZ201 - 37</v>
      </c>
    </row>
    <row r="1434" customFormat="false" ht="12.8" hidden="false" customHeight="false" outlineLevel="0" collapsed="false">
      <c r="A1434" s="0" t="n">
        <v>467598</v>
      </c>
      <c r="B1434" s="0" t="n">
        <v>467598</v>
      </c>
      <c r="C1434" s="0" t="n">
        <v>3</v>
      </c>
      <c r="D1434" s="0" t="n">
        <v>12</v>
      </c>
      <c r="E1434" s="0" t="n">
        <v>608</v>
      </c>
      <c r="F1434" s="0" t="n">
        <v>41</v>
      </c>
      <c r="G1434" s="0" t="n">
        <v>118</v>
      </c>
      <c r="H1434" s="1" t="s">
        <v>2820</v>
      </c>
      <c r="I1434" s="1" t="s">
        <v>2828</v>
      </c>
      <c r="J1434" s="9" t="n">
        <v>45905</v>
      </c>
      <c r="K1434" s="0" t="s">
        <v>2829</v>
      </c>
      <c r="L1434" s="0" t="n">
        <v>18</v>
      </c>
      <c r="M1434" s="10"/>
      <c r="N1434" s="10"/>
      <c r="O1434" s="0" t="str">
        <f aca="false">VLOOKUP(C1434,statusdetails!$A:$D,4,0)</f>
        <v>STANDBY</v>
      </c>
      <c r="P1434" s="0" t="str">
        <f aca="false">VLOOKUP(F1434,equipment!$A:$E,4,0)</f>
        <v>MO102</v>
      </c>
      <c r="Q1434" s="0" t="str">
        <f aca="false">VLOOKUP(F1434,equipment!$A:$E,5,0)</f>
        <v>MO102 - 41</v>
      </c>
    </row>
    <row r="1435" customFormat="false" ht="12.8" hidden="true" customHeight="false" outlineLevel="0" collapsed="false">
      <c r="A1435" s="0" t="n">
        <v>467599</v>
      </c>
      <c r="B1435" s="0" t="n">
        <v>467599</v>
      </c>
      <c r="C1435" s="0" t="n">
        <v>1</v>
      </c>
      <c r="D1435" s="0" t="n">
        <v>6</v>
      </c>
      <c r="E1435" s="0" t="n">
        <v>586</v>
      </c>
      <c r="F1435" s="0" t="n">
        <v>41</v>
      </c>
      <c r="G1435" s="0" t="n">
        <v>118</v>
      </c>
      <c r="H1435" s="0" t="s">
        <v>2828</v>
      </c>
      <c r="I1435" s="0" t="s">
        <v>2830</v>
      </c>
      <c r="J1435" s="9" t="n">
        <v>45905</v>
      </c>
      <c r="K1435" s="0" t="s">
        <v>2831</v>
      </c>
      <c r="L1435" s="0" t="n">
        <v>19</v>
      </c>
      <c r="M1435" s="10"/>
      <c r="N1435" s="10"/>
      <c r="O1435" s="0" t="str">
        <f aca="false">VLOOKUP(C1435,statusdetails!$A:$D,4,0)</f>
        <v>READY</v>
      </c>
    </row>
    <row r="1436" customFormat="false" ht="12.8" hidden="true" customHeight="false" outlineLevel="0" collapsed="false">
      <c r="A1436" s="0" t="n">
        <v>467600</v>
      </c>
      <c r="B1436" s="0" t="n">
        <v>467600</v>
      </c>
      <c r="C1436" s="0" t="n">
        <v>1</v>
      </c>
      <c r="D1436" s="0" t="n">
        <v>6</v>
      </c>
      <c r="E1436" s="0" t="n">
        <v>2518</v>
      </c>
      <c r="F1436" s="0" t="n">
        <v>82</v>
      </c>
      <c r="G1436" s="0" t="n">
        <v>88</v>
      </c>
      <c r="H1436" s="0" t="s">
        <v>2799</v>
      </c>
      <c r="I1436" s="0" t="s">
        <v>2832</v>
      </c>
      <c r="J1436" s="9" t="n">
        <v>45905</v>
      </c>
      <c r="K1436" s="0" t="s">
        <v>2833</v>
      </c>
      <c r="L1436" s="0" t="n">
        <v>19</v>
      </c>
      <c r="M1436" s="10"/>
      <c r="N1436" s="10"/>
      <c r="O1436" s="0" t="str">
        <f aca="false">VLOOKUP(C1436,statusdetails!$A:$D,4,0)</f>
        <v>READY</v>
      </c>
    </row>
    <row r="1437" customFormat="false" ht="12.8" hidden="true" customHeight="false" outlineLevel="0" collapsed="false">
      <c r="A1437" s="0" t="n">
        <v>467601</v>
      </c>
      <c r="B1437" s="0" t="n">
        <v>467601</v>
      </c>
      <c r="C1437" s="0" t="n">
        <v>1</v>
      </c>
      <c r="D1437" s="0" t="n">
        <v>6</v>
      </c>
      <c r="E1437" s="0" t="n">
        <v>260</v>
      </c>
      <c r="F1437" s="0" t="n">
        <v>33</v>
      </c>
      <c r="G1437" s="0" t="n">
        <v>42</v>
      </c>
      <c r="H1437" s="0" t="s">
        <v>2801</v>
      </c>
      <c r="I1437" s="0" t="s">
        <v>2834</v>
      </c>
      <c r="J1437" s="9" t="n">
        <v>45905</v>
      </c>
      <c r="K1437" s="0" t="s">
        <v>2835</v>
      </c>
      <c r="L1437" s="0" t="n">
        <v>19</v>
      </c>
      <c r="M1437" s="10"/>
      <c r="N1437" s="10"/>
      <c r="O1437" s="0" t="str">
        <f aca="false">VLOOKUP(C1437,statusdetails!$A:$D,4,0)</f>
        <v>READY</v>
      </c>
    </row>
    <row r="1438" customFormat="false" ht="12.8" hidden="true" customHeight="false" outlineLevel="0" collapsed="false">
      <c r="A1438" s="0" t="n">
        <v>467602</v>
      </c>
      <c r="B1438" s="0" t="n">
        <v>467602</v>
      </c>
      <c r="C1438" s="0" t="n">
        <v>1</v>
      </c>
      <c r="D1438" s="0" t="n">
        <v>6</v>
      </c>
      <c r="E1438" s="0" t="n">
        <v>260</v>
      </c>
      <c r="F1438" s="0" t="n">
        <v>66</v>
      </c>
      <c r="G1438" s="0" t="n">
        <v>45</v>
      </c>
      <c r="H1438" s="0" t="s">
        <v>2814</v>
      </c>
      <c r="I1438" s="0" t="s">
        <v>2836</v>
      </c>
      <c r="J1438" s="9" t="n">
        <v>45905</v>
      </c>
      <c r="K1438" s="0" t="s">
        <v>2837</v>
      </c>
      <c r="L1438" s="0" t="n">
        <v>19</v>
      </c>
      <c r="M1438" s="10"/>
      <c r="N1438" s="10"/>
      <c r="O1438" s="0" t="str">
        <f aca="false">VLOOKUP(C1438,statusdetails!$A:$D,4,0)</f>
        <v>READY</v>
      </c>
    </row>
    <row r="1439" customFormat="false" ht="12.8" hidden="true" customHeight="false" outlineLevel="0" collapsed="false">
      <c r="A1439" s="0" t="n">
        <v>467603</v>
      </c>
      <c r="B1439" s="0" t="n">
        <v>467603</v>
      </c>
      <c r="C1439" s="0" t="n">
        <v>1</v>
      </c>
      <c r="D1439" s="0" t="n">
        <v>6</v>
      </c>
      <c r="E1439" s="0" t="n">
        <v>260</v>
      </c>
      <c r="F1439" s="0" t="n">
        <v>35</v>
      </c>
      <c r="G1439" s="0" t="n">
        <v>62</v>
      </c>
      <c r="H1439" s="0" t="s">
        <v>2816</v>
      </c>
      <c r="I1439" s="0" t="s">
        <v>2838</v>
      </c>
      <c r="J1439" s="9" t="n">
        <v>45905</v>
      </c>
      <c r="K1439" s="0" t="s">
        <v>2839</v>
      </c>
      <c r="L1439" s="0" t="n">
        <v>19</v>
      </c>
      <c r="M1439" s="10"/>
      <c r="N1439" s="10"/>
      <c r="O1439" s="0" t="str">
        <f aca="false">VLOOKUP(C1439,statusdetails!$A:$D,4,0)</f>
        <v>READY</v>
      </c>
    </row>
    <row r="1440" customFormat="false" ht="12.8" hidden="true" customHeight="false" outlineLevel="0" collapsed="false">
      <c r="A1440" s="0" t="n">
        <v>467604</v>
      </c>
      <c r="B1440" s="0" t="n">
        <v>467604</v>
      </c>
      <c r="C1440" s="0" t="n">
        <v>1</v>
      </c>
      <c r="D1440" s="0" t="n">
        <v>6</v>
      </c>
      <c r="E1440" s="0" t="n">
        <v>2524</v>
      </c>
      <c r="F1440" s="0" t="n">
        <v>74</v>
      </c>
      <c r="G1440" s="0" t="n">
        <v>0</v>
      </c>
      <c r="H1440" s="0" t="s">
        <v>2716</v>
      </c>
      <c r="I1440" s="0" t="s">
        <v>2840</v>
      </c>
      <c r="J1440" s="9" t="n">
        <v>45905</v>
      </c>
      <c r="K1440" s="0" t="s">
        <v>2841</v>
      </c>
      <c r="L1440" s="0" t="n">
        <v>19</v>
      </c>
      <c r="M1440" s="10"/>
      <c r="N1440" s="10"/>
      <c r="O1440" s="0" t="str">
        <f aca="false">VLOOKUP(C1440,statusdetails!$A:$D,4,0)</f>
        <v>READY</v>
      </c>
    </row>
    <row r="1441" customFormat="false" ht="12.8" hidden="true" customHeight="false" outlineLevel="0" collapsed="false">
      <c r="A1441" s="0" t="n">
        <v>467605</v>
      </c>
      <c r="B1441" s="0" t="n">
        <v>467605</v>
      </c>
      <c r="C1441" s="0" t="n">
        <v>4</v>
      </c>
      <c r="D1441" s="0" t="n">
        <v>16</v>
      </c>
      <c r="E1441" s="0" t="n">
        <v>666</v>
      </c>
      <c r="F1441" s="0" t="n">
        <v>41</v>
      </c>
      <c r="G1441" s="0" t="n">
        <v>118</v>
      </c>
      <c r="H1441" s="0" t="s">
        <v>2830</v>
      </c>
      <c r="I1441" s="0" t="s">
        <v>2842</v>
      </c>
      <c r="J1441" s="9" t="n">
        <v>45905</v>
      </c>
      <c r="K1441" s="0" t="s">
        <v>2843</v>
      </c>
      <c r="L1441" s="0" t="n">
        <v>19</v>
      </c>
      <c r="M1441" s="10"/>
      <c r="N1441" s="10"/>
      <c r="O1441" s="0" t="str">
        <f aca="false">VLOOKUP(C1441,statusdetails!$A:$D,4,0)</f>
        <v>MAINT</v>
      </c>
    </row>
    <row r="1442" customFormat="false" ht="12.8" hidden="true" customHeight="false" outlineLevel="0" collapsed="false">
      <c r="A1442" s="0" t="n">
        <v>467606</v>
      </c>
      <c r="B1442" s="0" t="n">
        <v>467606</v>
      </c>
      <c r="C1442" s="0" t="n">
        <v>1</v>
      </c>
      <c r="D1442" s="0" t="n">
        <v>2303</v>
      </c>
      <c r="E1442" s="0" t="n">
        <v>2149</v>
      </c>
      <c r="F1442" s="0" t="n">
        <v>90</v>
      </c>
      <c r="G1442" s="0" t="n">
        <v>163</v>
      </c>
      <c r="H1442" s="0" t="s">
        <v>2394</v>
      </c>
      <c r="I1442" s="0" t="s">
        <v>2844</v>
      </c>
      <c r="J1442" s="9" t="n">
        <v>45905</v>
      </c>
      <c r="K1442" s="0" t="s">
        <v>2845</v>
      </c>
      <c r="L1442" s="0" t="n">
        <v>19</v>
      </c>
      <c r="M1442" s="10"/>
      <c r="N1442" s="10"/>
      <c r="O1442" s="0" t="str">
        <f aca="false">VLOOKUP(C1442,statusdetails!$A:$D,4,0)</f>
        <v>READY</v>
      </c>
    </row>
    <row r="1443" customFormat="false" ht="12.8" hidden="true" customHeight="false" outlineLevel="0" collapsed="false">
      <c r="A1443" s="0" t="n">
        <v>467607</v>
      </c>
      <c r="B1443" s="0" t="n">
        <v>467607</v>
      </c>
      <c r="C1443" s="0" t="n">
        <v>1</v>
      </c>
      <c r="D1443" s="0" t="n">
        <v>6</v>
      </c>
      <c r="E1443" s="0" t="n">
        <v>372</v>
      </c>
      <c r="F1443" s="0" t="n">
        <v>37</v>
      </c>
      <c r="G1443" s="0" t="n">
        <v>54</v>
      </c>
      <c r="H1443" s="0" t="s">
        <v>2826</v>
      </c>
      <c r="I1443" s="0" t="s">
        <v>2846</v>
      </c>
      <c r="J1443" s="9" t="n">
        <v>45905</v>
      </c>
      <c r="K1443" s="0" t="s">
        <v>2847</v>
      </c>
      <c r="L1443" s="0" t="n">
        <v>19</v>
      </c>
      <c r="M1443" s="10"/>
      <c r="N1443" s="10"/>
      <c r="O1443" s="0" t="str">
        <f aca="false">VLOOKUP(C1443,statusdetails!$A:$D,4,0)</f>
        <v>READY</v>
      </c>
    </row>
    <row r="1444" customFormat="false" ht="12.8" hidden="true" customHeight="false" outlineLevel="0" collapsed="false">
      <c r="H1444" s="0"/>
      <c r="I1444" s="11"/>
      <c r="J1444" s="9"/>
    </row>
    <row r="1445" customFormat="false" ht="12.8" hidden="true" customHeight="false" outlineLevel="0" collapsed="false">
      <c r="H1445" s="0"/>
      <c r="I1445" s="0"/>
      <c r="J1445" s="9"/>
    </row>
    <row r="1446" customFormat="false" ht="12.8" hidden="false" customHeight="false" outlineLevel="0" collapsed="false">
      <c r="A1446" s="0" t="n">
        <v>467610</v>
      </c>
      <c r="B1446" s="0" t="n">
        <v>467610</v>
      </c>
      <c r="C1446" s="0" t="n">
        <v>3</v>
      </c>
      <c r="D1446" s="0" t="n">
        <v>12</v>
      </c>
      <c r="E1446" s="0" t="n">
        <v>1175</v>
      </c>
      <c r="F1446" s="0" t="n">
        <v>74</v>
      </c>
      <c r="G1446" s="0" t="n">
        <v>0</v>
      </c>
      <c r="H1446" s="1" t="s">
        <v>2840</v>
      </c>
      <c r="I1446" s="1" t="s">
        <v>2848</v>
      </c>
      <c r="J1446" s="9" t="n">
        <v>45905</v>
      </c>
      <c r="K1446" s="0" t="s">
        <v>2849</v>
      </c>
      <c r="L1446" s="0" t="n">
        <v>20</v>
      </c>
      <c r="M1446" s="10"/>
      <c r="N1446" s="10"/>
      <c r="O1446" s="0" t="str">
        <f aca="false">VLOOKUP(C1446,statusdetails!$A:$D,4,0)</f>
        <v>STANDBY</v>
      </c>
      <c r="P1446" s="0" t="str">
        <f aca="false">VLOOKUP(F1446,equipment!$A:$E,4,0)</f>
        <v>CR701</v>
      </c>
      <c r="Q1446" s="0" t="str">
        <f aca="false">VLOOKUP(F1446,equipment!$A:$E,5,0)</f>
        <v>CR701 - 74</v>
      </c>
    </row>
    <row r="1447" customFormat="false" ht="12.8" hidden="true" customHeight="false" outlineLevel="0" collapsed="false">
      <c r="A1447" s="0" t="n">
        <v>467611</v>
      </c>
      <c r="B1447" s="0" t="n">
        <v>467611</v>
      </c>
      <c r="C1447" s="0" t="n">
        <v>1</v>
      </c>
      <c r="D1447" s="0" t="n">
        <v>6</v>
      </c>
      <c r="E1447" s="0" t="n">
        <v>586</v>
      </c>
      <c r="F1447" s="0" t="n">
        <v>41</v>
      </c>
      <c r="G1447" s="0" t="n">
        <v>118</v>
      </c>
      <c r="H1447" s="0" t="s">
        <v>2842</v>
      </c>
      <c r="I1447" s="0" t="s">
        <v>2850</v>
      </c>
      <c r="J1447" s="9" t="n">
        <v>45905</v>
      </c>
      <c r="K1447" s="0" t="s">
        <v>2851</v>
      </c>
      <c r="L1447" s="0" t="n">
        <v>20</v>
      </c>
      <c r="M1447" s="10"/>
      <c r="N1447" s="10"/>
      <c r="O1447" s="0" t="str">
        <f aca="false">VLOOKUP(C1447,statusdetails!$A:$D,4,0)</f>
        <v>READY</v>
      </c>
    </row>
    <row r="1448" customFormat="false" ht="12.8" hidden="true" customHeight="false" outlineLevel="0" collapsed="false">
      <c r="H1448" s="0"/>
      <c r="I1448" s="0"/>
      <c r="J1448" s="9"/>
    </row>
    <row r="1449" customFormat="false" ht="12.8" hidden="true" customHeight="false" outlineLevel="0" collapsed="false">
      <c r="A1449" s="0" t="n">
        <v>467613</v>
      </c>
      <c r="B1449" s="0" t="n">
        <v>467613</v>
      </c>
      <c r="C1449" s="0" t="n">
        <v>1</v>
      </c>
      <c r="D1449" s="0" t="n">
        <v>6</v>
      </c>
      <c r="E1449" s="0" t="n">
        <v>260</v>
      </c>
      <c r="F1449" s="0" t="n">
        <v>35</v>
      </c>
      <c r="G1449" s="0" t="n">
        <v>62</v>
      </c>
      <c r="H1449" s="0" t="s">
        <v>2852</v>
      </c>
      <c r="I1449" s="0" t="s">
        <v>2853</v>
      </c>
      <c r="J1449" s="9" t="n">
        <v>45905</v>
      </c>
      <c r="K1449" s="0" t="s">
        <v>2854</v>
      </c>
      <c r="L1449" s="0" t="n">
        <v>20</v>
      </c>
      <c r="M1449" s="10"/>
      <c r="N1449" s="10"/>
      <c r="O1449" s="0" t="str">
        <f aca="false">VLOOKUP(C1449,statusdetails!$A:$D,4,0)</f>
        <v>READY</v>
      </c>
    </row>
    <row r="1450" customFormat="false" ht="12.8" hidden="true" customHeight="false" outlineLevel="0" collapsed="false">
      <c r="A1450" s="0" t="n">
        <v>467615</v>
      </c>
      <c r="B1450" s="0" t="n">
        <v>467614</v>
      </c>
      <c r="C1450" s="0" t="n">
        <v>1</v>
      </c>
      <c r="D1450" s="0" t="n">
        <v>6</v>
      </c>
      <c r="E1450" s="0" t="n">
        <v>2518</v>
      </c>
      <c r="F1450" s="0" t="n">
        <v>96</v>
      </c>
      <c r="G1450" s="0" t="n">
        <v>89</v>
      </c>
      <c r="H1450" s="11" t="n">
        <v>45905.8620717593</v>
      </c>
      <c r="I1450" s="0" t="s">
        <v>2855</v>
      </c>
      <c r="J1450" s="9" t="n">
        <v>45905</v>
      </c>
      <c r="K1450" s="0" t="s">
        <v>2856</v>
      </c>
      <c r="L1450" s="0" t="n">
        <v>20</v>
      </c>
      <c r="M1450" s="10"/>
      <c r="N1450" s="10"/>
      <c r="O1450" s="0" t="str">
        <f aca="false">VLOOKUP(C1450,statusdetails!$A:$D,4,0)</f>
        <v>READY</v>
      </c>
    </row>
    <row r="1451" customFormat="false" ht="12.8" hidden="true" customHeight="false" outlineLevel="0" collapsed="false">
      <c r="A1451" s="0" t="n">
        <v>467616</v>
      </c>
      <c r="B1451" s="0" t="n">
        <v>467616</v>
      </c>
      <c r="C1451" s="0" t="n">
        <v>1</v>
      </c>
      <c r="D1451" s="0" t="n">
        <v>6</v>
      </c>
      <c r="E1451" s="0" t="n">
        <v>1040</v>
      </c>
      <c r="F1451" s="0" t="n">
        <v>47</v>
      </c>
      <c r="G1451" s="0" t="n">
        <v>103</v>
      </c>
      <c r="H1451" s="0" t="s">
        <v>2773</v>
      </c>
      <c r="I1451" s="0" t="s">
        <v>2857</v>
      </c>
      <c r="J1451" s="9" t="n">
        <v>45905</v>
      </c>
      <c r="K1451" s="0" t="s">
        <v>2858</v>
      </c>
      <c r="L1451" s="0" t="n">
        <v>20</v>
      </c>
      <c r="M1451" s="10"/>
      <c r="N1451" s="10"/>
      <c r="O1451" s="0" t="str">
        <f aca="false">VLOOKUP(C1451,statusdetails!$A:$D,4,0)</f>
        <v>READY</v>
      </c>
    </row>
    <row r="1452" customFormat="false" ht="12.8" hidden="false" customHeight="false" outlineLevel="0" collapsed="false">
      <c r="A1452" s="0" t="n">
        <v>467617</v>
      </c>
      <c r="B1452" s="0" t="n">
        <v>467617</v>
      </c>
      <c r="C1452" s="0" t="n">
        <v>3</v>
      </c>
      <c r="D1452" s="0" t="n">
        <v>14</v>
      </c>
      <c r="E1452" s="0" t="n">
        <v>2555</v>
      </c>
      <c r="F1452" s="0" t="n">
        <v>85</v>
      </c>
      <c r="G1452" s="0" t="n">
        <v>147</v>
      </c>
      <c r="H1452" s="1" t="s">
        <v>2818</v>
      </c>
      <c r="I1452" s="1" t="s">
        <v>2859</v>
      </c>
      <c r="J1452" s="9" t="n">
        <v>45905</v>
      </c>
      <c r="K1452" s="0" t="s">
        <v>2860</v>
      </c>
      <c r="L1452" s="0" t="n">
        <v>20</v>
      </c>
      <c r="M1452" s="10"/>
      <c r="N1452" s="10"/>
      <c r="O1452" s="0" t="str">
        <f aca="false">VLOOKUP(C1452,statusdetails!$A:$D,4,0)</f>
        <v>STANDBY</v>
      </c>
      <c r="P1452" s="0" t="str">
        <f aca="false">VLOOKUP(F1452,equipment!$A:$E,4,0)</f>
        <v>CM02</v>
      </c>
      <c r="Q1452" s="0" t="str">
        <f aca="false">VLOOKUP(F1452,equipment!$A:$E,5,0)</f>
        <v>CM02 - 85</v>
      </c>
    </row>
    <row r="1453" customFormat="false" ht="12.8" hidden="false" customHeight="false" outlineLevel="0" collapsed="false">
      <c r="A1453" s="0" t="n">
        <v>467618</v>
      </c>
      <c r="B1453" s="0" t="n">
        <v>467618</v>
      </c>
      <c r="C1453" s="0" t="n">
        <v>3</v>
      </c>
      <c r="D1453" s="0" t="n">
        <v>14</v>
      </c>
      <c r="E1453" s="0" t="n">
        <v>2555</v>
      </c>
      <c r="F1453" s="0" t="n">
        <v>86</v>
      </c>
      <c r="G1453" s="0" t="n">
        <v>149</v>
      </c>
      <c r="H1453" s="1" t="s">
        <v>2822</v>
      </c>
      <c r="I1453" s="1" t="s">
        <v>2861</v>
      </c>
      <c r="J1453" s="9" t="n">
        <v>45905</v>
      </c>
      <c r="K1453" s="0" t="s">
        <v>2862</v>
      </c>
      <c r="L1453" s="0" t="n">
        <v>20</v>
      </c>
      <c r="M1453" s="10"/>
      <c r="N1453" s="10"/>
      <c r="O1453" s="0" t="str">
        <f aca="false">VLOOKUP(C1453,statusdetails!$A:$D,4,0)</f>
        <v>STANDBY</v>
      </c>
      <c r="P1453" s="0" t="str">
        <f aca="false">VLOOKUP(F1453,equipment!$A:$E,4,0)</f>
        <v>CM03</v>
      </c>
      <c r="Q1453" s="0" t="str">
        <f aca="false">VLOOKUP(F1453,equipment!$A:$E,5,0)</f>
        <v>CM03 - 86</v>
      </c>
    </row>
    <row r="1454" customFormat="false" ht="12.8" hidden="true" customHeight="false" outlineLevel="0" collapsed="false">
      <c r="H1454" s="0"/>
      <c r="I1454" s="0"/>
      <c r="J1454" s="9"/>
    </row>
    <row r="1455" customFormat="false" ht="12.8" hidden="false" customHeight="false" outlineLevel="0" collapsed="false">
      <c r="A1455" s="0" t="n">
        <v>467620</v>
      </c>
      <c r="B1455" s="0" t="n">
        <v>467620</v>
      </c>
      <c r="C1455" s="0" t="n">
        <v>3</v>
      </c>
      <c r="D1455" s="0" t="n">
        <v>14</v>
      </c>
      <c r="E1455" s="0" t="n">
        <v>2387</v>
      </c>
      <c r="F1455" s="0" t="n">
        <v>82</v>
      </c>
      <c r="G1455" s="0" t="n">
        <v>107</v>
      </c>
      <c r="H1455" s="1" t="s">
        <v>2832</v>
      </c>
      <c r="I1455" s="1" t="s">
        <v>2863</v>
      </c>
      <c r="J1455" s="9" t="n">
        <v>45905</v>
      </c>
      <c r="K1455" s="0" t="s">
        <v>2864</v>
      </c>
      <c r="L1455" s="0" t="n">
        <v>20</v>
      </c>
      <c r="M1455" s="10"/>
      <c r="N1455" s="10"/>
      <c r="O1455" s="0" t="str">
        <f aca="false">VLOOKUP(C1455,statusdetails!$A:$D,4,0)</f>
        <v>STANDBY</v>
      </c>
      <c r="P1455" s="0" t="str">
        <f aca="false">VLOOKUP(F1455,equipment!$A:$E,4,0)</f>
        <v>EX502</v>
      </c>
      <c r="Q1455" s="0" t="str">
        <f aca="false">VLOOKUP(F1455,equipment!$A:$E,5,0)</f>
        <v>EX502 - 82</v>
      </c>
    </row>
    <row r="1456" customFormat="false" ht="12.8" hidden="true" customHeight="false" outlineLevel="0" collapsed="false">
      <c r="H1456" s="0"/>
      <c r="I1456" s="0"/>
      <c r="J1456" s="9"/>
    </row>
    <row r="1457" customFormat="false" ht="12.8" hidden="true" customHeight="false" outlineLevel="0" collapsed="false">
      <c r="H1457" s="0"/>
      <c r="I1457" s="0"/>
      <c r="J1457" s="9"/>
    </row>
    <row r="1458" customFormat="false" ht="12.8" hidden="true" customHeight="false" outlineLevel="0" collapsed="false">
      <c r="H1458" s="0"/>
      <c r="I1458" s="0"/>
      <c r="J1458" s="9"/>
    </row>
    <row r="1459" customFormat="false" ht="12.8" hidden="true" customHeight="false" outlineLevel="0" collapsed="false">
      <c r="A1459" s="0" t="n">
        <v>467624</v>
      </c>
      <c r="B1459" s="0" t="n">
        <v>467624</v>
      </c>
      <c r="C1459" s="0" t="n">
        <v>1</v>
      </c>
      <c r="D1459" s="0" t="n">
        <v>6</v>
      </c>
      <c r="E1459" s="0" t="n">
        <v>2404</v>
      </c>
      <c r="F1459" s="0" t="n">
        <v>86</v>
      </c>
      <c r="G1459" s="0" t="n">
        <v>149</v>
      </c>
      <c r="H1459" s="0" t="s">
        <v>2861</v>
      </c>
      <c r="I1459" s="0" t="s">
        <v>2865</v>
      </c>
      <c r="J1459" s="9" t="n">
        <v>45905</v>
      </c>
      <c r="K1459" s="0" t="s">
        <v>2866</v>
      </c>
      <c r="L1459" s="0" t="n">
        <v>20</v>
      </c>
      <c r="M1459" s="10"/>
      <c r="N1459" s="10"/>
      <c r="O1459" s="0" t="str">
        <f aca="false">VLOOKUP(C1459,statusdetails!$A:$D,4,0)</f>
        <v>READY</v>
      </c>
    </row>
    <row r="1460" customFormat="false" ht="12.8" hidden="true" customHeight="false" outlineLevel="0" collapsed="false">
      <c r="A1460" s="0" t="n">
        <v>467625</v>
      </c>
      <c r="B1460" s="0" t="n">
        <v>467625</v>
      </c>
      <c r="C1460" s="0" t="n">
        <v>1</v>
      </c>
      <c r="D1460" s="0" t="n">
        <v>6</v>
      </c>
      <c r="E1460" s="0" t="n">
        <v>2518</v>
      </c>
      <c r="F1460" s="0" t="n">
        <v>82</v>
      </c>
      <c r="G1460" s="0" t="n">
        <v>107</v>
      </c>
      <c r="H1460" s="0" t="s">
        <v>2863</v>
      </c>
      <c r="I1460" s="0" t="s">
        <v>2867</v>
      </c>
      <c r="J1460" s="9" t="n">
        <v>45905</v>
      </c>
      <c r="K1460" s="0" t="s">
        <v>2868</v>
      </c>
      <c r="L1460" s="0" t="n">
        <v>20</v>
      </c>
      <c r="M1460" s="10"/>
      <c r="N1460" s="10"/>
      <c r="O1460" s="0" t="str">
        <f aca="false">VLOOKUP(C1460,statusdetails!$A:$D,4,0)</f>
        <v>READY</v>
      </c>
    </row>
    <row r="1461" customFormat="false" ht="12.8" hidden="true" customHeight="false" outlineLevel="0" collapsed="false">
      <c r="A1461" s="0" t="n">
        <v>467626</v>
      </c>
      <c r="B1461" s="0" t="n">
        <v>467626</v>
      </c>
      <c r="C1461" s="0" t="n">
        <v>1</v>
      </c>
      <c r="D1461" s="0" t="n">
        <v>6</v>
      </c>
      <c r="E1461" s="0" t="n">
        <v>2404</v>
      </c>
      <c r="F1461" s="0" t="n">
        <v>84</v>
      </c>
      <c r="G1461" s="0" t="n">
        <v>82</v>
      </c>
      <c r="H1461" s="0" t="s">
        <v>2869</v>
      </c>
      <c r="I1461" s="0" t="s">
        <v>2870</v>
      </c>
      <c r="J1461" s="9" t="n">
        <v>45905</v>
      </c>
      <c r="K1461" s="0" t="s">
        <v>2871</v>
      </c>
      <c r="L1461" s="0" t="n">
        <v>20</v>
      </c>
      <c r="M1461" s="10"/>
      <c r="N1461" s="10"/>
      <c r="O1461" s="0" t="str">
        <f aca="false">VLOOKUP(C1461,statusdetails!$A:$D,4,0)</f>
        <v>READY</v>
      </c>
    </row>
    <row r="1462" customFormat="false" ht="12.8" hidden="true" customHeight="false" outlineLevel="0" collapsed="false">
      <c r="A1462" s="0" t="n">
        <v>467627</v>
      </c>
      <c r="B1462" s="0" t="n">
        <v>467627</v>
      </c>
      <c r="C1462" s="0" t="n">
        <v>1</v>
      </c>
      <c r="D1462" s="0" t="n">
        <v>6</v>
      </c>
      <c r="E1462" s="0" t="n">
        <v>2404</v>
      </c>
      <c r="F1462" s="0" t="n">
        <v>87</v>
      </c>
      <c r="G1462" s="0" t="n">
        <v>148</v>
      </c>
      <c r="H1462" s="0" t="s">
        <v>2872</v>
      </c>
      <c r="I1462" s="0" t="s">
        <v>2873</v>
      </c>
      <c r="J1462" s="9" t="n">
        <v>45905</v>
      </c>
      <c r="K1462" s="0" t="s">
        <v>2874</v>
      </c>
      <c r="L1462" s="0" t="n">
        <v>20</v>
      </c>
      <c r="M1462" s="10"/>
      <c r="N1462" s="10"/>
      <c r="O1462" s="0" t="str">
        <f aca="false">VLOOKUP(C1462,statusdetails!$A:$D,4,0)</f>
        <v>READY</v>
      </c>
    </row>
    <row r="1463" customFormat="false" ht="12.8" hidden="true" customHeight="false" outlineLevel="0" collapsed="false">
      <c r="A1463" s="0" t="n">
        <v>467628</v>
      </c>
      <c r="B1463" s="0" t="n">
        <v>467628</v>
      </c>
      <c r="C1463" s="0" t="n">
        <v>1</v>
      </c>
      <c r="D1463" s="0" t="n">
        <v>6</v>
      </c>
      <c r="E1463" s="0" t="n">
        <v>2404</v>
      </c>
      <c r="F1463" s="0" t="n">
        <v>85</v>
      </c>
      <c r="G1463" s="0" t="n">
        <v>147</v>
      </c>
      <c r="H1463" s="0" t="s">
        <v>2875</v>
      </c>
      <c r="I1463" s="0" t="s">
        <v>2876</v>
      </c>
      <c r="J1463" s="9" t="n">
        <v>45905</v>
      </c>
      <c r="K1463" s="0" t="s">
        <v>2877</v>
      </c>
      <c r="L1463" s="0" t="n">
        <v>20</v>
      </c>
      <c r="M1463" s="10"/>
      <c r="N1463" s="10"/>
      <c r="O1463" s="0" t="str">
        <f aca="false">VLOOKUP(C1463,statusdetails!$A:$D,4,0)</f>
        <v>READY</v>
      </c>
    </row>
    <row r="1464" customFormat="false" ht="12.8" hidden="true" customHeight="false" outlineLevel="0" collapsed="false">
      <c r="A1464" s="0" t="n">
        <v>467629</v>
      </c>
      <c r="B1464" s="0" t="n">
        <v>467629</v>
      </c>
      <c r="C1464" s="0" t="n">
        <v>1</v>
      </c>
      <c r="D1464" s="0" t="n">
        <v>6</v>
      </c>
      <c r="E1464" s="0" t="n">
        <v>2404</v>
      </c>
      <c r="F1464" s="0" t="n">
        <v>89</v>
      </c>
      <c r="G1464" s="0" t="n">
        <v>150</v>
      </c>
      <c r="H1464" s="0" t="s">
        <v>2878</v>
      </c>
      <c r="I1464" s="0" t="s">
        <v>2879</v>
      </c>
      <c r="J1464" s="9" t="n">
        <v>45905</v>
      </c>
      <c r="K1464" s="0" t="s">
        <v>2880</v>
      </c>
      <c r="L1464" s="0" t="n">
        <v>21</v>
      </c>
      <c r="M1464" s="10"/>
      <c r="N1464" s="10"/>
      <c r="O1464" s="0" t="str">
        <f aca="false">VLOOKUP(C1464,statusdetails!$A:$D,4,0)</f>
        <v>READY</v>
      </c>
    </row>
    <row r="1465" customFormat="false" ht="12.8" hidden="true" customHeight="false" outlineLevel="0" collapsed="false">
      <c r="H1465" s="0"/>
      <c r="I1465" s="0"/>
      <c r="J1465" s="9"/>
    </row>
    <row r="1466" customFormat="false" ht="12.8" hidden="false" customHeight="false" outlineLevel="0" collapsed="false">
      <c r="A1466" s="0" t="n">
        <v>467631</v>
      </c>
      <c r="B1466" s="0" t="n">
        <v>467631</v>
      </c>
      <c r="C1466" s="0" t="n">
        <v>3</v>
      </c>
      <c r="D1466" s="0" t="n">
        <v>14</v>
      </c>
      <c r="E1466" s="0" t="n">
        <v>1162</v>
      </c>
      <c r="F1466" s="0" t="n">
        <v>32</v>
      </c>
      <c r="G1466" s="0" t="n">
        <v>67</v>
      </c>
      <c r="H1466" s="1" t="s">
        <v>2710</v>
      </c>
      <c r="I1466" s="1" t="s">
        <v>2881</v>
      </c>
      <c r="J1466" s="9" t="n">
        <v>45905</v>
      </c>
      <c r="K1466" s="0" t="s">
        <v>2882</v>
      </c>
      <c r="L1466" s="0" t="n">
        <v>21</v>
      </c>
      <c r="M1466" s="10"/>
      <c r="N1466" s="10"/>
      <c r="O1466" s="0" t="str">
        <f aca="false">VLOOKUP(C1466,statusdetails!$A:$D,4,0)</f>
        <v>STANDBY</v>
      </c>
      <c r="P1466" s="0" t="str">
        <f aca="false">VLOOKUP(F1466,equipment!$A:$E,4,0)</f>
        <v>CM403</v>
      </c>
      <c r="Q1466" s="0" t="str">
        <f aca="false">VLOOKUP(F1466,equipment!$A:$E,5,0)</f>
        <v>CM403 - 32</v>
      </c>
    </row>
    <row r="1467" customFormat="false" ht="12.8" hidden="true" customHeight="false" outlineLevel="0" collapsed="false">
      <c r="A1467" s="0" t="n">
        <v>467632</v>
      </c>
      <c r="B1467" s="0" t="n">
        <v>467632</v>
      </c>
      <c r="C1467" s="0" t="n">
        <v>1</v>
      </c>
      <c r="D1467" s="0" t="n">
        <v>6</v>
      </c>
      <c r="E1467" s="0" t="n">
        <v>260</v>
      </c>
      <c r="F1467" s="0" t="n">
        <v>33</v>
      </c>
      <c r="G1467" s="0" t="n">
        <v>42</v>
      </c>
      <c r="H1467" s="0" t="s">
        <v>2883</v>
      </c>
      <c r="I1467" s="0" t="s">
        <v>2884</v>
      </c>
      <c r="J1467" s="9" t="n">
        <v>45905</v>
      </c>
      <c r="K1467" s="0" t="s">
        <v>2885</v>
      </c>
      <c r="L1467" s="0" t="n">
        <v>21</v>
      </c>
      <c r="M1467" s="10"/>
      <c r="N1467" s="10"/>
      <c r="O1467" s="0" t="str">
        <f aca="false">VLOOKUP(C1467,statusdetails!$A:$D,4,0)</f>
        <v>READY</v>
      </c>
    </row>
    <row r="1468" customFormat="false" ht="12.8" hidden="true" customHeight="false" outlineLevel="0" collapsed="false">
      <c r="A1468" s="0" t="n">
        <v>467633</v>
      </c>
      <c r="B1468" s="0" t="n">
        <v>467633</v>
      </c>
      <c r="C1468" s="0" t="n">
        <v>1</v>
      </c>
      <c r="D1468" s="0" t="n">
        <v>6</v>
      </c>
      <c r="E1468" s="0" t="n">
        <v>260</v>
      </c>
      <c r="F1468" s="0" t="n">
        <v>32</v>
      </c>
      <c r="G1468" s="0" t="n">
        <v>67</v>
      </c>
      <c r="H1468" s="0" t="s">
        <v>2881</v>
      </c>
      <c r="I1468" s="0" t="s">
        <v>2886</v>
      </c>
      <c r="J1468" s="9" t="n">
        <v>45905</v>
      </c>
      <c r="K1468" s="0" t="s">
        <v>2887</v>
      </c>
      <c r="L1468" s="0" t="n">
        <v>21</v>
      </c>
      <c r="M1468" s="10"/>
      <c r="N1468" s="10"/>
      <c r="O1468" s="0" t="str">
        <f aca="false">VLOOKUP(C1468,statusdetails!$A:$D,4,0)</f>
        <v>READY</v>
      </c>
    </row>
    <row r="1469" customFormat="false" ht="12.8" hidden="false" customHeight="false" outlineLevel="0" collapsed="false">
      <c r="A1469" s="0" t="n">
        <v>467634</v>
      </c>
      <c r="B1469" s="0" t="n">
        <v>467634</v>
      </c>
      <c r="C1469" s="0" t="n">
        <v>3</v>
      </c>
      <c r="D1469" s="0" t="n">
        <v>14</v>
      </c>
      <c r="E1469" s="0" t="n">
        <v>2503</v>
      </c>
      <c r="F1469" s="0" t="n">
        <v>89</v>
      </c>
      <c r="G1469" s="0" t="n">
        <v>150</v>
      </c>
      <c r="H1469" s="1" t="s">
        <v>2879</v>
      </c>
      <c r="I1469" s="1" t="s">
        <v>2888</v>
      </c>
      <c r="J1469" s="9" t="n">
        <v>45905</v>
      </c>
      <c r="K1469" s="0" t="s">
        <v>2889</v>
      </c>
      <c r="L1469" s="0" t="n">
        <v>21</v>
      </c>
      <c r="M1469" s="10"/>
      <c r="N1469" s="10"/>
      <c r="O1469" s="0" t="str">
        <f aca="false">VLOOKUP(C1469,statusdetails!$A:$D,4,0)</f>
        <v>STANDBY</v>
      </c>
      <c r="P1469" s="0" t="str">
        <f aca="false">VLOOKUP(F1469,equipment!$A:$E,4,0)</f>
        <v>CM06</v>
      </c>
      <c r="Q1469" s="0" t="str">
        <f aca="false">VLOOKUP(F1469,equipment!$A:$E,5,0)</f>
        <v>CM06 - 89</v>
      </c>
    </row>
    <row r="1470" customFormat="false" ht="12.8" hidden="true" customHeight="false" outlineLevel="0" collapsed="false">
      <c r="A1470" s="0" t="n">
        <v>467635</v>
      </c>
      <c r="B1470" s="0" t="n">
        <v>467635</v>
      </c>
      <c r="C1470" s="0" t="n">
        <v>1</v>
      </c>
      <c r="D1470" s="0" t="n">
        <v>6</v>
      </c>
      <c r="E1470" s="0" t="n">
        <v>2404</v>
      </c>
      <c r="F1470" s="0" t="n">
        <v>89</v>
      </c>
      <c r="G1470" s="0" t="n">
        <v>150</v>
      </c>
      <c r="H1470" s="0" t="s">
        <v>2888</v>
      </c>
      <c r="I1470" s="0" t="s">
        <v>2890</v>
      </c>
      <c r="J1470" s="9" t="n">
        <v>45905</v>
      </c>
      <c r="K1470" s="0" t="s">
        <v>2891</v>
      </c>
      <c r="L1470" s="0" t="n">
        <v>21</v>
      </c>
      <c r="M1470" s="10"/>
      <c r="N1470" s="10"/>
      <c r="O1470" s="0" t="str">
        <f aca="false">VLOOKUP(C1470,statusdetails!$A:$D,4,0)</f>
        <v>READY</v>
      </c>
    </row>
    <row r="1471" customFormat="false" ht="12.8" hidden="true" customHeight="false" outlineLevel="0" collapsed="false">
      <c r="H1471" s="0"/>
      <c r="I1471" s="0"/>
      <c r="J1471" s="9"/>
    </row>
    <row r="1472" customFormat="false" ht="12.8" hidden="true" customHeight="false" outlineLevel="0" collapsed="false">
      <c r="H1472" s="0"/>
      <c r="I1472" s="0"/>
      <c r="J1472" s="9"/>
    </row>
    <row r="1473" customFormat="false" ht="12.8" hidden="true" customHeight="false" outlineLevel="0" collapsed="false">
      <c r="H1473" s="0"/>
      <c r="I1473" s="0"/>
      <c r="J1473" s="9"/>
    </row>
    <row r="1474" customFormat="false" ht="12.8" hidden="true" customHeight="false" outlineLevel="0" collapsed="false">
      <c r="A1474" s="0" t="n">
        <v>467639</v>
      </c>
      <c r="B1474" s="0" t="n">
        <v>467639</v>
      </c>
      <c r="C1474" s="0" t="n">
        <v>1</v>
      </c>
      <c r="D1474" s="0" t="n">
        <v>6</v>
      </c>
      <c r="E1474" s="0" t="n">
        <v>260</v>
      </c>
      <c r="F1474" s="0" t="n">
        <v>66</v>
      </c>
      <c r="G1474" s="0" t="n">
        <v>66</v>
      </c>
      <c r="H1474" s="0" t="s">
        <v>2892</v>
      </c>
      <c r="I1474" s="0" t="s">
        <v>2893</v>
      </c>
      <c r="J1474" s="9" t="n">
        <v>45905</v>
      </c>
      <c r="K1474" s="0" t="s">
        <v>2894</v>
      </c>
      <c r="L1474" s="0" t="n">
        <v>22</v>
      </c>
      <c r="M1474" s="10"/>
      <c r="N1474" s="10"/>
      <c r="O1474" s="0" t="str">
        <f aca="false">VLOOKUP(C1474,statusdetails!$A:$D,4,0)</f>
        <v>READY</v>
      </c>
    </row>
    <row r="1475" customFormat="false" ht="12.8" hidden="true" customHeight="false" outlineLevel="0" collapsed="false">
      <c r="A1475" s="0" t="n">
        <v>467640</v>
      </c>
      <c r="B1475" s="0" t="n">
        <v>467640</v>
      </c>
      <c r="C1475" s="0" t="n">
        <v>1</v>
      </c>
      <c r="D1475" s="0" t="n">
        <v>6</v>
      </c>
      <c r="E1475" s="0" t="n">
        <v>2518</v>
      </c>
      <c r="F1475" s="0" t="n">
        <v>96</v>
      </c>
      <c r="G1475" s="0" t="n">
        <v>89</v>
      </c>
      <c r="H1475" s="0" t="s">
        <v>2895</v>
      </c>
      <c r="I1475" s="0" t="s">
        <v>2896</v>
      </c>
      <c r="J1475" s="9" t="n">
        <v>45905</v>
      </c>
      <c r="K1475" s="0" t="s">
        <v>2897</v>
      </c>
      <c r="L1475" s="0" t="n">
        <v>22</v>
      </c>
      <c r="M1475" s="10"/>
      <c r="N1475" s="10"/>
      <c r="O1475" s="0" t="str">
        <f aca="false">VLOOKUP(C1475,statusdetails!$A:$D,4,0)</f>
        <v>READY</v>
      </c>
    </row>
    <row r="1476" customFormat="false" ht="12.8" hidden="true" customHeight="false" outlineLevel="0" collapsed="false">
      <c r="A1476" s="0" t="n">
        <v>467641</v>
      </c>
      <c r="B1476" s="0" t="n">
        <v>467641</v>
      </c>
      <c r="C1476" s="0" t="n">
        <v>1</v>
      </c>
      <c r="D1476" s="0" t="n">
        <v>6</v>
      </c>
      <c r="E1476" s="0" t="n">
        <v>260</v>
      </c>
      <c r="F1476" s="0" t="n">
        <v>35</v>
      </c>
      <c r="G1476" s="0" t="n">
        <v>62</v>
      </c>
      <c r="H1476" s="0" t="s">
        <v>2898</v>
      </c>
      <c r="I1476" s="0" t="s">
        <v>2899</v>
      </c>
      <c r="J1476" s="9" t="n">
        <v>45905</v>
      </c>
      <c r="K1476" s="0" t="s">
        <v>2900</v>
      </c>
      <c r="L1476" s="0" t="n">
        <v>22</v>
      </c>
      <c r="M1476" s="10"/>
      <c r="N1476" s="10"/>
      <c r="O1476" s="0" t="str">
        <f aca="false">VLOOKUP(C1476,statusdetails!$A:$D,4,0)</f>
        <v>READY</v>
      </c>
    </row>
    <row r="1477" customFormat="false" ht="12.8" hidden="true" customHeight="false" outlineLevel="0" collapsed="false">
      <c r="H1477" s="0"/>
      <c r="I1477" s="0"/>
      <c r="J1477" s="9"/>
    </row>
    <row r="1478" customFormat="false" ht="12.8" hidden="true" customHeight="false" outlineLevel="0" collapsed="false">
      <c r="A1478" s="0" t="n">
        <v>467643</v>
      </c>
      <c r="B1478" s="0" t="n">
        <v>467643</v>
      </c>
      <c r="C1478" s="0" t="n">
        <v>1</v>
      </c>
      <c r="D1478" s="0" t="n">
        <v>6</v>
      </c>
      <c r="E1478" s="0" t="n">
        <v>811</v>
      </c>
      <c r="F1478" s="0" t="n">
        <v>43</v>
      </c>
      <c r="G1478" s="0" t="n">
        <v>16</v>
      </c>
      <c r="H1478" s="0" t="s">
        <v>2901</v>
      </c>
      <c r="I1478" s="0" t="s">
        <v>2902</v>
      </c>
      <c r="J1478" s="9" t="n">
        <v>45905</v>
      </c>
      <c r="K1478" s="0" t="s">
        <v>2903</v>
      </c>
      <c r="L1478" s="0" t="n">
        <v>22</v>
      </c>
      <c r="M1478" s="10"/>
      <c r="N1478" s="10"/>
      <c r="O1478" s="0" t="str">
        <f aca="false">VLOOKUP(C1478,statusdetails!$A:$D,4,0)</f>
        <v>READY</v>
      </c>
    </row>
    <row r="1479" customFormat="false" ht="12.8" hidden="false" customHeight="false" outlineLevel="0" collapsed="false">
      <c r="A1479" s="0" t="n">
        <v>467644</v>
      </c>
      <c r="B1479" s="0" t="n">
        <v>467644</v>
      </c>
      <c r="C1479" s="0" t="n">
        <v>3</v>
      </c>
      <c r="D1479" s="0" t="n">
        <v>14</v>
      </c>
      <c r="E1479" s="0" t="n">
        <v>1105</v>
      </c>
      <c r="F1479" s="0" t="n">
        <v>33</v>
      </c>
      <c r="G1479" s="0" t="n">
        <v>42</v>
      </c>
      <c r="H1479" s="1" t="s">
        <v>2884</v>
      </c>
      <c r="I1479" s="1" t="s">
        <v>2904</v>
      </c>
      <c r="J1479" s="9" t="n">
        <v>45905</v>
      </c>
      <c r="K1479" s="0" t="s">
        <v>2905</v>
      </c>
      <c r="L1479" s="0" t="n">
        <v>22</v>
      </c>
      <c r="M1479" s="10"/>
      <c r="N1479" s="10"/>
      <c r="O1479" s="0" t="str">
        <f aca="false">VLOOKUP(C1479,statusdetails!$A:$D,4,0)</f>
        <v>STANDBY</v>
      </c>
      <c r="P1479" s="0" t="str">
        <f aca="false">VLOOKUP(F1479,equipment!$A:$E,4,0)</f>
        <v>CM406</v>
      </c>
      <c r="Q1479" s="0" t="str">
        <f aca="false">VLOOKUP(F1479,equipment!$A:$E,5,0)</f>
        <v>CM406 - 33</v>
      </c>
    </row>
    <row r="1480" customFormat="false" ht="12.8" hidden="true" customHeight="false" outlineLevel="0" collapsed="false">
      <c r="A1480" s="0" t="n">
        <v>467645</v>
      </c>
      <c r="B1480" s="0" t="n">
        <v>467645</v>
      </c>
      <c r="C1480" s="0" t="n">
        <v>1</v>
      </c>
      <c r="D1480" s="0" t="n">
        <v>6</v>
      </c>
      <c r="E1480" s="0" t="n">
        <v>260</v>
      </c>
      <c r="F1480" s="0" t="n">
        <v>33</v>
      </c>
      <c r="G1480" s="0" t="n">
        <v>61</v>
      </c>
      <c r="H1480" s="0" t="s">
        <v>2904</v>
      </c>
      <c r="I1480" s="0" t="s">
        <v>2906</v>
      </c>
      <c r="J1480" s="9" t="n">
        <v>45905</v>
      </c>
      <c r="K1480" s="0" t="s">
        <v>2907</v>
      </c>
      <c r="L1480" s="0" t="n">
        <v>22</v>
      </c>
      <c r="M1480" s="10"/>
      <c r="N1480" s="10"/>
      <c r="O1480" s="0" t="str">
        <f aca="false">VLOOKUP(C1480,statusdetails!$A:$D,4,0)</f>
        <v>READY</v>
      </c>
    </row>
    <row r="1481" customFormat="false" ht="12.8" hidden="false" customHeight="false" outlineLevel="0" collapsed="false">
      <c r="A1481" s="0" t="n">
        <v>467646</v>
      </c>
      <c r="B1481" s="0" t="n">
        <v>467646</v>
      </c>
      <c r="C1481" s="0" t="n">
        <v>3</v>
      </c>
      <c r="D1481" s="0" t="n">
        <v>12</v>
      </c>
      <c r="E1481" s="0" t="n">
        <v>608</v>
      </c>
      <c r="F1481" s="0" t="n">
        <v>41</v>
      </c>
      <c r="G1481" s="0" t="n">
        <v>118</v>
      </c>
      <c r="H1481" s="1" t="s">
        <v>2850</v>
      </c>
      <c r="I1481" s="1" t="s">
        <v>2908</v>
      </c>
      <c r="J1481" s="9" t="n">
        <v>45905</v>
      </c>
      <c r="K1481" s="0" t="s">
        <v>2909</v>
      </c>
      <c r="L1481" s="0" t="n">
        <v>22</v>
      </c>
      <c r="M1481" s="10"/>
      <c r="N1481" s="10"/>
      <c r="O1481" s="0" t="str">
        <f aca="false">VLOOKUP(C1481,statusdetails!$A:$D,4,0)</f>
        <v>STANDBY</v>
      </c>
      <c r="P1481" s="0" t="str">
        <f aca="false">VLOOKUP(F1481,equipment!$A:$E,4,0)</f>
        <v>MO102</v>
      </c>
      <c r="Q1481" s="0" t="str">
        <f aca="false">VLOOKUP(F1481,equipment!$A:$E,5,0)</f>
        <v>MO102 - 41</v>
      </c>
    </row>
    <row r="1482" customFormat="false" ht="12.8" hidden="false" customHeight="false" outlineLevel="0" collapsed="false">
      <c r="A1482" s="0" t="n">
        <v>467647</v>
      </c>
      <c r="B1482" s="0" t="n">
        <v>467647</v>
      </c>
      <c r="C1482" s="0" t="n">
        <v>3</v>
      </c>
      <c r="D1482" s="0" t="n">
        <v>12</v>
      </c>
      <c r="E1482" s="0" t="n">
        <v>2453</v>
      </c>
      <c r="F1482" s="0" t="n">
        <v>90</v>
      </c>
      <c r="G1482" s="0" t="n">
        <v>7</v>
      </c>
      <c r="H1482" s="1" t="s">
        <v>2844</v>
      </c>
      <c r="I1482" s="1" t="s">
        <v>2910</v>
      </c>
      <c r="J1482" s="9" t="n">
        <v>45905</v>
      </c>
      <c r="K1482" s="0" t="s">
        <v>2911</v>
      </c>
      <c r="L1482" s="0" t="n">
        <v>23</v>
      </c>
      <c r="M1482" s="10"/>
      <c r="N1482" s="10"/>
      <c r="O1482" s="0" t="str">
        <f aca="false">VLOOKUP(C1482,statusdetails!$A:$D,4,0)</f>
        <v>STANDBY</v>
      </c>
      <c r="P1482" s="0" t="str">
        <f aca="false">VLOOKUP(F1482,equipment!$A:$E,4,0)</f>
        <v>EX803</v>
      </c>
      <c r="Q1482" s="0" t="str">
        <f aca="false">VLOOKUP(F1482,equipment!$A:$E,5,0)</f>
        <v>EX803 - 90</v>
      </c>
    </row>
    <row r="1483" customFormat="false" ht="12.8" hidden="true" customHeight="false" outlineLevel="0" collapsed="false">
      <c r="A1483" s="0" t="n">
        <v>467648</v>
      </c>
      <c r="B1483" s="0" t="n">
        <v>467648</v>
      </c>
      <c r="C1483" s="0" t="n">
        <v>4</v>
      </c>
      <c r="D1483" s="0" t="n">
        <v>15</v>
      </c>
      <c r="E1483" s="0" t="n">
        <v>194</v>
      </c>
      <c r="F1483" s="0" t="n">
        <v>45</v>
      </c>
      <c r="G1483" s="0" t="n">
        <v>133</v>
      </c>
      <c r="H1483" s="0" t="s">
        <v>2786</v>
      </c>
      <c r="I1483" s="0" t="s">
        <v>2912</v>
      </c>
      <c r="J1483" s="9" t="n">
        <v>45905</v>
      </c>
      <c r="K1483" s="0" t="s">
        <v>2913</v>
      </c>
      <c r="L1483" s="0" t="n">
        <v>23</v>
      </c>
      <c r="M1483" s="10"/>
      <c r="N1483" s="10"/>
      <c r="O1483" s="0" t="str">
        <f aca="false">VLOOKUP(C1483,statusdetails!$A:$D,4,0)</f>
        <v>MAINT</v>
      </c>
    </row>
    <row r="1484" customFormat="false" ht="12.8" hidden="false" customHeight="false" outlineLevel="0" collapsed="false">
      <c r="A1484" s="0" t="n">
        <v>467649</v>
      </c>
      <c r="B1484" s="0" t="n">
        <v>467649</v>
      </c>
      <c r="C1484" s="0" t="n">
        <v>3</v>
      </c>
      <c r="D1484" s="0" t="n">
        <v>12</v>
      </c>
      <c r="E1484" s="0" t="n">
        <v>1011</v>
      </c>
      <c r="F1484" s="0" t="n">
        <v>33</v>
      </c>
      <c r="G1484" s="0" t="n">
        <v>61</v>
      </c>
      <c r="H1484" s="1" t="s">
        <v>2906</v>
      </c>
      <c r="I1484" s="1" t="s">
        <v>2914</v>
      </c>
      <c r="J1484" s="9" t="n">
        <v>45905</v>
      </c>
      <c r="K1484" s="0" t="s">
        <v>2915</v>
      </c>
      <c r="L1484" s="0" t="n">
        <v>23</v>
      </c>
      <c r="M1484" s="10"/>
      <c r="N1484" s="10"/>
      <c r="O1484" s="0" t="str">
        <f aca="false">VLOOKUP(C1484,statusdetails!$A:$D,4,0)</f>
        <v>STANDBY</v>
      </c>
      <c r="P1484" s="0" t="str">
        <f aca="false">VLOOKUP(F1484,equipment!$A:$E,4,0)</f>
        <v>CM406</v>
      </c>
      <c r="Q1484" s="0" t="str">
        <f aca="false">VLOOKUP(F1484,equipment!$A:$E,5,0)</f>
        <v>CM406 - 33</v>
      </c>
    </row>
    <row r="1485" customFormat="false" ht="12.8" hidden="false" customHeight="false" outlineLevel="0" collapsed="false">
      <c r="A1485" s="0" t="n">
        <v>467650</v>
      </c>
      <c r="B1485" s="0" t="n">
        <v>467650</v>
      </c>
      <c r="C1485" s="0" t="n">
        <v>3</v>
      </c>
      <c r="D1485" s="0" t="n">
        <v>12</v>
      </c>
      <c r="E1485" s="0" t="n">
        <v>1011</v>
      </c>
      <c r="F1485" s="0" t="n">
        <v>32</v>
      </c>
      <c r="G1485" s="0" t="n">
        <v>67</v>
      </c>
      <c r="H1485" s="1" t="s">
        <v>2886</v>
      </c>
      <c r="I1485" s="1" t="s">
        <v>2916</v>
      </c>
      <c r="J1485" s="9" t="n">
        <v>45905</v>
      </c>
      <c r="K1485" s="0" t="s">
        <v>2917</v>
      </c>
      <c r="L1485" s="0" t="n">
        <v>0</v>
      </c>
      <c r="M1485" s="10"/>
      <c r="N1485" s="10"/>
      <c r="O1485" s="0" t="str">
        <f aca="false">VLOOKUP(C1485,statusdetails!$A:$D,4,0)</f>
        <v>STANDBY</v>
      </c>
      <c r="P1485" s="0" t="str">
        <f aca="false">VLOOKUP(F1485,equipment!$A:$E,4,0)</f>
        <v>CM403</v>
      </c>
      <c r="Q1485" s="0" t="str">
        <f aca="false">VLOOKUP(F1485,equipment!$A:$E,5,0)</f>
        <v>CM403 - 32</v>
      </c>
    </row>
    <row r="1486" customFormat="false" ht="12.8" hidden="true" customHeight="false" outlineLevel="0" collapsed="false">
      <c r="A1486" s="0" t="n">
        <v>467652</v>
      </c>
      <c r="B1486" s="0" t="n">
        <v>467349</v>
      </c>
      <c r="C1486" s="0" t="n">
        <v>4</v>
      </c>
      <c r="D1486" s="0" t="n">
        <v>16</v>
      </c>
      <c r="E1486" s="0" t="n">
        <v>966</v>
      </c>
      <c r="F1486" s="0" t="n">
        <v>34</v>
      </c>
      <c r="G1486" s="0" t="n">
        <v>67</v>
      </c>
      <c r="H1486" s="11" t="n">
        <v>45904.9710416667</v>
      </c>
      <c r="I1486" s="13" t="n">
        <v>45904</v>
      </c>
      <c r="J1486" s="2" t="n">
        <v>23</v>
      </c>
      <c r="M1486" s="0"/>
      <c r="N1486" s="0"/>
    </row>
    <row r="1487" customFormat="false" ht="12.8" hidden="false" customHeight="false" outlineLevel="0" collapsed="false">
      <c r="A1487" s="0" t="n">
        <v>467653</v>
      </c>
      <c r="B1487" s="0" t="n">
        <v>467653</v>
      </c>
      <c r="C1487" s="0" t="n">
        <v>3</v>
      </c>
      <c r="D1487" s="0" t="n">
        <v>12</v>
      </c>
      <c r="E1487" s="0" t="n">
        <v>394</v>
      </c>
      <c r="F1487" s="0" t="n">
        <v>37</v>
      </c>
      <c r="G1487" s="0" t="n">
        <v>54</v>
      </c>
      <c r="H1487" s="1" t="s">
        <v>2846</v>
      </c>
      <c r="I1487" s="1" t="s">
        <v>2918</v>
      </c>
      <c r="J1487" s="9" t="n">
        <v>45905</v>
      </c>
      <c r="K1487" s="0" t="s">
        <v>2919</v>
      </c>
      <c r="L1487" s="0" t="n">
        <v>0</v>
      </c>
      <c r="M1487" s="10"/>
      <c r="N1487" s="10"/>
      <c r="O1487" s="0" t="str">
        <f aca="false">VLOOKUP(C1487,statusdetails!$A:$D,4,0)</f>
        <v>STANDBY</v>
      </c>
      <c r="P1487" s="0" t="str">
        <f aca="false">VLOOKUP(F1487,equipment!$A:$E,4,0)</f>
        <v>DZ201</v>
      </c>
      <c r="Q1487" s="0" t="str">
        <f aca="false">VLOOKUP(F1487,equipment!$A:$E,5,0)</f>
        <v>DZ201 - 37</v>
      </c>
    </row>
    <row r="1488" customFormat="false" ht="12.8" hidden="false" customHeight="false" outlineLevel="0" collapsed="false">
      <c r="A1488" s="0" t="n">
        <v>467654</v>
      </c>
      <c r="B1488" s="0" t="n">
        <v>467654</v>
      </c>
      <c r="C1488" s="0" t="n">
        <v>3</v>
      </c>
      <c r="D1488" s="0" t="n">
        <v>14</v>
      </c>
      <c r="E1488" s="0" t="n">
        <v>1139</v>
      </c>
      <c r="F1488" s="0" t="n">
        <v>43</v>
      </c>
      <c r="G1488" s="0" t="n">
        <v>16</v>
      </c>
      <c r="H1488" s="1" t="s">
        <v>2902</v>
      </c>
      <c r="I1488" s="1" t="s">
        <v>2920</v>
      </c>
      <c r="J1488" s="9" t="n">
        <v>45905</v>
      </c>
      <c r="K1488" s="0" t="s">
        <v>2921</v>
      </c>
      <c r="L1488" s="0" t="n">
        <v>1</v>
      </c>
      <c r="M1488" s="10"/>
      <c r="N1488" s="10"/>
      <c r="O1488" s="0" t="str">
        <f aca="false">VLOOKUP(C1488,statusdetails!$A:$D,4,0)</f>
        <v>STANDBY</v>
      </c>
      <c r="P1488" s="0" t="str">
        <f aca="false">VLOOKUP(F1488,equipment!$A:$E,4,0)</f>
        <v>PE302</v>
      </c>
      <c r="Q1488" s="0" t="str">
        <f aca="false">VLOOKUP(F1488,equipment!$A:$E,5,0)</f>
        <v>PE302 - 43</v>
      </c>
    </row>
    <row r="1489" customFormat="false" ht="12.8" hidden="true" customHeight="false" outlineLevel="0" collapsed="false">
      <c r="A1489" s="0" t="n">
        <v>467655</v>
      </c>
      <c r="B1489" s="0" t="n">
        <v>467655</v>
      </c>
      <c r="C1489" s="0" t="n">
        <v>1</v>
      </c>
      <c r="D1489" s="0" t="n">
        <v>6</v>
      </c>
      <c r="E1489" s="0" t="n">
        <v>372</v>
      </c>
      <c r="F1489" s="0" t="n">
        <v>37</v>
      </c>
      <c r="G1489" s="0" t="n">
        <v>54</v>
      </c>
      <c r="H1489" s="0" t="s">
        <v>2918</v>
      </c>
      <c r="I1489" s="0" t="s">
        <v>2922</v>
      </c>
      <c r="J1489" s="9" t="n">
        <v>45905</v>
      </c>
      <c r="K1489" s="0" t="s">
        <v>2923</v>
      </c>
      <c r="L1489" s="0" t="n">
        <v>1</v>
      </c>
      <c r="M1489" s="10"/>
      <c r="N1489" s="10"/>
      <c r="O1489" s="0" t="str">
        <f aca="false">VLOOKUP(C1489,statusdetails!$A:$D,4,0)</f>
        <v>READY</v>
      </c>
    </row>
    <row r="1490" customFormat="false" ht="12.8" hidden="false" customHeight="false" outlineLevel="0" collapsed="false">
      <c r="A1490" s="0" t="n">
        <v>467656</v>
      </c>
      <c r="B1490" s="0" t="n">
        <v>467656</v>
      </c>
      <c r="C1490" s="0" t="n">
        <v>3</v>
      </c>
      <c r="D1490" s="0" t="n">
        <v>14</v>
      </c>
      <c r="E1490" s="0" t="n">
        <v>2555</v>
      </c>
      <c r="F1490" s="0" t="n">
        <v>86</v>
      </c>
      <c r="G1490" s="0" t="n">
        <v>7</v>
      </c>
      <c r="H1490" s="1" t="s">
        <v>2865</v>
      </c>
      <c r="I1490" s="1" t="s">
        <v>2924</v>
      </c>
      <c r="J1490" s="9" t="n">
        <v>45905</v>
      </c>
      <c r="K1490" s="0" t="s">
        <v>2925</v>
      </c>
      <c r="L1490" s="0" t="n">
        <v>1</v>
      </c>
      <c r="M1490" s="10"/>
      <c r="N1490" s="10"/>
      <c r="O1490" s="0" t="str">
        <f aca="false">VLOOKUP(C1490,statusdetails!$A:$D,4,0)</f>
        <v>STANDBY</v>
      </c>
      <c r="P1490" s="0" t="str">
        <f aca="false">VLOOKUP(F1490,equipment!$A:$E,4,0)</f>
        <v>CM03</v>
      </c>
      <c r="Q1490" s="0" t="str">
        <f aca="false">VLOOKUP(F1490,equipment!$A:$E,5,0)</f>
        <v>CM03 - 86</v>
      </c>
    </row>
    <row r="1491" customFormat="false" ht="12.8" hidden="true" customHeight="false" outlineLevel="0" collapsed="false">
      <c r="A1491" s="0" t="n">
        <v>467657</v>
      </c>
      <c r="B1491" s="0" t="n">
        <v>467657</v>
      </c>
      <c r="C1491" s="0" t="n">
        <v>1</v>
      </c>
      <c r="D1491" s="0" t="n">
        <v>6</v>
      </c>
      <c r="E1491" s="0" t="n">
        <v>2404</v>
      </c>
      <c r="F1491" s="0" t="n">
        <v>86</v>
      </c>
      <c r="G1491" s="0" t="n">
        <v>7</v>
      </c>
      <c r="H1491" s="0" t="s">
        <v>2924</v>
      </c>
      <c r="I1491" s="0" t="s">
        <v>2926</v>
      </c>
      <c r="J1491" s="9" t="n">
        <v>45905</v>
      </c>
      <c r="K1491" s="0" t="s">
        <v>2927</v>
      </c>
      <c r="L1491" s="0" t="n">
        <v>1</v>
      </c>
      <c r="M1491" s="10"/>
      <c r="N1491" s="10"/>
      <c r="O1491" s="0" t="str">
        <f aca="false">VLOOKUP(C1491,statusdetails!$A:$D,4,0)</f>
        <v>READY</v>
      </c>
    </row>
    <row r="1492" customFormat="false" ht="12.8" hidden="false" customHeight="false" outlineLevel="0" collapsed="false">
      <c r="A1492" s="0" t="n">
        <v>467658</v>
      </c>
      <c r="B1492" s="0" t="n">
        <v>467658</v>
      </c>
      <c r="C1492" s="0" t="n">
        <v>3</v>
      </c>
      <c r="D1492" s="0" t="n">
        <v>14</v>
      </c>
      <c r="E1492" s="0" t="n">
        <v>2555</v>
      </c>
      <c r="F1492" s="0" t="n">
        <v>84</v>
      </c>
      <c r="G1492" s="0" t="n">
        <v>157</v>
      </c>
      <c r="H1492" s="1" t="s">
        <v>2870</v>
      </c>
      <c r="I1492" s="1" t="s">
        <v>2928</v>
      </c>
      <c r="J1492" s="9" t="n">
        <v>45905</v>
      </c>
      <c r="K1492" s="0" t="s">
        <v>2929</v>
      </c>
      <c r="L1492" s="0" t="n">
        <v>1</v>
      </c>
      <c r="M1492" s="10"/>
      <c r="N1492" s="10"/>
      <c r="O1492" s="0" t="str">
        <f aca="false">VLOOKUP(C1492,statusdetails!$A:$D,4,0)</f>
        <v>STANDBY</v>
      </c>
      <c r="P1492" s="0" t="str">
        <f aca="false">VLOOKUP(F1492,equipment!$A:$E,4,0)</f>
        <v>CM01</v>
      </c>
      <c r="Q1492" s="0" t="str">
        <f aca="false">VLOOKUP(F1492,equipment!$A:$E,5,0)</f>
        <v>CM01 - 84</v>
      </c>
    </row>
    <row r="1493" customFormat="false" ht="12.8" hidden="true" customHeight="false" outlineLevel="0" collapsed="false">
      <c r="A1493" s="0" t="n">
        <v>467659</v>
      </c>
      <c r="B1493" s="0" t="n">
        <v>467659</v>
      </c>
      <c r="C1493" s="0" t="n">
        <v>1</v>
      </c>
      <c r="D1493" s="0" t="n">
        <v>6</v>
      </c>
      <c r="E1493" s="0" t="n">
        <v>2404</v>
      </c>
      <c r="F1493" s="0" t="n">
        <v>84</v>
      </c>
      <c r="G1493" s="0" t="n">
        <v>157</v>
      </c>
      <c r="H1493" s="0" t="s">
        <v>2928</v>
      </c>
      <c r="I1493" s="0" t="s">
        <v>2930</v>
      </c>
      <c r="J1493" s="9" t="n">
        <v>45905</v>
      </c>
      <c r="K1493" s="0" t="s">
        <v>2931</v>
      </c>
      <c r="L1493" s="0" t="n">
        <v>2</v>
      </c>
      <c r="M1493" s="10"/>
      <c r="N1493" s="10"/>
      <c r="O1493" s="0" t="str">
        <f aca="false">VLOOKUP(C1493,statusdetails!$A:$D,4,0)</f>
        <v>READY</v>
      </c>
    </row>
    <row r="1494" customFormat="false" ht="12.8" hidden="true" customHeight="false" outlineLevel="0" collapsed="false">
      <c r="A1494" s="0" t="n">
        <v>467660</v>
      </c>
      <c r="B1494" s="0" t="n">
        <v>467660</v>
      </c>
      <c r="C1494" s="0" t="n">
        <v>1</v>
      </c>
      <c r="D1494" s="0" t="n">
        <v>2303</v>
      </c>
      <c r="E1494" s="0" t="n">
        <v>969</v>
      </c>
      <c r="F1494" s="0" t="n">
        <v>45</v>
      </c>
      <c r="G1494" s="0" t="n">
        <v>133</v>
      </c>
      <c r="H1494" s="0" t="s">
        <v>2912</v>
      </c>
      <c r="I1494" s="0" t="s">
        <v>2932</v>
      </c>
      <c r="J1494" s="9" t="n">
        <v>45905</v>
      </c>
      <c r="K1494" s="0" t="s">
        <v>2933</v>
      </c>
      <c r="L1494" s="0" t="n">
        <v>2</v>
      </c>
      <c r="M1494" s="10"/>
      <c r="N1494" s="10"/>
      <c r="O1494" s="0" t="str">
        <f aca="false">VLOOKUP(C1494,statusdetails!$A:$D,4,0)</f>
        <v>READY</v>
      </c>
    </row>
    <row r="1495" customFormat="false" ht="12.8" hidden="true" customHeight="false" outlineLevel="0" collapsed="false">
      <c r="A1495" s="0" t="n">
        <v>467661</v>
      </c>
      <c r="B1495" s="0" t="n">
        <v>467661</v>
      </c>
      <c r="C1495" s="0" t="n">
        <v>1</v>
      </c>
      <c r="D1495" s="0" t="n">
        <v>6</v>
      </c>
      <c r="E1495" s="0" t="n">
        <v>138</v>
      </c>
      <c r="F1495" s="0" t="n">
        <v>45</v>
      </c>
      <c r="G1495" s="0" t="n">
        <v>133</v>
      </c>
      <c r="H1495" s="0" t="s">
        <v>2932</v>
      </c>
      <c r="I1495" s="0" t="s">
        <v>2934</v>
      </c>
      <c r="J1495" s="9" t="n">
        <v>45905</v>
      </c>
      <c r="K1495" s="0" t="s">
        <v>2935</v>
      </c>
      <c r="L1495" s="0" t="n">
        <v>2</v>
      </c>
      <c r="M1495" s="10"/>
      <c r="N1495" s="10"/>
      <c r="O1495" s="0" t="str">
        <f aca="false">VLOOKUP(C1495,statusdetails!$A:$D,4,0)</f>
        <v>READY</v>
      </c>
    </row>
    <row r="1496" customFormat="false" ht="12.8" hidden="false" customHeight="false" outlineLevel="0" collapsed="false">
      <c r="A1496" s="0" t="n">
        <v>467662</v>
      </c>
      <c r="B1496" s="0" t="n">
        <v>467662</v>
      </c>
      <c r="C1496" s="0" t="n">
        <v>3</v>
      </c>
      <c r="D1496" s="0" t="n">
        <v>12</v>
      </c>
      <c r="E1496" s="0" t="n">
        <v>289</v>
      </c>
      <c r="F1496" s="0" t="n">
        <v>32</v>
      </c>
      <c r="G1496" s="0" t="n">
        <v>0</v>
      </c>
      <c r="H1496" s="1" t="s">
        <v>2916</v>
      </c>
      <c r="I1496" s="1" t="s">
        <v>2936</v>
      </c>
      <c r="J1496" s="9" t="n">
        <v>45905</v>
      </c>
      <c r="K1496" s="0" t="s">
        <v>2937</v>
      </c>
      <c r="L1496" s="0" t="n">
        <v>2</v>
      </c>
      <c r="M1496" s="10"/>
      <c r="N1496" s="10"/>
      <c r="O1496" s="0" t="str">
        <f aca="false">VLOOKUP(C1496,statusdetails!$A:$D,4,0)</f>
        <v>STANDBY</v>
      </c>
      <c r="P1496" s="0" t="str">
        <f aca="false">VLOOKUP(F1496,equipment!$A:$E,4,0)</f>
        <v>CM403</v>
      </c>
      <c r="Q1496" s="0" t="str">
        <f aca="false">VLOOKUP(F1496,equipment!$A:$E,5,0)</f>
        <v>CM403 - 32</v>
      </c>
    </row>
    <row r="1497" customFormat="false" ht="12.8" hidden="false" customHeight="false" outlineLevel="0" collapsed="false">
      <c r="A1497" s="0" t="n">
        <v>467663</v>
      </c>
      <c r="B1497" s="0" t="n">
        <v>467663</v>
      </c>
      <c r="C1497" s="0" t="n">
        <v>3</v>
      </c>
      <c r="D1497" s="0" t="n">
        <v>12</v>
      </c>
      <c r="E1497" s="0" t="n">
        <v>289</v>
      </c>
      <c r="F1497" s="0" t="n">
        <v>33</v>
      </c>
      <c r="G1497" s="0" t="n">
        <v>61</v>
      </c>
      <c r="H1497" s="1" t="s">
        <v>2914</v>
      </c>
      <c r="I1497" s="1" t="s">
        <v>2938</v>
      </c>
      <c r="J1497" s="9" t="n">
        <v>45905</v>
      </c>
      <c r="K1497" s="0" t="s">
        <v>2939</v>
      </c>
      <c r="L1497" s="0" t="n">
        <v>2</v>
      </c>
      <c r="M1497" s="10"/>
      <c r="N1497" s="10"/>
      <c r="O1497" s="0" t="str">
        <f aca="false">VLOOKUP(C1497,statusdetails!$A:$D,4,0)</f>
        <v>STANDBY</v>
      </c>
      <c r="P1497" s="0" t="str">
        <f aca="false">VLOOKUP(F1497,equipment!$A:$E,4,0)</f>
        <v>CM406</v>
      </c>
      <c r="Q1497" s="0" t="str">
        <f aca="false">VLOOKUP(F1497,equipment!$A:$E,5,0)</f>
        <v>CM406 - 33</v>
      </c>
    </row>
    <row r="1498" customFormat="false" ht="12.8" hidden="true" customHeight="false" outlineLevel="0" collapsed="false">
      <c r="A1498" s="0" t="n">
        <v>467664</v>
      </c>
      <c r="B1498" s="0" t="n">
        <v>467664</v>
      </c>
      <c r="C1498" s="0" t="n">
        <v>1</v>
      </c>
      <c r="D1498" s="0" t="n">
        <v>6</v>
      </c>
      <c r="E1498" s="0" t="n">
        <v>260</v>
      </c>
      <c r="F1498" s="0" t="n">
        <v>32</v>
      </c>
      <c r="G1498" s="0" t="n">
        <v>67</v>
      </c>
      <c r="H1498" s="0" t="s">
        <v>2936</v>
      </c>
      <c r="I1498" s="0" t="s">
        <v>2940</v>
      </c>
      <c r="J1498" s="9" t="n">
        <v>45905</v>
      </c>
      <c r="K1498" s="0" t="s">
        <v>2941</v>
      </c>
      <c r="L1498" s="0" t="n">
        <v>2</v>
      </c>
      <c r="M1498" s="10"/>
      <c r="N1498" s="10"/>
      <c r="O1498" s="0" t="str">
        <f aca="false">VLOOKUP(C1498,statusdetails!$A:$D,4,0)</f>
        <v>READY</v>
      </c>
    </row>
    <row r="1499" customFormat="false" ht="12.8" hidden="true" customHeight="false" outlineLevel="0" collapsed="false">
      <c r="A1499" s="0" t="n">
        <v>467665</v>
      </c>
      <c r="B1499" s="0" t="n">
        <v>467665</v>
      </c>
      <c r="C1499" s="0" t="n">
        <v>1</v>
      </c>
      <c r="D1499" s="0" t="n">
        <v>6</v>
      </c>
      <c r="E1499" s="0" t="n">
        <v>811</v>
      </c>
      <c r="F1499" s="0" t="n">
        <v>43</v>
      </c>
      <c r="G1499" s="0" t="n">
        <v>16</v>
      </c>
      <c r="H1499" s="0" t="s">
        <v>2920</v>
      </c>
      <c r="I1499" s="0" t="s">
        <v>2942</v>
      </c>
      <c r="J1499" s="9" t="n">
        <v>45905</v>
      </c>
      <c r="K1499" s="0" t="s">
        <v>2943</v>
      </c>
      <c r="L1499" s="0" t="n">
        <v>3</v>
      </c>
      <c r="M1499" s="10"/>
      <c r="N1499" s="10"/>
      <c r="O1499" s="0" t="str">
        <f aca="false">VLOOKUP(C1499,statusdetails!$A:$D,4,0)</f>
        <v>READY</v>
      </c>
    </row>
    <row r="1500" customFormat="false" ht="12.8" hidden="true" customHeight="false" outlineLevel="0" collapsed="false">
      <c r="A1500" s="0" t="n">
        <v>467666</v>
      </c>
      <c r="B1500" s="0" t="n">
        <v>467666</v>
      </c>
      <c r="C1500" s="0" t="n">
        <v>1</v>
      </c>
      <c r="D1500" s="0" t="n">
        <v>6</v>
      </c>
      <c r="E1500" s="0" t="n">
        <v>260</v>
      </c>
      <c r="F1500" s="0" t="n">
        <v>33</v>
      </c>
      <c r="G1500" s="0" t="n">
        <v>7</v>
      </c>
      <c r="H1500" s="0" t="s">
        <v>2938</v>
      </c>
      <c r="I1500" s="0" t="s">
        <v>2944</v>
      </c>
      <c r="J1500" s="9" t="n">
        <v>45905</v>
      </c>
      <c r="K1500" s="0" t="s">
        <v>2945</v>
      </c>
      <c r="L1500" s="0" t="n">
        <v>3</v>
      </c>
      <c r="M1500" s="10"/>
      <c r="N1500" s="10"/>
      <c r="O1500" s="0" t="str">
        <f aca="false">VLOOKUP(C1500,statusdetails!$A:$D,4,0)</f>
        <v>READY</v>
      </c>
    </row>
    <row r="1501" customFormat="false" ht="12.8" hidden="true" customHeight="false" outlineLevel="0" collapsed="false">
      <c r="H1501" s="0"/>
      <c r="I1501" s="0"/>
      <c r="J1501" s="9"/>
    </row>
    <row r="1502" customFormat="false" ht="12.8" hidden="true" customHeight="false" outlineLevel="0" collapsed="false">
      <c r="H1502" s="0"/>
      <c r="I1502" s="0"/>
      <c r="J1502" s="9"/>
    </row>
    <row r="1503" customFormat="false" ht="12.8" hidden="true" customHeight="false" outlineLevel="0" collapsed="false">
      <c r="H1503" s="0"/>
      <c r="I1503" s="11"/>
      <c r="J1503" s="9"/>
    </row>
    <row r="1504" customFormat="false" ht="12.8" hidden="true" customHeight="false" outlineLevel="0" collapsed="false">
      <c r="A1504" s="0" t="n">
        <v>467670</v>
      </c>
      <c r="B1504" s="0" t="n">
        <v>467670</v>
      </c>
      <c r="C1504" s="0" t="n">
        <v>1</v>
      </c>
      <c r="D1504" s="0" t="n">
        <v>6</v>
      </c>
      <c r="E1504" s="0" t="n">
        <v>260</v>
      </c>
      <c r="F1504" s="0" t="n">
        <v>66</v>
      </c>
      <c r="G1504" s="0" t="n">
        <v>66</v>
      </c>
      <c r="H1504" s="0" t="s">
        <v>2946</v>
      </c>
      <c r="I1504" s="0" t="s">
        <v>2947</v>
      </c>
      <c r="J1504" s="9" t="n">
        <v>45905</v>
      </c>
      <c r="K1504" s="0" t="s">
        <v>2948</v>
      </c>
      <c r="L1504" s="0" t="n">
        <v>3</v>
      </c>
      <c r="M1504" s="10"/>
      <c r="N1504" s="10"/>
      <c r="O1504" s="0" t="str">
        <f aca="false">VLOOKUP(C1504,statusdetails!$A:$D,4,0)</f>
        <v>READY</v>
      </c>
    </row>
    <row r="1505" customFormat="false" ht="12.8" hidden="true" customHeight="false" outlineLevel="0" collapsed="false">
      <c r="A1505" s="0" t="n">
        <v>467671</v>
      </c>
      <c r="B1505" s="0" t="n">
        <v>467671</v>
      </c>
      <c r="C1505" s="0" t="n">
        <v>1</v>
      </c>
      <c r="D1505" s="0" t="n">
        <v>6</v>
      </c>
      <c r="E1505" s="0" t="n">
        <v>2518</v>
      </c>
      <c r="F1505" s="0" t="n">
        <v>96</v>
      </c>
      <c r="G1505" s="0" t="n">
        <v>89</v>
      </c>
      <c r="H1505" s="0" t="s">
        <v>2949</v>
      </c>
      <c r="I1505" s="0" t="s">
        <v>2950</v>
      </c>
      <c r="J1505" s="9" t="n">
        <v>45905</v>
      </c>
      <c r="K1505" s="0" t="s">
        <v>2951</v>
      </c>
      <c r="L1505" s="0" t="n">
        <v>3</v>
      </c>
      <c r="M1505" s="10"/>
      <c r="N1505" s="10"/>
      <c r="O1505" s="0" t="str">
        <f aca="false">VLOOKUP(C1505,statusdetails!$A:$D,4,0)</f>
        <v>READY</v>
      </c>
    </row>
    <row r="1506" customFormat="false" ht="12.8" hidden="true" customHeight="false" outlineLevel="0" collapsed="false">
      <c r="A1506" s="0" t="n">
        <v>467672</v>
      </c>
      <c r="B1506" s="0" t="n">
        <v>467672</v>
      </c>
      <c r="C1506" s="0" t="n">
        <v>4</v>
      </c>
      <c r="D1506" s="0" t="n">
        <v>15</v>
      </c>
      <c r="E1506" s="0" t="n">
        <v>332</v>
      </c>
      <c r="F1506" s="0" t="n">
        <v>35</v>
      </c>
      <c r="G1506" s="0" t="n">
        <v>118</v>
      </c>
      <c r="H1506" s="11" t="n">
        <v>45906.1476851852</v>
      </c>
      <c r="I1506" s="0" t="s">
        <v>2952</v>
      </c>
      <c r="J1506" s="9" t="n">
        <v>45905</v>
      </c>
      <c r="K1506" s="0" t="s">
        <v>2953</v>
      </c>
      <c r="L1506" s="0" t="n">
        <v>3</v>
      </c>
      <c r="M1506" s="10"/>
      <c r="N1506" s="10"/>
      <c r="O1506" s="0" t="str">
        <f aca="false">VLOOKUP(C1506,statusdetails!$A:$D,4,0)</f>
        <v>MAINT</v>
      </c>
    </row>
    <row r="1507" customFormat="false" ht="12.8" hidden="true" customHeight="false" outlineLevel="0" collapsed="false">
      <c r="H1507" s="0"/>
      <c r="I1507" s="0"/>
      <c r="J1507" s="9"/>
    </row>
    <row r="1508" customFormat="false" ht="12.8" hidden="true" customHeight="false" outlineLevel="0" collapsed="false">
      <c r="A1508" s="0" t="n">
        <v>467674</v>
      </c>
      <c r="B1508" s="0" t="n">
        <v>467674</v>
      </c>
      <c r="C1508" s="0" t="n">
        <v>1</v>
      </c>
      <c r="D1508" s="0" t="n">
        <v>6</v>
      </c>
      <c r="E1508" s="0" t="n">
        <v>260</v>
      </c>
      <c r="F1508" s="0" t="n">
        <v>66</v>
      </c>
      <c r="G1508" s="0" t="n">
        <v>66</v>
      </c>
      <c r="H1508" s="0" t="s">
        <v>2954</v>
      </c>
      <c r="I1508" s="0" t="s">
        <v>2955</v>
      </c>
      <c r="J1508" s="9" t="n">
        <v>45905</v>
      </c>
      <c r="K1508" s="0" t="s">
        <v>2956</v>
      </c>
      <c r="L1508" s="0" t="n">
        <v>3</v>
      </c>
      <c r="M1508" s="10"/>
      <c r="N1508" s="10"/>
      <c r="O1508" s="0" t="str">
        <f aca="false">VLOOKUP(C1508,statusdetails!$A:$D,4,0)</f>
        <v>READY</v>
      </c>
    </row>
    <row r="1509" customFormat="false" ht="12.8" hidden="true" customHeight="false" outlineLevel="0" collapsed="false">
      <c r="A1509" s="0" t="n">
        <v>467676</v>
      </c>
      <c r="B1509" s="0" t="n">
        <v>467676</v>
      </c>
      <c r="C1509" s="0" t="n">
        <v>1</v>
      </c>
      <c r="D1509" s="0" t="n">
        <v>6</v>
      </c>
      <c r="E1509" s="0" t="n">
        <v>260</v>
      </c>
      <c r="F1509" s="0" t="n">
        <v>35</v>
      </c>
      <c r="G1509" s="0" t="n">
        <v>118</v>
      </c>
      <c r="H1509" s="0" t="s">
        <v>2952</v>
      </c>
      <c r="I1509" s="0" t="s">
        <v>2957</v>
      </c>
      <c r="J1509" s="9" t="n">
        <v>45905</v>
      </c>
      <c r="K1509" s="0" t="s">
        <v>2958</v>
      </c>
      <c r="L1509" s="0" t="n">
        <v>4</v>
      </c>
      <c r="M1509" s="10"/>
      <c r="N1509" s="10"/>
      <c r="O1509" s="0" t="str">
        <f aca="false">VLOOKUP(C1509,statusdetails!$A:$D,4,0)</f>
        <v>READY</v>
      </c>
    </row>
    <row r="1510" customFormat="false" ht="12.8" hidden="false" customHeight="false" outlineLevel="0" collapsed="false">
      <c r="A1510" s="0" t="n">
        <v>467677</v>
      </c>
      <c r="B1510" s="0" t="n">
        <v>467677</v>
      </c>
      <c r="C1510" s="0" t="n">
        <v>3</v>
      </c>
      <c r="D1510" s="0" t="n">
        <v>12</v>
      </c>
      <c r="E1510" s="0" t="n">
        <v>394</v>
      </c>
      <c r="F1510" s="0" t="n">
        <v>37</v>
      </c>
      <c r="G1510" s="0" t="n">
        <v>54</v>
      </c>
      <c r="H1510" s="1" t="s">
        <v>2922</v>
      </c>
      <c r="I1510" s="1" t="s">
        <v>2959</v>
      </c>
      <c r="J1510" s="9" t="n">
        <v>45905</v>
      </c>
      <c r="K1510" s="0" t="s">
        <v>2960</v>
      </c>
      <c r="L1510" s="0" t="n">
        <v>4</v>
      </c>
      <c r="M1510" s="10"/>
      <c r="N1510" s="10"/>
      <c r="O1510" s="0" t="str">
        <f aca="false">VLOOKUP(C1510,statusdetails!$A:$D,4,0)</f>
        <v>STANDBY</v>
      </c>
      <c r="P1510" s="0" t="str">
        <f aca="false">VLOOKUP(F1510,equipment!$A:$E,4,0)</f>
        <v>DZ201</v>
      </c>
      <c r="Q1510" s="0" t="str">
        <f aca="false">VLOOKUP(F1510,equipment!$A:$E,5,0)</f>
        <v>DZ201 - 37</v>
      </c>
    </row>
    <row r="1511" customFormat="false" ht="12.8" hidden="true" customHeight="false" outlineLevel="0" collapsed="false">
      <c r="H1511" s="0"/>
      <c r="I1511" s="0"/>
      <c r="J1511" s="9"/>
    </row>
    <row r="1512" customFormat="false" ht="12.8" hidden="true" customHeight="false" outlineLevel="0" collapsed="false">
      <c r="H1512" s="0"/>
      <c r="I1512" s="0"/>
      <c r="J1512" s="9"/>
    </row>
    <row r="1513" customFormat="false" ht="12.8" hidden="true" customHeight="false" outlineLevel="0" collapsed="false">
      <c r="A1513" s="0" t="n">
        <v>467680</v>
      </c>
      <c r="B1513" s="0" t="n">
        <v>467680</v>
      </c>
      <c r="C1513" s="0" t="n">
        <v>4</v>
      </c>
      <c r="D1513" s="0" t="n">
        <v>16</v>
      </c>
      <c r="E1513" s="0" t="n">
        <v>2461</v>
      </c>
      <c r="F1513" s="0" t="n">
        <v>89</v>
      </c>
      <c r="G1513" s="0" t="n">
        <v>62</v>
      </c>
      <c r="H1513" s="0" t="s">
        <v>2890</v>
      </c>
      <c r="I1513" s="0" t="s">
        <v>2961</v>
      </c>
      <c r="J1513" s="9" t="n">
        <v>45905</v>
      </c>
      <c r="K1513" s="0" t="s">
        <v>2962</v>
      </c>
      <c r="L1513" s="0" t="n">
        <v>4</v>
      </c>
      <c r="M1513" s="10"/>
      <c r="N1513" s="10"/>
      <c r="O1513" s="0" t="str">
        <f aca="false">VLOOKUP(C1513,statusdetails!$A:$D,4,0)</f>
        <v>MAINT</v>
      </c>
    </row>
    <row r="1514" customFormat="false" ht="12.8" hidden="true" customHeight="false" outlineLevel="0" collapsed="false">
      <c r="A1514" s="0" t="n">
        <v>467681</v>
      </c>
      <c r="B1514" s="0" t="n">
        <v>467681</v>
      </c>
      <c r="C1514" s="0" t="n">
        <v>4</v>
      </c>
      <c r="D1514" s="0" t="n">
        <v>16</v>
      </c>
      <c r="E1514" s="0" t="n">
        <v>2461</v>
      </c>
      <c r="F1514" s="0" t="n">
        <v>87</v>
      </c>
      <c r="G1514" s="0" t="n">
        <v>148</v>
      </c>
      <c r="H1514" s="0" t="s">
        <v>2873</v>
      </c>
      <c r="I1514" s="0" t="s">
        <v>2963</v>
      </c>
      <c r="J1514" s="9" t="n">
        <v>45905</v>
      </c>
      <c r="K1514" s="0" t="s">
        <v>2964</v>
      </c>
      <c r="L1514" s="0" t="n">
        <v>4</v>
      </c>
      <c r="M1514" s="10"/>
      <c r="N1514" s="10"/>
      <c r="O1514" s="0" t="str">
        <f aca="false">VLOOKUP(C1514,statusdetails!$A:$D,4,0)</f>
        <v>MAINT</v>
      </c>
    </row>
    <row r="1515" customFormat="false" ht="12.8" hidden="true" customHeight="false" outlineLevel="0" collapsed="false">
      <c r="A1515" s="0" t="n">
        <v>467682</v>
      </c>
      <c r="B1515" s="0" t="n">
        <v>467682</v>
      </c>
      <c r="C1515" s="0" t="n">
        <v>1</v>
      </c>
      <c r="D1515" s="0" t="n">
        <v>6</v>
      </c>
      <c r="E1515" s="0" t="n">
        <v>372</v>
      </c>
      <c r="F1515" s="0" t="n">
        <v>91</v>
      </c>
      <c r="G1515" s="0" t="n">
        <v>54</v>
      </c>
      <c r="H1515" s="0" t="s">
        <v>2965</v>
      </c>
      <c r="I1515" s="0" t="s">
        <v>2966</v>
      </c>
      <c r="J1515" s="9" t="n">
        <v>45905</v>
      </c>
      <c r="K1515" s="0" t="s">
        <v>2967</v>
      </c>
      <c r="L1515" s="0" t="n">
        <v>4</v>
      </c>
      <c r="M1515" s="10"/>
      <c r="N1515" s="10"/>
      <c r="O1515" s="0" t="str">
        <f aca="false">VLOOKUP(C1515,statusdetails!$A:$D,4,0)</f>
        <v>READY</v>
      </c>
    </row>
    <row r="1516" customFormat="false" ht="12.8" hidden="true" customHeight="false" outlineLevel="0" collapsed="false">
      <c r="A1516" s="0" t="n">
        <v>467683</v>
      </c>
      <c r="B1516" s="0" t="n">
        <v>467683</v>
      </c>
      <c r="C1516" s="0" t="n">
        <v>1</v>
      </c>
      <c r="D1516" s="0" t="n">
        <v>6</v>
      </c>
      <c r="E1516" s="0" t="n">
        <v>811</v>
      </c>
      <c r="F1516" s="0" t="n">
        <v>43</v>
      </c>
      <c r="G1516" s="0" t="n">
        <v>16</v>
      </c>
      <c r="H1516" s="0" t="s">
        <v>2968</v>
      </c>
      <c r="I1516" s="0" t="s">
        <v>2969</v>
      </c>
      <c r="J1516" s="9" t="n">
        <v>45905</v>
      </c>
      <c r="K1516" s="0" t="s">
        <v>2970</v>
      </c>
      <c r="L1516" s="0" t="n">
        <v>4</v>
      </c>
      <c r="M1516" s="10"/>
      <c r="N1516" s="10"/>
      <c r="O1516" s="0" t="str">
        <f aca="false">VLOOKUP(C1516,statusdetails!$A:$D,4,0)</f>
        <v>READY</v>
      </c>
    </row>
    <row r="1517" customFormat="false" ht="12.8" hidden="true" customHeight="false" outlineLevel="0" collapsed="false">
      <c r="A1517" s="0" t="n">
        <v>467684</v>
      </c>
      <c r="B1517" s="0" t="n">
        <v>467684</v>
      </c>
      <c r="C1517" s="0" t="n">
        <v>1</v>
      </c>
      <c r="D1517" s="0" t="n">
        <v>6</v>
      </c>
      <c r="E1517" s="0" t="n">
        <v>2404</v>
      </c>
      <c r="F1517" s="0" t="n">
        <v>88</v>
      </c>
      <c r="G1517" s="0" t="n">
        <v>148</v>
      </c>
      <c r="H1517" s="0" t="s">
        <v>2792</v>
      </c>
      <c r="I1517" s="0" t="s">
        <v>2971</v>
      </c>
      <c r="J1517" s="9" t="n">
        <v>45905</v>
      </c>
      <c r="K1517" s="0" t="s">
        <v>2972</v>
      </c>
      <c r="L1517" s="0" t="n">
        <v>4</v>
      </c>
      <c r="M1517" s="10"/>
      <c r="N1517" s="10"/>
      <c r="O1517" s="0" t="str">
        <f aca="false">VLOOKUP(C1517,statusdetails!$A:$D,4,0)</f>
        <v>READY</v>
      </c>
    </row>
    <row r="1518" customFormat="false" ht="12.8" hidden="true" customHeight="false" outlineLevel="0" collapsed="false">
      <c r="A1518" s="0" t="n">
        <v>467685</v>
      </c>
      <c r="B1518" s="0" t="n">
        <v>467685</v>
      </c>
      <c r="C1518" s="0" t="n">
        <v>4</v>
      </c>
      <c r="D1518" s="0" t="n">
        <v>16</v>
      </c>
      <c r="E1518" s="0" t="n">
        <v>695</v>
      </c>
      <c r="F1518" s="0" t="n">
        <v>41</v>
      </c>
      <c r="G1518" s="0" t="n">
        <v>0</v>
      </c>
      <c r="H1518" s="0" t="s">
        <v>2908</v>
      </c>
      <c r="I1518" s="0" t="s">
        <v>2973</v>
      </c>
      <c r="J1518" s="9" t="n">
        <v>45905</v>
      </c>
      <c r="K1518" s="0" t="s">
        <v>2974</v>
      </c>
      <c r="L1518" s="0" t="n">
        <v>4</v>
      </c>
      <c r="M1518" s="10"/>
      <c r="N1518" s="10"/>
      <c r="O1518" s="0" t="str">
        <f aca="false">VLOOKUP(C1518,statusdetails!$A:$D,4,0)</f>
        <v>MAINT</v>
      </c>
    </row>
    <row r="1519" customFormat="false" ht="12.8" hidden="true" customHeight="false" outlineLevel="0" collapsed="false">
      <c r="A1519" s="0" t="n">
        <v>467686</v>
      </c>
      <c r="B1519" s="0" t="n">
        <v>467686</v>
      </c>
      <c r="C1519" s="0" t="n">
        <v>1</v>
      </c>
      <c r="D1519" s="0" t="n">
        <v>6</v>
      </c>
      <c r="E1519" s="0" t="n">
        <v>2404</v>
      </c>
      <c r="F1519" s="0" t="n">
        <v>89</v>
      </c>
      <c r="G1519" s="0" t="n">
        <v>0</v>
      </c>
      <c r="H1519" s="0" t="s">
        <v>2961</v>
      </c>
      <c r="I1519" s="0" t="s">
        <v>2975</v>
      </c>
      <c r="J1519" s="9" t="n">
        <v>45905</v>
      </c>
      <c r="K1519" s="0" t="s">
        <v>2976</v>
      </c>
      <c r="L1519" s="0" t="n">
        <v>4</v>
      </c>
      <c r="M1519" s="10"/>
      <c r="N1519" s="10"/>
      <c r="O1519" s="0" t="str">
        <f aca="false">VLOOKUP(C1519,statusdetails!$A:$D,4,0)</f>
        <v>READY</v>
      </c>
    </row>
    <row r="1520" customFormat="false" ht="12.8" hidden="false" customHeight="false" outlineLevel="0" collapsed="false">
      <c r="A1520" s="0" t="n">
        <v>467687</v>
      </c>
      <c r="B1520" s="0" t="n">
        <v>467687</v>
      </c>
      <c r="C1520" s="0" t="n">
        <v>3</v>
      </c>
      <c r="D1520" s="0" t="n">
        <v>14</v>
      </c>
      <c r="E1520" s="0" t="n">
        <v>1159</v>
      </c>
      <c r="F1520" s="0" t="n">
        <v>43</v>
      </c>
      <c r="G1520" s="0" t="n">
        <v>16</v>
      </c>
      <c r="H1520" s="1" t="s">
        <v>2969</v>
      </c>
      <c r="I1520" s="1" t="s">
        <v>2977</v>
      </c>
      <c r="J1520" s="9" t="n">
        <v>45905</v>
      </c>
      <c r="K1520" s="0" t="s">
        <v>2978</v>
      </c>
      <c r="L1520" s="0" t="n">
        <v>5</v>
      </c>
      <c r="M1520" s="10"/>
      <c r="N1520" s="10"/>
      <c r="O1520" s="0" t="str">
        <f aca="false">VLOOKUP(C1520,statusdetails!$A:$D,4,0)</f>
        <v>STANDBY</v>
      </c>
      <c r="P1520" s="0" t="str">
        <f aca="false">VLOOKUP(F1520,equipment!$A:$E,4,0)</f>
        <v>PE302</v>
      </c>
      <c r="Q1520" s="0" t="str">
        <f aca="false">VLOOKUP(F1520,equipment!$A:$E,5,0)</f>
        <v>PE302 - 43</v>
      </c>
    </row>
    <row r="1521" customFormat="false" ht="12.8" hidden="true" customHeight="false" outlineLevel="0" collapsed="false">
      <c r="A1521" s="0" t="n">
        <v>467688</v>
      </c>
      <c r="B1521" s="0" t="n">
        <v>467688</v>
      </c>
      <c r="C1521" s="0" t="n">
        <v>1</v>
      </c>
      <c r="D1521" s="0" t="n">
        <v>6</v>
      </c>
      <c r="E1521" s="0" t="n">
        <v>811</v>
      </c>
      <c r="F1521" s="0" t="n">
        <v>43</v>
      </c>
      <c r="G1521" s="0" t="n">
        <v>16</v>
      </c>
      <c r="H1521" s="0" t="s">
        <v>2977</v>
      </c>
      <c r="I1521" s="0" t="s">
        <v>2979</v>
      </c>
      <c r="J1521" s="9" t="n">
        <v>45905</v>
      </c>
      <c r="K1521" s="0" t="s">
        <v>2980</v>
      </c>
      <c r="L1521" s="0" t="n">
        <v>5</v>
      </c>
      <c r="M1521" s="10"/>
      <c r="N1521" s="10"/>
      <c r="O1521" s="0" t="str">
        <f aca="false">VLOOKUP(C1521,statusdetails!$A:$D,4,0)</f>
        <v>READY</v>
      </c>
    </row>
    <row r="1522" customFormat="false" ht="12.8" hidden="false" customHeight="false" outlineLevel="0" collapsed="false">
      <c r="A1522" s="0" t="n">
        <v>467689</v>
      </c>
      <c r="B1522" s="0" t="n">
        <v>467689</v>
      </c>
      <c r="C1522" s="0" t="n">
        <v>3</v>
      </c>
      <c r="D1522" s="0" t="n">
        <v>14</v>
      </c>
      <c r="E1522" s="0" t="n">
        <v>2503</v>
      </c>
      <c r="F1522" s="0" t="n">
        <v>85</v>
      </c>
      <c r="G1522" s="0" t="n">
        <v>147</v>
      </c>
      <c r="H1522" s="1" t="s">
        <v>2876</v>
      </c>
      <c r="I1522" s="1" t="s">
        <v>2981</v>
      </c>
      <c r="J1522" s="9" t="n">
        <v>45905</v>
      </c>
      <c r="K1522" s="0" t="s">
        <v>2982</v>
      </c>
      <c r="L1522" s="0" t="n">
        <v>5</v>
      </c>
      <c r="M1522" s="10"/>
      <c r="N1522" s="10"/>
      <c r="O1522" s="0" t="str">
        <f aca="false">VLOOKUP(C1522,statusdetails!$A:$D,4,0)</f>
        <v>STANDBY</v>
      </c>
      <c r="P1522" s="0" t="str">
        <f aca="false">VLOOKUP(F1522,equipment!$A:$E,4,0)</f>
        <v>CM02</v>
      </c>
      <c r="Q1522" s="0" t="str">
        <f aca="false">VLOOKUP(F1522,equipment!$A:$E,5,0)</f>
        <v>CM02 - 85</v>
      </c>
    </row>
    <row r="1523" customFormat="false" ht="12.8" hidden="true" customHeight="false" outlineLevel="0" collapsed="false">
      <c r="A1523" s="0" t="n">
        <v>467690</v>
      </c>
      <c r="B1523" s="0" t="n">
        <v>467690</v>
      </c>
      <c r="C1523" s="0" t="n">
        <v>1</v>
      </c>
      <c r="D1523" s="0" t="n">
        <v>6</v>
      </c>
      <c r="E1523" s="0" t="n">
        <v>2404</v>
      </c>
      <c r="F1523" s="0" t="n">
        <v>85</v>
      </c>
      <c r="G1523" s="0" t="n">
        <v>147</v>
      </c>
      <c r="H1523" s="0" t="s">
        <v>2981</v>
      </c>
      <c r="I1523" s="0" t="s">
        <v>2983</v>
      </c>
      <c r="J1523" s="9" t="n">
        <v>45905</v>
      </c>
      <c r="K1523" s="0" t="s">
        <v>2984</v>
      </c>
      <c r="L1523" s="0" t="n">
        <v>5</v>
      </c>
      <c r="M1523" s="10"/>
      <c r="N1523" s="10"/>
      <c r="O1523" s="0" t="str">
        <f aca="false">VLOOKUP(C1523,statusdetails!$A:$D,4,0)</f>
        <v>READY</v>
      </c>
    </row>
    <row r="1524" customFormat="false" ht="12.8" hidden="false" customHeight="false" outlineLevel="0" collapsed="false">
      <c r="A1524" s="0" t="n">
        <v>467691</v>
      </c>
      <c r="B1524" s="0" t="n">
        <v>467691</v>
      </c>
      <c r="C1524" s="0" t="n">
        <v>3</v>
      </c>
      <c r="D1524" s="0" t="n">
        <v>14</v>
      </c>
      <c r="E1524" s="0" t="n">
        <v>2503</v>
      </c>
      <c r="F1524" s="0" t="n">
        <v>84</v>
      </c>
      <c r="G1524" s="0" t="n">
        <v>82</v>
      </c>
      <c r="H1524" s="1" t="s">
        <v>2930</v>
      </c>
      <c r="I1524" s="1" t="s">
        <v>2985</v>
      </c>
      <c r="J1524" s="9" t="n">
        <v>45905</v>
      </c>
      <c r="K1524" s="0" t="s">
        <v>2986</v>
      </c>
      <c r="L1524" s="0" t="n">
        <v>5</v>
      </c>
      <c r="M1524" s="10"/>
      <c r="N1524" s="10"/>
      <c r="O1524" s="0" t="str">
        <f aca="false">VLOOKUP(C1524,statusdetails!$A:$D,4,0)</f>
        <v>STANDBY</v>
      </c>
      <c r="P1524" s="0" t="str">
        <f aca="false">VLOOKUP(F1524,equipment!$A:$E,4,0)</f>
        <v>CM01</v>
      </c>
      <c r="Q1524" s="0" t="str">
        <f aca="false">VLOOKUP(F1524,equipment!$A:$E,5,0)</f>
        <v>CM01 - 84</v>
      </c>
    </row>
    <row r="1525" customFormat="false" ht="12.8" hidden="true" customHeight="false" outlineLevel="0" collapsed="false">
      <c r="A1525" s="0" t="n">
        <v>467692</v>
      </c>
      <c r="B1525" s="0" t="n">
        <v>467692</v>
      </c>
      <c r="C1525" s="0" t="n">
        <v>1</v>
      </c>
      <c r="D1525" s="0" t="n">
        <v>6</v>
      </c>
      <c r="E1525" s="0" t="n">
        <v>2404</v>
      </c>
      <c r="F1525" s="0" t="n">
        <v>84</v>
      </c>
      <c r="G1525" s="0" t="n">
        <v>82</v>
      </c>
      <c r="H1525" s="0" t="s">
        <v>2985</v>
      </c>
      <c r="I1525" s="0" t="s">
        <v>2987</v>
      </c>
      <c r="J1525" s="9" t="n">
        <v>45905</v>
      </c>
      <c r="K1525" s="0" t="s">
        <v>2988</v>
      </c>
      <c r="L1525" s="0" t="n">
        <v>5</v>
      </c>
      <c r="M1525" s="10"/>
      <c r="N1525" s="10"/>
      <c r="O1525" s="0" t="str">
        <f aca="false">VLOOKUP(C1525,statusdetails!$A:$D,4,0)</f>
        <v>READY</v>
      </c>
    </row>
    <row r="1526" customFormat="false" ht="12.8" hidden="false" customHeight="false" outlineLevel="0" collapsed="false">
      <c r="A1526" s="0" t="n">
        <v>467693</v>
      </c>
      <c r="B1526" s="0" t="n">
        <v>467693</v>
      </c>
      <c r="C1526" s="0" t="n">
        <v>3</v>
      </c>
      <c r="D1526" s="0" t="n">
        <v>14</v>
      </c>
      <c r="E1526" s="0" t="n">
        <v>2503</v>
      </c>
      <c r="F1526" s="0" t="n">
        <v>86</v>
      </c>
      <c r="G1526" s="0" t="n">
        <v>149</v>
      </c>
      <c r="H1526" s="1" t="s">
        <v>2926</v>
      </c>
      <c r="I1526" s="1" t="s">
        <v>2989</v>
      </c>
      <c r="J1526" s="9" t="n">
        <v>45905</v>
      </c>
      <c r="K1526" s="0" t="s">
        <v>2990</v>
      </c>
      <c r="L1526" s="0" t="n">
        <v>5</v>
      </c>
      <c r="M1526" s="10"/>
      <c r="N1526" s="10"/>
      <c r="O1526" s="0" t="str">
        <f aca="false">VLOOKUP(C1526,statusdetails!$A:$D,4,0)</f>
        <v>STANDBY</v>
      </c>
      <c r="P1526" s="0" t="str">
        <f aca="false">VLOOKUP(F1526,equipment!$A:$E,4,0)</f>
        <v>CM03</v>
      </c>
      <c r="Q1526" s="0" t="str">
        <f aca="false">VLOOKUP(F1526,equipment!$A:$E,5,0)</f>
        <v>CM03 - 86</v>
      </c>
    </row>
    <row r="1527" customFormat="false" ht="12.8" hidden="true" customHeight="false" outlineLevel="0" collapsed="false">
      <c r="A1527" s="0" t="n">
        <v>467694</v>
      </c>
      <c r="B1527" s="0" t="n">
        <v>467694</v>
      </c>
      <c r="C1527" s="0" t="n">
        <v>1</v>
      </c>
      <c r="D1527" s="0" t="n">
        <v>6</v>
      </c>
      <c r="E1527" s="0" t="n">
        <v>2404</v>
      </c>
      <c r="F1527" s="0" t="n">
        <v>86</v>
      </c>
      <c r="G1527" s="0" t="n">
        <v>149</v>
      </c>
      <c r="H1527" s="0" t="s">
        <v>2989</v>
      </c>
      <c r="I1527" s="0" t="s">
        <v>2991</v>
      </c>
      <c r="J1527" s="9" t="n">
        <v>45905</v>
      </c>
      <c r="K1527" s="0" t="s">
        <v>2992</v>
      </c>
      <c r="L1527" s="0" t="n">
        <v>5</v>
      </c>
      <c r="M1527" s="10"/>
      <c r="N1527" s="10"/>
      <c r="O1527" s="0" t="str">
        <f aca="false">VLOOKUP(C1527,statusdetails!$A:$D,4,0)</f>
        <v>READY</v>
      </c>
    </row>
    <row r="1528" customFormat="false" ht="12.8" hidden="true" customHeight="false" outlineLevel="0" collapsed="false">
      <c r="A1528" s="0" t="n">
        <v>467695</v>
      </c>
      <c r="B1528" s="0" t="n">
        <v>467695</v>
      </c>
      <c r="C1528" s="0" t="n">
        <v>1</v>
      </c>
      <c r="D1528" s="0" t="n">
        <v>6</v>
      </c>
      <c r="E1528" s="0" t="n">
        <v>372</v>
      </c>
      <c r="F1528" s="0" t="n">
        <v>37</v>
      </c>
      <c r="G1528" s="0" t="n">
        <v>0</v>
      </c>
      <c r="H1528" s="0" t="s">
        <v>2959</v>
      </c>
      <c r="I1528" s="0" t="s">
        <v>2993</v>
      </c>
      <c r="J1528" s="9" t="n">
        <v>45905</v>
      </c>
      <c r="K1528" s="0" t="s">
        <v>2994</v>
      </c>
      <c r="L1528" s="0" t="n">
        <v>5</v>
      </c>
      <c r="M1528" s="10"/>
      <c r="N1528" s="10"/>
      <c r="O1528" s="0" t="str">
        <f aca="false">VLOOKUP(C1528,statusdetails!$A:$D,4,0)</f>
        <v>READY</v>
      </c>
    </row>
    <row r="1529" customFormat="false" ht="12.8" hidden="true" customHeight="false" outlineLevel="0" collapsed="false">
      <c r="H1529" s="0"/>
      <c r="I1529" s="0"/>
      <c r="J1529" s="9"/>
    </row>
    <row r="1530" customFormat="false" ht="12.8" hidden="false" customHeight="false" outlineLevel="0" collapsed="false">
      <c r="A1530" s="0" t="n">
        <v>467697</v>
      </c>
      <c r="B1530" s="0" t="n">
        <v>467697</v>
      </c>
      <c r="C1530" s="0" t="n">
        <v>3</v>
      </c>
      <c r="D1530" s="0" t="n">
        <v>14</v>
      </c>
      <c r="E1530" s="0" t="n">
        <v>1163</v>
      </c>
      <c r="F1530" s="0" t="n">
        <v>45</v>
      </c>
      <c r="G1530" s="0" t="n">
        <v>133</v>
      </c>
      <c r="H1530" s="1" t="s">
        <v>2934</v>
      </c>
      <c r="I1530" s="1" t="s">
        <v>2995</v>
      </c>
      <c r="J1530" s="9" t="n">
        <v>45905</v>
      </c>
      <c r="K1530" s="0" t="s">
        <v>2996</v>
      </c>
      <c r="L1530" s="0" t="n">
        <v>5</v>
      </c>
      <c r="M1530" s="10"/>
      <c r="N1530" s="10"/>
      <c r="O1530" s="0" t="str">
        <f aca="false">VLOOKUP(C1530,statusdetails!$A:$D,4,0)</f>
        <v>STANDBY</v>
      </c>
      <c r="P1530" s="0" t="str">
        <f aca="false">VLOOKUP(F1530,equipment!$A:$E,4,0)</f>
        <v>EX501</v>
      </c>
      <c r="Q1530" s="0" t="str">
        <f aca="false">VLOOKUP(F1530,equipment!$A:$E,5,0)</f>
        <v>EX501 - 45</v>
      </c>
    </row>
    <row r="1531" customFormat="false" ht="12.8" hidden="false" customHeight="false" outlineLevel="0" collapsed="false">
      <c r="A1531" s="0" t="n">
        <v>467698</v>
      </c>
      <c r="B1531" s="0" t="n">
        <v>467698</v>
      </c>
      <c r="C1531" s="0" t="n">
        <v>3</v>
      </c>
      <c r="D1531" s="0" t="n">
        <v>14</v>
      </c>
      <c r="E1531" s="0" t="n">
        <v>1162</v>
      </c>
      <c r="F1531" s="0" t="n">
        <v>35</v>
      </c>
      <c r="G1531" s="0" t="n">
        <v>62</v>
      </c>
      <c r="H1531" s="1" t="s">
        <v>2997</v>
      </c>
      <c r="I1531" s="1" t="s">
        <v>2998</v>
      </c>
      <c r="J1531" s="9" t="n">
        <v>45905</v>
      </c>
      <c r="K1531" s="0" t="s">
        <v>2999</v>
      </c>
      <c r="L1531" s="0" t="n">
        <v>5</v>
      </c>
      <c r="M1531" s="10"/>
      <c r="N1531" s="10"/>
      <c r="O1531" s="0" t="str">
        <f aca="false">VLOOKUP(C1531,statusdetails!$A:$D,4,0)</f>
        <v>STANDBY</v>
      </c>
      <c r="P1531" s="0" t="str">
        <f aca="false">VLOOKUP(F1531,equipment!$A:$E,4,0)</f>
        <v>CM405</v>
      </c>
      <c r="Q1531" s="0" t="str">
        <f aca="false">VLOOKUP(F1531,equipment!$A:$E,5,0)</f>
        <v>CM405 - 35</v>
      </c>
    </row>
    <row r="1532" customFormat="false" ht="12.8" hidden="true" customHeight="false" outlineLevel="0" collapsed="false">
      <c r="A1532" s="0" t="n">
        <v>467699</v>
      </c>
      <c r="B1532" s="0" t="n">
        <v>467699</v>
      </c>
      <c r="C1532" s="0" t="n">
        <v>1</v>
      </c>
      <c r="D1532" s="0" t="n">
        <v>6</v>
      </c>
      <c r="E1532" s="0" t="n">
        <v>2524</v>
      </c>
      <c r="F1532" s="0" t="n">
        <v>74</v>
      </c>
      <c r="G1532" s="0" t="n">
        <v>0</v>
      </c>
      <c r="H1532" s="0" t="s">
        <v>2848</v>
      </c>
      <c r="I1532" s="0" t="s">
        <v>3000</v>
      </c>
      <c r="J1532" s="9" t="n">
        <v>45905</v>
      </c>
      <c r="K1532" s="0" t="s">
        <v>3001</v>
      </c>
      <c r="L1532" s="0" t="n">
        <v>5</v>
      </c>
      <c r="M1532" s="10"/>
      <c r="N1532" s="10"/>
      <c r="O1532" s="0" t="str">
        <f aca="false">VLOOKUP(C1532,statusdetails!$A:$D,4,0)</f>
        <v>READY</v>
      </c>
    </row>
    <row r="1533" customFormat="false" ht="12.8" hidden="true" customHeight="false" outlineLevel="0" collapsed="false">
      <c r="A1533" s="0" t="n">
        <v>467700</v>
      </c>
      <c r="B1533" s="0" t="n">
        <v>467700</v>
      </c>
      <c r="C1533" s="0" t="n">
        <v>1</v>
      </c>
      <c r="D1533" s="0" t="n">
        <v>6</v>
      </c>
      <c r="E1533" s="0" t="n">
        <v>138</v>
      </c>
      <c r="F1533" s="0" t="n">
        <v>45</v>
      </c>
      <c r="G1533" s="0" t="n">
        <v>133</v>
      </c>
      <c r="H1533" s="0" t="s">
        <v>2995</v>
      </c>
      <c r="I1533" s="0" t="s">
        <v>3002</v>
      </c>
      <c r="J1533" s="9" t="n">
        <v>45905</v>
      </c>
      <c r="K1533" s="0" t="s">
        <v>3003</v>
      </c>
      <c r="L1533" s="0" t="n">
        <v>5</v>
      </c>
      <c r="M1533" s="10"/>
      <c r="N1533" s="10"/>
      <c r="O1533" s="0" t="str">
        <f aca="false">VLOOKUP(C1533,statusdetails!$A:$D,4,0)</f>
        <v>READY</v>
      </c>
    </row>
    <row r="1534" customFormat="false" ht="12.8" hidden="true" customHeight="false" outlineLevel="0" collapsed="false">
      <c r="A1534" s="0" t="n">
        <v>467701</v>
      </c>
      <c r="B1534" s="0" t="n">
        <v>467701</v>
      </c>
      <c r="C1534" s="0" t="n">
        <v>1</v>
      </c>
      <c r="D1534" s="0" t="n">
        <v>6</v>
      </c>
      <c r="E1534" s="0" t="n">
        <v>586</v>
      </c>
      <c r="F1534" s="0" t="n">
        <v>41</v>
      </c>
      <c r="G1534" s="0" t="n">
        <v>118</v>
      </c>
      <c r="H1534" s="0" t="s">
        <v>2973</v>
      </c>
      <c r="I1534" s="0" t="s">
        <v>3004</v>
      </c>
      <c r="J1534" s="9" t="n">
        <v>45905</v>
      </c>
      <c r="K1534" s="0" t="s">
        <v>3005</v>
      </c>
      <c r="L1534" s="0" t="n">
        <v>5</v>
      </c>
      <c r="M1534" s="10"/>
      <c r="N1534" s="10"/>
      <c r="O1534" s="0" t="str">
        <f aca="false">VLOOKUP(C1534,statusdetails!$A:$D,4,0)</f>
        <v>READY</v>
      </c>
    </row>
    <row r="1535" customFormat="false" ht="12.8" hidden="true" customHeight="false" outlineLevel="0" collapsed="false">
      <c r="A1535" s="0" t="n">
        <v>467702</v>
      </c>
      <c r="B1535" s="0" t="n">
        <v>467702</v>
      </c>
      <c r="C1535" s="0" t="n">
        <v>1</v>
      </c>
      <c r="D1535" s="0" t="n">
        <v>6</v>
      </c>
      <c r="E1535" s="0" t="n">
        <v>260</v>
      </c>
      <c r="F1535" s="0" t="n">
        <v>35</v>
      </c>
      <c r="G1535" s="0" t="n">
        <v>62</v>
      </c>
      <c r="H1535" s="0" t="s">
        <v>2998</v>
      </c>
      <c r="I1535" s="0" t="s">
        <v>3006</v>
      </c>
      <c r="J1535" s="9" t="n">
        <v>45905</v>
      </c>
      <c r="K1535" s="0" t="s">
        <v>3007</v>
      </c>
      <c r="L1535" s="0" t="n">
        <v>5</v>
      </c>
      <c r="M1535" s="10"/>
      <c r="N1535" s="10"/>
      <c r="O1535" s="0" t="str">
        <f aca="false">VLOOKUP(C1535,statusdetails!$A:$D,4,0)</f>
        <v>READY</v>
      </c>
    </row>
    <row r="1536" customFormat="false" ht="12.8" hidden="false" customHeight="false" outlineLevel="0" collapsed="false">
      <c r="A1536" s="0" t="n">
        <v>467703</v>
      </c>
      <c r="B1536" s="0" t="n">
        <v>467703</v>
      </c>
      <c r="C1536" s="0" t="n">
        <v>3</v>
      </c>
      <c r="D1536" s="0" t="n">
        <v>12</v>
      </c>
      <c r="E1536" s="0" t="n">
        <v>2504</v>
      </c>
      <c r="F1536" s="0" t="n">
        <v>87</v>
      </c>
      <c r="G1536" s="0" t="n">
        <v>0</v>
      </c>
      <c r="H1536" s="1" t="s">
        <v>2963</v>
      </c>
      <c r="I1536" s="1" t="s">
        <v>3008</v>
      </c>
      <c r="J1536" s="9" t="n">
        <v>45905</v>
      </c>
      <c r="K1536" s="0" t="s">
        <v>3009</v>
      </c>
      <c r="L1536" s="0" t="n">
        <v>5</v>
      </c>
      <c r="M1536" s="10"/>
      <c r="N1536" s="10"/>
      <c r="O1536" s="0" t="str">
        <f aca="false">VLOOKUP(C1536,statusdetails!$A:$D,4,0)</f>
        <v>STANDBY</v>
      </c>
      <c r="P1536" s="0" t="str">
        <f aca="false">VLOOKUP(F1536,equipment!$A:$E,4,0)</f>
        <v>CM04</v>
      </c>
      <c r="Q1536" s="0" t="str">
        <f aca="false">VLOOKUP(F1536,equipment!$A:$E,5,0)</f>
        <v>CM04 - 87</v>
      </c>
    </row>
    <row r="1537" customFormat="false" ht="12.8" hidden="false" customHeight="false" outlineLevel="0" collapsed="false">
      <c r="A1537" s="0" t="n">
        <v>467704</v>
      </c>
      <c r="B1537" s="0" t="n">
        <v>467704</v>
      </c>
      <c r="C1537" s="0" t="n">
        <v>3</v>
      </c>
      <c r="D1537" s="0" t="n">
        <v>12</v>
      </c>
      <c r="E1537" s="0" t="n">
        <v>1175</v>
      </c>
      <c r="F1537" s="0" t="n">
        <v>74</v>
      </c>
      <c r="G1537" s="0" t="n">
        <v>61</v>
      </c>
      <c r="H1537" s="1" t="s">
        <v>3000</v>
      </c>
      <c r="I1537" s="1" t="s">
        <v>3010</v>
      </c>
      <c r="J1537" s="9" t="n">
        <v>45905</v>
      </c>
      <c r="K1537" s="0" t="s">
        <v>3011</v>
      </c>
      <c r="L1537" s="0" t="n">
        <v>5</v>
      </c>
      <c r="M1537" s="10"/>
      <c r="N1537" s="10"/>
      <c r="O1537" s="0" t="str">
        <f aca="false">VLOOKUP(C1537,statusdetails!$A:$D,4,0)</f>
        <v>STANDBY</v>
      </c>
      <c r="P1537" s="0" t="str">
        <f aca="false">VLOOKUP(F1537,equipment!$A:$E,4,0)</f>
        <v>CR701</v>
      </c>
      <c r="Q1537" s="0" t="str">
        <f aca="false">VLOOKUP(F1537,equipment!$A:$E,5,0)</f>
        <v>CR701 - 74</v>
      </c>
    </row>
    <row r="1538" customFormat="false" ht="12.8" hidden="false" customHeight="false" outlineLevel="0" collapsed="false">
      <c r="A1538" s="0" t="n">
        <v>467705</v>
      </c>
      <c r="B1538" s="0" t="n">
        <v>467705</v>
      </c>
      <c r="C1538" s="0" t="n">
        <v>3</v>
      </c>
      <c r="D1538" s="0" t="n">
        <v>14</v>
      </c>
      <c r="E1538" s="0" t="n">
        <v>2387</v>
      </c>
      <c r="F1538" s="0" t="n">
        <v>96</v>
      </c>
      <c r="G1538" s="0" t="n">
        <v>89</v>
      </c>
      <c r="H1538" s="1" t="s">
        <v>2950</v>
      </c>
      <c r="I1538" s="1" t="s">
        <v>3012</v>
      </c>
      <c r="J1538" s="9" t="n">
        <v>45905</v>
      </c>
      <c r="K1538" s="0" t="s">
        <v>3013</v>
      </c>
      <c r="L1538" s="0" t="n">
        <v>5</v>
      </c>
      <c r="M1538" s="10"/>
      <c r="N1538" s="10"/>
      <c r="O1538" s="0" t="str">
        <f aca="false">VLOOKUP(C1538,statusdetails!$A:$D,4,0)</f>
        <v>STANDBY</v>
      </c>
      <c r="P1538" s="0" t="str">
        <f aca="false">VLOOKUP(F1538,equipment!$A:$E,4,0)</f>
        <v>EX503</v>
      </c>
      <c r="Q1538" s="0" t="str">
        <f aca="false">VLOOKUP(F1538,equipment!$A:$E,5,0)</f>
        <v>EX503 - 96</v>
      </c>
    </row>
    <row r="1539" customFormat="false" ht="12.8" hidden="true" customHeight="false" outlineLevel="0" collapsed="false">
      <c r="H1539" s="0"/>
      <c r="I1539" s="0"/>
      <c r="J1539" s="9"/>
    </row>
    <row r="1540" customFormat="false" ht="12.8" hidden="true" customHeight="false" outlineLevel="0" collapsed="false">
      <c r="H1540" s="0"/>
      <c r="I1540" s="0"/>
      <c r="J1540" s="9"/>
    </row>
    <row r="1541" customFormat="false" ht="12.8" hidden="true" customHeight="false" outlineLevel="0" collapsed="false">
      <c r="A1541" s="0" t="n">
        <v>467708</v>
      </c>
      <c r="B1541" s="0" t="n">
        <v>467708</v>
      </c>
      <c r="C1541" s="0" t="n">
        <v>1</v>
      </c>
      <c r="D1541" s="0" t="n">
        <v>6</v>
      </c>
      <c r="E1541" s="0" t="n">
        <v>2518</v>
      </c>
      <c r="F1541" s="0" t="n">
        <v>96</v>
      </c>
      <c r="G1541" s="0" t="n">
        <v>89</v>
      </c>
      <c r="H1541" s="0" t="s">
        <v>3012</v>
      </c>
      <c r="I1541" s="0" t="s">
        <v>3014</v>
      </c>
      <c r="J1541" s="9" t="n">
        <v>45905</v>
      </c>
      <c r="K1541" s="0" t="s">
        <v>3015</v>
      </c>
      <c r="L1541" s="0" t="n">
        <v>5</v>
      </c>
      <c r="M1541" s="10"/>
      <c r="N1541" s="10"/>
      <c r="O1541" s="0" t="str">
        <f aca="false">VLOOKUP(C1541,statusdetails!$A:$D,4,0)</f>
        <v>READY</v>
      </c>
    </row>
    <row r="1542" customFormat="false" ht="12.8" hidden="true" customHeight="false" outlineLevel="0" collapsed="false">
      <c r="A1542" s="0" t="n">
        <v>467709</v>
      </c>
      <c r="B1542" s="0" t="n">
        <v>467709</v>
      </c>
      <c r="C1542" s="0" t="n">
        <v>1</v>
      </c>
      <c r="D1542" s="0" t="n">
        <v>6</v>
      </c>
      <c r="E1542" s="0" t="n">
        <v>260</v>
      </c>
      <c r="F1542" s="0" t="n">
        <v>66</v>
      </c>
      <c r="G1542" s="0" t="n">
        <v>66</v>
      </c>
      <c r="H1542" s="0" t="s">
        <v>3016</v>
      </c>
      <c r="I1542" s="0" t="s">
        <v>3017</v>
      </c>
      <c r="J1542" s="9" t="n">
        <v>45905</v>
      </c>
      <c r="K1542" s="0" t="s">
        <v>3018</v>
      </c>
      <c r="L1542" s="0" t="n">
        <v>6</v>
      </c>
      <c r="M1542" s="10"/>
      <c r="N1542" s="10"/>
      <c r="O1542" s="0" t="str">
        <f aca="false">VLOOKUP(C1542,statusdetails!$A:$D,4,0)</f>
        <v>READY</v>
      </c>
    </row>
    <row r="1543" customFormat="false" ht="12.8" hidden="true" customHeight="false" outlineLevel="0" collapsed="false">
      <c r="A1543" s="0" t="n">
        <v>467710</v>
      </c>
      <c r="B1543" s="0" t="n">
        <v>467710</v>
      </c>
      <c r="C1543" s="0" t="n">
        <v>1</v>
      </c>
      <c r="D1543" s="0" t="n">
        <v>6</v>
      </c>
      <c r="E1543" s="0" t="n">
        <v>260</v>
      </c>
      <c r="F1543" s="0" t="n">
        <v>33</v>
      </c>
      <c r="G1543" s="0" t="n">
        <v>42</v>
      </c>
      <c r="H1543" s="0" t="s">
        <v>3019</v>
      </c>
      <c r="I1543" s="0" t="s">
        <v>3020</v>
      </c>
      <c r="J1543" s="9" t="n">
        <v>45905</v>
      </c>
      <c r="K1543" s="0" t="s">
        <v>3021</v>
      </c>
      <c r="L1543" s="0" t="n">
        <v>6</v>
      </c>
      <c r="M1543" s="10"/>
      <c r="N1543" s="10"/>
      <c r="O1543" s="0" t="str">
        <f aca="false">VLOOKUP(C1543,statusdetails!$A:$D,4,0)</f>
        <v>READY</v>
      </c>
    </row>
    <row r="1544" customFormat="false" ht="12.8" hidden="true" customHeight="false" outlineLevel="0" collapsed="false">
      <c r="A1544" s="0" t="n">
        <v>467711</v>
      </c>
      <c r="B1544" s="0" t="n">
        <v>467711</v>
      </c>
      <c r="C1544" s="0" t="n">
        <v>1</v>
      </c>
      <c r="D1544" s="0" t="n">
        <v>6</v>
      </c>
      <c r="E1544" s="0" t="n">
        <v>2404</v>
      </c>
      <c r="F1544" s="0" t="n">
        <v>87</v>
      </c>
      <c r="G1544" s="0" t="n">
        <v>0</v>
      </c>
      <c r="H1544" s="0" t="s">
        <v>3008</v>
      </c>
      <c r="I1544" s="0" t="s">
        <v>3022</v>
      </c>
      <c r="J1544" s="9" t="n">
        <v>45905</v>
      </c>
      <c r="K1544" s="0" t="s">
        <v>3023</v>
      </c>
      <c r="L1544" s="0" t="n">
        <v>6</v>
      </c>
      <c r="M1544" s="10"/>
      <c r="N1544" s="10"/>
      <c r="O1544" s="0" t="str">
        <f aca="false">VLOOKUP(C1544,statusdetails!$A:$D,4,0)</f>
        <v>READY</v>
      </c>
    </row>
    <row r="1545" customFormat="false" ht="12.8" hidden="true" customHeight="false" outlineLevel="0" collapsed="false">
      <c r="H1545" s="0"/>
      <c r="I1545" s="0"/>
      <c r="J1545" s="9"/>
    </row>
    <row r="1546" customFormat="false" ht="12.8" hidden="false" customHeight="false" outlineLevel="0" collapsed="false">
      <c r="A1546" s="0" t="n">
        <v>467713</v>
      </c>
      <c r="B1546" s="0" t="n">
        <v>467713</v>
      </c>
      <c r="C1546" s="0" t="n">
        <v>3</v>
      </c>
      <c r="D1546" s="0" t="n">
        <v>14</v>
      </c>
      <c r="E1546" s="0" t="n">
        <v>2387</v>
      </c>
      <c r="F1546" s="0" t="n">
        <v>82</v>
      </c>
      <c r="G1546" s="0" t="n">
        <v>107</v>
      </c>
      <c r="H1546" s="1" t="s">
        <v>2867</v>
      </c>
      <c r="I1546" s="1" t="s">
        <v>3024</v>
      </c>
      <c r="J1546" s="9" t="n">
        <v>45905</v>
      </c>
      <c r="K1546" s="0" t="s">
        <v>3025</v>
      </c>
      <c r="L1546" s="0" t="n">
        <v>6</v>
      </c>
      <c r="M1546" s="10"/>
      <c r="N1546" s="10"/>
      <c r="O1546" s="0" t="str">
        <f aca="false">VLOOKUP(C1546,statusdetails!$A:$D,4,0)</f>
        <v>STANDBY</v>
      </c>
      <c r="P1546" s="0" t="str">
        <f aca="false">VLOOKUP(F1546,equipment!$A:$E,4,0)</f>
        <v>EX502</v>
      </c>
      <c r="Q1546" s="0" t="str">
        <f aca="false">VLOOKUP(F1546,equipment!$A:$E,5,0)</f>
        <v>EX502 - 82</v>
      </c>
    </row>
    <row r="1547" customFormat="false" ht="12.8" hidden="true" customHeight="false" outlineLevel="0" collapsed="false">
      <c r="H1547" s="0"/>
      <c r="I1547" s="0"/>
      <c r="J1547" s="9"/>
    </row>
    <row r="1548" customFormat="false" ht="12.8" hidden="true" customHeight="false" outlineLevel="0" collapsed="false">
      <c r="H1548" s="0"/>
      <c r="I1548" s="0"/>
      <c r="J1548" s="9"/>
    </row>
    <row r="1549" customFormat="false" ht="12.8" hidden="true" customHeight="false" outlineLevel="0" collapsed="false">
      <c r="A1549" s="0" t="n">
        <v>467716</v>
      </c>
      <c r="B1549" s="0" t="n">
        <v>467716</v>
      </c>
      <c r="C1549" s="0" t="n">
        <v>1</v>
      </c>
      <c r="D1549" s="0" t="n">
        <v>6</v>
      </c>
      <c r="E1549" s="0" t="n">
        <v>2518</v>
      </c>
      <c r="F1549" s="0" t="n">
        <v>82</v>
      </c>
      <c r="G1549" s="0" t="n">
        <v>107</v>
      </c>
      <c r="H1549" s="0" t="s">
        <v>3024</v>
      </c>
      <c r="I1549" s="0" t="s">
        <v>3026</v>
      </c>
      <c r="J1549" s="9" t="n">
        <v>45905</v>
      </c>
      <c r="K1549" s="0" t="s">
        <v>3027</v>
      </c>
      <c r="L1549" s="0" t="n">
        <v>6</v>
      </c>
      <c r="M1549" s="10"/>
      <c r="N1549" s="10"/>
      <c r="O1549" s="0" t="str">
        <f aca="false">VLOOKUP(C1549,statusdetails!$A:$D,4,0)</f>
        <v>READY</v>
      </c>
    </row>
    <row r="1550" customFormat="false" ht="12.8" hidden="false" customHeight="false" outlineLevel="0" collapsed="false">
      <c r="A1550" s="0" t="n">
        <v>467717</v>
      </c>
      <c r="B1550" s="0" t="n">
        <v>467717</v>
      </c>
      <c r="C1550" s="0" t="n">
        <v>3</v>
      </c>
      <c r="D1550" s="0" t="n">
        <v>14</v>
      </c>
      <c r="E1550" s="0" t="n">
        <v>2387</v>
      </c>
      <c r="F1550" s="0" t="n">
        <v>82</v>
      </c>
      <c r="G1550" s="0" t="n">
        <v>107</v>
      </c>
      <c r="H1550" s="1" t="s">
        <v>3026</v>
      </c>
      <c r="I1550" s="1" t="s">
        <v>3028</v>
      </c>
      <c r="J1550" s="9" t="n">
        <v>45905</v>
      </c>
      <c r="K1550" s="0" t="s">
        <v>3029</v>
      </c>
      <c r="L1550" s="0" t="n">
        <v>6</v>
      </c>
      <c r="M1550" s="10"/>
      <c r="N1550" s="10"/>
      <c r="O1550" s="0" t="str">
        <f aca="false">VLOOKUP(C1550,statusdetails!$A:$D,4,0)</f>
        <v>STANDBY</v>
      </c>
      <c r="P1550" s="0" t="str">
        <f aca="false">VLOOKUP(F1550,equipment!$A:$E,4,0)</f>
        <v>EX502</v>
      </c>
      <c r="Q1550" s="0" t="str">
        <f aca="false">VLOOKUP(F1550,equipment!$A:$E,5,0)</f>
        <v>EX502 - 82</v>
      </c>
    </row>
    <row r="1551" customFormat="false" ht="12.8" hidden="true" customHeight="false" outlineLevel="0" collapsed="false">
      <c r="H1551" s="0"/>
      <c r="I1551" s="0"/>
      <c r="J1551" s="9"/>
    </row>
    <row r="1552" customFormat="false" ht="12.8" hidden="true" customHeight="false" outlineLevel="0" collapsed="false">
      <c r="H1552" s="0"/>
      <c r="I1552" s="0"/>
      <c r="J1552" s="9"/>
    </row>
    <row r="1553" customFormat="false" ht="12.8" hidden="true" customHeight="false" outlineLevel="0" collapsed="false">
      <c r="A1553" s="0" t="n">
        <v>467720</v>
      </c>
      <c r="B1553" s="0" t="n">
        <v>467720</v>
      </c>
      <c r="C1553" s="0" t="n">
        <v>1</v>
      </c>
      <c r="D1553" s="0" t="n">
        <v>6</v>
      </c>
      <c r="E1553" s="0" t="n">
        <v>2404</v>
      </c>
      <c r="F1553" s="0" t="n">
        <v>86</v>
      </c>
      <c r="G1553" s="0" t="n">
        <v>149</v>
      </c>
      <c r="H1553" s="0" t="s">
        <v>3030</v>
      </c>
      <c r="I1553" s="0" t="s">
        <v>3031</v>
      </c>
      <c r="J1553" s="9" t="n">
        <v>45905</v>
      </c>
      <c r="K1553" s="0" t="s">
        <v>3032</v>
      </c>
      <c r="L1553" s="0" t="n">
        <v>6</v>
      </c>
      <c r="M1553" s="10"/>
      <c r="N1553" s="10"/>
      <c r="O1553" s="0" t="str">
        <f aca="false">VLOOKUP(C1553,statusdetails!$A:$D,4,0)</f>
        <v>READY</v>
      </c>
    </row>
    <row r="1554" customFormat="false" ht="12.8" hidden="true" customHeight="false" outlineLevel="0" collapsed="false">
      <c r="A1554" s="0" t="n">
        <v>467721</v>
      </c>
      <c r="B1554" s="0" t="n">
        <v>467721</v>
      </c>
      <c r="C1554" s="0" t="n">
        <v>1</v>
      </c>
      <c r="D1554" s="0" t="n">
        <v>6</v>
      </c>
      <c r="E1554" s="0" t="n">
        <v>2404</v>
      </c>
      <c r="F1554" s="0" t="n">
        <v>84</v>
      </c>
      <c r="G1554" s="0" t="n">
        <v>82</v>
      </c>
      <c r="H1554" s="0" t="s">
        <v>3033</v>
      </c>
      <c r="I1554" s="0" t="s">
        <v>3034</v>
      </c>
      <c r="J1554" s="9" t="n">
        <v>45905</v>
      </c>
      <c r="K1554" s="0" t="s">
        <v>3035</v>
      </c>
      <c r="L1554" s="0" t="n">
        <v>6</v>
      </c>
      <c r="M1554" s="10"/>
      <c r="N1554" s="10"/>
      <c r="O1554" s="0" t="str">
        <f aca="false">VLOOKUP(C1554,statusdetails!$A:$D,4,0)</f>
        <v>READY</v>
      </c>
    </row>
    <row r="1555" customFormat="false" ht="12.8" hidden="true" customHeight="false" outlineLevel="0" collapsed="false">
      <c r="A1555" s="0" t="n">
        <v>467722</v>
      </c>
      <c r="B1555" s="0" t="n">
        <v>467722</v>
      </c>
      <c r="C1555" s="0" t="n">
        <v>1</v>
      </c>
      <c r="D1555" s="0" t="n">
        <v>6</v>
      </c>
      <c r="E1555" s="0" t="n">
        <v>2404</v>
      </c>
      <c r="F1555" s="0" t="n">
        <v>88</v>
      </c>
      <c r="G1555" s="0" t="n">
        <v>148</v>
      </c>
      <c r="H1555" s="0" t="s">
        <v>3036</v>
      </c>
      <c r="I1555" s="0" t="s">
        <v>3037</v>
      </c>
      <c r="J1555" s="9" t="n">
        <v>45905</v>
      </c>
      <c r="K1555" s="0" t="s">
        <v>3038</v>
      </c>
      <c r="L1555" s="0" t="n">
        <v>6</v>
      </c>
      <c r="M1555" s="10"/>
      <c r="N1555" s="10"/>
      <c r="O1555" s="0" t="str">
        <f aca="false">VLOOKUP(C1555,statusdetails!$A:$D,4,0)</f>
        <v>READY</v>
      </c>
    </row>
    <row r="1556" customFormat="false" ht="12.8" hidden="true" customHeight="false" outlineLevel="0" collapsed="false">
      <c r="A1556" s="0" t="n">
        <v>467723</v>
      </c>
      <c r="B1556" s="0" t="n">
        <v>467723</v>
      </c>
      <c r="C1556" s="0" t="n">
        <v>1</v>
      </c>
      <c r="D1556" s="0" t="n">
        <v>6</v>
      </c>
      <c r="E1556" s="0" t="n">
        <v>2518</v>
      </c>
      <c r="F1556" s="0" t="n">
        <v>82</v>
      </c>
      <c r="G1556" s="0" t="n">
        <v>107</v>
      </c>
      <c r="H1556" s="0" t="s">
        <v>3028</v>
      </c>
      <c r="I1556" s="0" t="s">
        <v>3039</v>
      </c>
      <c r="J1556" s="9" t="n">
        <v>45905</v>
      </c>
      <c r="K1556" s="0" t="s">
        <v>3040</v>
      </c>
      <c r="L1556" s="0" t="n">
        <v>6</v>
      </c>
      <c r="M1556" s="10"/>
      <c r="N1556" s="10"/>
      <c r="O1556" s="0" t="str">
        <f aca="false">VLOOKUP(C1556,statusdetails!$A:$D,4,0)</f>
        <v>READY</v>
      </c>
    </row>
    <row r="1557" customFormat="false" ht="12.8" hidden="true" customHeight="false" outlineLevel="0" collapsed="false">
      <c r="A1557" s="0" t="n">
        <v>467724</v>
      </c>
      <c r="B1557" s="0" t="n">
        <v>467724</v>
      </c>
      <c r="C1557" s="0" t="n">
        <v>1</v>
      </c>
      <c r="D1557" s="0" t="n">
        <v>6</v>
      </c>
      <c r="E1557" s="0" t="n">
        <v>2404</v>
      </c>
      <c r="F1557" s="0" t="n">
        <v>89</v>
      </c>
      <c r="G1557" s="0" t="n">
        <v>150</v>
      </c>
      <c r="H1557" s="0" t="s">
        <v>3041</v>
      </c>
      <c r="I1557" s="0" t="s">
        <v>3042</v>
      </c>
      <c r="J1557" s="9" t="n">
        <v>45905</v>
      </c>
      <c r="K1557" s="0" t="s">
        <v>3043</v>
      </c>
      <c r="L1557" s="0" t="n">
        <v>6</v>
      </c>
      <c r="M1557" s="10"/>
      <c r="N1557" s="10"/>
      <c r="O1557" s="0" t="str">
        <f aca="false">VLOOKUP(C1557,statusdetails!$A:$D,4,0)</f>
        <v>READY</v>
      </c>
    </row>
    <row r="1558" customFormat="false" ht="12.8" hidden="true" customHeight="false" outlineLevel="0" collapsed="false">
      <c r="A1558" s="0" t="n">
        <v>467725</v>
      </c>
      <c r="B1558" s="0" t="n">
        <v>467725</v>
      </c>
      <c r="C1558" s="0" t="n">
        <v>1</v>
      </c>
      <c r="D1558" s="0" t="n">
        <v>6</v>
      </c>
      <c r="E1558" s="0" t="n">
        <v>2404</v>
      </c>
      <c r="F1558" s="0" t="n">
        <v>87</v>
      </c>
      <c r="G1558" s="0" t="n">
        <v>61</v>
      </c>
      <c r="H1558" s="0" t="s">
        <v>3044</v>
      </c>
      <c r="I1558" s="0" t="s">
        <v>3045</v>
      </c>
      <c r="J1558" s="9" t="n">
        <v>45905</v>
      </c>
      <c r="K1558" s="0" t="s">
        <v>3046</v>
      </c>
      <c r="L1558" s="0" t="n">
        <v>6</v>
      </c>
      <c r="M1558" s="10"/>
      <c r="N1558" s="10"/>
      <c r="O1558" s="0" t="str">
        <f aca="false">VLOOKUP(C1558,statusdetails!$A:$D,4,0)</f>
        <v>READY</v>
      </c>
    </row>
    <row r="1559" customFormat="false" ht="12.8" hidden="true" customHeight="false" outlineLevel="0" collapsed="false">
      <c r="A1559" s="0" t="n">
        <v>467726</v>
      </c>
      <c r="B1559" s="0" t="n">
        <v>467726</v>
      </c>
      <c r="C1559" s="0" t="n">
        <v>4</v>
      </c>
      <c r="D1559" s="0" t="n">
        <v>16</v>
      </c>
      <c r="E1559" s="0" t="n">
        <v>2461</v>
      </c>
      <c r="F1559" s="0" t="n">
        <v>85</v>
      </c>
      <c r="G1559" s="0" t="n">
        <v>147</v>
      </c>
      <c r="H1559" s="0" t="s">
        <v>2983</v>
      </c>
      <c r="I1559" s="0" t="s">
        <v>3047</v>
      </c>
      <c r="J1559" s="9" t="n">
        <v>45905</v>
      </c>
      <c r="K1559" s="0" t="s">
        <v>3048</v>
      </c>
      <c r="L1559" s="0" t="n">
        <v>6</v>
      </c>
      <c r="M1559" s="10"/>
      <c r="N1559" s="10"/>
      <c r="O1559" s="0" t="str">
        <f aca="false">VLOOKUP(C1559,statusdetails!$A:$D,4,0)</f>
        <v>MAINT</v>
      </c>
    </row>
    <row r="1560" customFormat="false" ht="12.8" hidden="false" customHeight="false" outlineLevel="0" collapsed="false">
      <c r="A1560" s="0" t="n">
        <v>467727</v>
      </c>
      <c r="B1560" s="0" t="n">
        <v>467727</v>
      </c>
      <c r="C1560" s="0" t="n">
        <v>3</v>
      </c>
      <c r="D1560" s="0" t="n">
        <v>14</v>
      </c>
      <c r="E1560" s="0" t="n">
        <v>1789</v>
      </c>
      <c r="F1560" s="0" t="n">
        <v>66</v>
      </c>
      <c r="G1560" s="0" t="n">
        <v>66</v>
      </c>
      <c r="H1560" s="1" t="s">
        <v>3017</v>
      </c>
      <c r="I1560" s="1" t="s">
        <v>3049</v>
      </c>
      <c r="J1560" s="9" t="n">
        <v>45905</v>
      </c>
      <c r="K1560" s="0" t="s">
        <v>3050</v>
      </c>
      <c r="L1560" s="0" t="n">
        <v>6</v>
      </c>
      <c r="M1560" s="10"/>
      <c r="N1560" s="10"/>
      <c r="O1560" s="0" t="str">
        <f aca="false">VLOOKUP(C1560,statusdetails!$A:$D,4,0)</f>
        <v>STANDBY</v>
      </c>
      <c r="P1560" s="0" t="str">
        <f aca="false">VLOOKUP(F1560,equipment!$A:$E,4,0)</f>
        <v>CM407</v>
      </c>
      <c r="Q1560" s="0" t="str">
        <f aca="false">VLOOKUP(F1560,equipment!$A:$E,5,0)</f>
        <v>CM407 - 66</v>
      </c>
    </row>
    <row r="1561" customFormat="false" ht="12.8" hidden="false" customHeight="false" outlineLevel="0" collapsed="false">
      <c r="A1561" s="0" t="n">
        <v>467728</v>
      </c>
      <c r="B1561" s="0" t="n">
        <v>467728</v>
      </c>
      <c r="C1561" s="0" t="n">
        <v>3</v>
      </c>
      <c r="D1561" s="0" t="n">
        <v>14</v>
      </c>
      <c r="E1561" s="0" t="n">
        <v>1789</v>
      </c>
      <c r="F1561" s="0" t="n">
        <v>35</v>
      </c>
      <c r="G1561" s="0" t="n">
        <v>62</v>
      </c>
      <c r="H1561" s="1" t="s">
        <v>3006</v>
      </c>
      <c r="I1561" s="1" t="s">
        <v>3051</v>
      </c>
      <c r="J1561" s="9" t="n">
        <v>45905</v>
      </c>
      <c r="K1561" s="0" t="s">
        <v>3052</v>
      </c>
      <c r="L1561" s="0" t="n">
        <v>6</v>
      </c>
      <c r="M1561" s="10"/>
      <c r="N1561" s="10"/>
      <c r="O1561" s="0" t="str">
        <f aca="false">VLOOKUP(C1561,statusdetails!$A:$D,4,0)</f>
        <v>STANDBY</v>
      </c>
      <c r="P1561" s="0" t="str">
        <f aca="false">VLOOKUP(F1561,equipment!$A:$E,4,0)</f>
        <v>CM405</v>
      </c>
      <c r="Q1561" s="0" t="str">
        <f aca="false">VLOOKUP(F1561,equipment!$A:$E,5,0)</f>
        <v>CM405 - 35</v>
      </c>
    </row>
    <row r="1562" customFormat="false" ht="12.8" hidden="false" customHeight="false" outlineLevel="0" collapsed="false">
      <c r="A1562" s="0" t="n">
        <v>467729</v>
      </c>
      <c r="B1562" s="0" t="n">
        <v>467729</v>
      </c>
      <c r="C1562" s="0" t="n">
        <v>3</v>
      </c>
      <c r="D1562" s="0" t="n">
        <v>14</v>
      </c>
      <c r="E1562" s="0" t="n">
        <v>2406</v>
      </c>
      <c r="F1562" s="0" t="n">
        <v>84</v>
      </c>
      <c r="G1562" s="0" t="n">
        <v>82</v>
      </c>
      <c r="H1562" s="1" t="s">
        <v>3034</v>
      </c>
      <c r="I1562" s="1" t="s">
        <v>3053</v>
      </c>
      <c r="J1562" s="9" t="n">
        <v>45905</v>
      </c>
      <c r="K1562" s="0" t="s">
        <v>3054</v>
      </c>
      <c r="L1562" s="0" t="n">
        <v>6</v>
      </c>
      <c r="M1562" s="10"/>
      <c r="N1562" s="10"/>
      <c r="O1562" s="0" t="str">
        <f aca="false">VLOOKUP(C1562,statusdetails!$A:$D,4,0)</f>
        <v>STANDBY</v>
      </c>
      <c r="P1562" s="0" t="str">
        <f aca="false">VLOOKUP(F1562,equipment!$A:$E,4,0)</f>
        <v>CM01</v>
      </c>
      <c r="Q1562" s="0" t="str">
        <f aca="false">VLOOKUP(F1562,equipment!$A:$E,5,0)</f>
        <v>CM01 - 84</v>
      </c>
    </row>
    <row r="1563" customFormat="false" ht="12.8" hidden="false" customHeight="false" outlineLevel="0" collapsed="false">
      <c r="A1563" s="0" t="n">
        <v>467730</v>
      </c>
      <c r="B1563" s="0" t="n">
        <v>467730</v>
      </c>
      <c r="C1563" s="0" t="n">
        <v>3</v>
      </c>
      <c r="D1563" s="0" t="n">
        <v>14</v>
      </c>
      <c r="E1563" s="0" t="n">
        <v>1790</v>
      </c>
      <c r="F1563" s="0" t="n">
        <v>45</v>
      </c>
      <c r="G1563" s="0" t="n">
        <v>133</v>
      </c>
      <c r="H1563" s="1" t="s">
        <v>3002</v>
      </c>
      <c r="I1563" s="1" t="s">
        <v>3055</v>
      </c>
      <c r="J1563" s="9" t="n">
        <v>45905</v>
      </c>
      <c r="K1563" s="0" t="s">
        <v>3056</v>
      </c>
      <c r="L1563" s="0" t="n">
        <v>6</v>
      </c>
      <c r="M1563" s="10"/>
      <c r="N1563" s="10"/>
      <c r="O1563" s="0" t="str">
        <f aca="false">VLOOKUP(C1563,statusdetails!$A:$D,4,0)</f>
        <v>STANDBY</v>
      </c>
      <c r="P1563" s="0" t="str">
        <f aca="false">VLOOKUP(F1563,equipment!$A:$E,4,0)</f>
        <v>EX501</v>
      </c>
      <c r="Q1563" s="0" t="str">
        <f aca="false">VLOOKUP(F1563,equipment!$A:$E,5,0)</f>
        <v>EX501 - 45</v>
      </c>
    </row>
    <row r="1564" customFormat="false" ht="12.8" hidden="false" customHeight="false" outlineLevel="0" collapsed="false">
      <c r="A1564" s="0" t="n">
        <v>467731</v>
      </c>
      <c r="B1564" s="0" t="n">
        <v>467731</v>
      </c>
      <c r="C1564" s="0" t="n">
        <v>3</v>
      </c>
      <c r="D1564" s="0" t="n">
        <v>14</v>
      </c>
      <c r="E1564" s="0" t="n">
        <v>2392</v>
      </c>
      <c r="F1564" s="0" t="n">
        <v>96</v>
      </c>
      <c r="G1564" s="0" t="n">
        <v>89</v>
      </c>
      <c r="H1564" s="1" t="s">
        <v>3014</v>
      </c>
      <c r="I1564" s="1" t="s">
        <v>3057</v>
      </c>
      <c r="J1564" s="9" t="n">
        <v>45905</v>
      </c>
      <c r="K1564" s="0" t="s">
        <v>3058</v>
      </c>
      <c r="L1564" s="0" t="n">
        <v>6</v>
      </c>
      <c r="M1564" s="10"/>
      <c r="N1564" s="10"/>
      <c r="O1564" s="0" t="str">
        <f aca="false">VLOOKUP(C1564,statusdetails!$A:$D,4,0)</f>
        <v>STANDBY</v>
      </c>
      <c r="P1564" s="0" t="str">
        <f aca="false">VLOOKUP(F1564,equipment!$A:$E,4,0)</f>
        <v>EX503</v>
      </c>
      <c r="Q1564" s="0" t="str">
        <f aca="false">VLOOKUP(F1564,equipment!$A:$E,5,0)</f>
        <v>EX503 - 96</v>
      </c>
    </row>
    <row r="1565" customFormat="false" ht="12.8" hidden="false" customHeight="false" outlineLevel="0" collapsed="false">
      <c r="A1565" s="0" t="n">
        <v>467732</v>
      </c>
      <c r="B1565" s="0" t="n">
        <v>467732</v>
      </c>
      <c r="C1565" s="0" t="n">
        <v>3</v>
      </c>
      <c r="D1565" s="0" t="n">
        <v>14</v>
      </c>
      <c r="E1565" s="0" t="n">
        <v>2406</v>
      </c>
      <c r="F1565" s="0" t="n">
        <v>86</v>
      </c>
      <c r="G1565" s="0" t="n">
        <v>149</v>
      </c>
      <c r="H1565" s="1" t="s">
        <v>3031</v>
      </c>
      <c r="I1565" s="1" t="s">
        <v>3059</v>
      </c>
      <c r="J1565" s="9" t="n">
        <v>45905</v>
      </c>
      <c r="K1565" s="0" t="s">
        <v>3060</v>
      </c>
      <c r="L1565" s="0" t="n">
        <v>6</v>
      </c>
      <c r="M1565" s="10"/>
      <c r="N1565" s="10"/>
      <c r="O1565" s="0" t="str">
        <f aca="false">VLOOKUP(C1565,statusdetails!$A:$D,4,0)</f>
        <v>STANDBY</v>
      </c>
      <c r="P1565" s="0" t="str">
        <f aca="false">VLOOKUP(F1565,equipment!$A:$E,4,0)</f>
        <v>CM03</v>
      </c>
      <c r="Q1565" s="0" t="str">
        <f aca="false">VLOOKUP(F1565,equipment!$A:$E,5,0)</f>
        <v>CM03 - 86</v>
      </c>
    </row>
    <row r="1566" customFormat="false" ht="12.8" hidden="false" customHeight="false" outlineLevel="0" collapsed="false">
      <c r="A1566" s="0" t="n">
        <v>467733</v>
      </c>
      <c r="B1566" s="0" t="n">
        <v>467733</v>
      </c>
      <c r="C1566" s="0" t="n">
        <v>3</v>
      </c>
      <c r="D1566" s="0" t="n">
        <v>14</v>
      </c>
      <c r="E1566" s="0" t="n">
        <v>1789</v>
      </c>
      <c r="F1566" s="0" t="n">
        <v>32</v>
      </c>
      <c r="G1566" s="0" t="n">
        <v>67</v>
      </c>
      <c r="H1566" s="1" t="s">
        <v>2940</v>
      </c>
      <c r="I1566" s="1" t="s">
        <v>3061</v>
      </c>
      <c r="J1566" s="9" t="n">
        <v>45905</v>
      </c>
      <c r="K1566" s="0" t="s">
        <v>3062</v>
      </c>
      <c r="L1566" s="0" t="n">
        <v>6</v>
      </c>
      <c r="M1566" s="10"/>
      <c r="N1566" s="10"/>
      <c r="O1566" s="0" t="str">
        <f aca="false">VLOOKUP(C1566,statusdetails!$A:$D,4,0)</f>
        <v>STANDBY</v>
      </c>
      <c r="P1566" s="0" t="str">
        <f aca="false">VLOOKUP(F1566,equipment!$A:$E,4,0)</f>
        <v>CM403</v>
      </c>
      <c r="Q1566" s="0" t="str">
        <f aca="false">VLOOKUP(F1566,equipment!$A:$E,5,0)</f>
        <v>CM403 - 32</v>
      </c>
    </row>
    <row r="1567" customFormat="false" ht="12.8" hidden="false" customHeight="false" outlineLevel="0" collapsed="false">
      <c r="A1567" s="0" t="n">
        <v>467734</v>
      </c>
      <c r="B1567" s="0" t="n">
        <v>467734</v>
      </c>
      <c r="C1567" s="0" t="n">
        <v>3</v>
      </c>
      <c r="D1567" s="0" t="n">
        <v>14</v>
      </c>
      <c r="E1567" s="0" t="n">
        <v>2406</v>
      </c>
      <c r="F1567" s="0" t="n">
        <v>89</v>
      </c>
      <c r="G1567" s="0" t="n">
        <v>150</v>
      </c>
      <c r="H1567" s="1" t="s">
        <v>3042</v>
      </c>
      <c r="I1567" s="1" t="s">
        <v>3063</v>
      </c>
      <c r="J1567" s="9" t="n">
        <v>45905</v>
      </c>
      <c r="K1567" s="0" t="s">
        <v>3064</v>
      </c>
      <c r="L1567" s="0" t="n">
        <v>6</v>
      </c>
      <c r="M1567" s="10"/>
      <c r="N1567" s="10"/>
      <c r="O1567" s="0" t="str">
        <f aca="false">VLOOKUP(C1567,statusdetails!$A:$D,4,0)</f>
        <v>STANDBY</v>
      </c>
      <c r="P1567" s="0" t="str">
        <f aca="false">VLOOKUP(F1567,equipment!$A:$E,4,0)</f>
        <v>CM06</v>
      </c>
      <c r="Q1567" s="0" t="str">
        <f aca="false">VLOOKUP(F1567,equipment!$A:$E,5,0)</f>
        <v>CM06 - 89</v>
      </c>
    </row>
    <row r="1568" customFormat="false" ht="12.8" hidden="false" customHeight="false" outlineLevel="0" collapsed="false">
      <c r="A1568" s="0" t="n">
        <v>467735</v>
      </c>
      <c r="B1568" s="0" t="n">
        <v>467735</v>
      </c>
      <c r="C1568" s="0" t="n">
        <v>3</v>
      </c>
      <c r="D1568" s="0" t="n">
        <v>14</v>
      </c>
      <c r="E1568" s="0" t="n">
        <v>2406</v>
      </c>
      <c r="F1568" s="0" t="n">
        <v>88</v>
      </c>
      <c r="G1568" s="0" t="n">
        <v>148</v>
      </c>
      <c r="H1568" s="1" t="s">
        <v>3037</v>
      </c>
      <c r="I1568" s="1" t="s">
        <v>3065</v>
      </c>
      <c r="J1568" s="9" t="n">
        <v>45905</v>
      </c>
      <c r="K1568" s="0" t="s">
        <v>3066</v>
      </c>
      <c r="L1568" s="0" t="n">
        <v>6</v>
      </c>
      <c r="M1568" s="10"/>
      <c r="N1568" s="10"/>
      <c r="O1568" s="0" t="str">
        <f aca="false">VLOOKUP(C1568,statusdetails!$A:$D,4,0)</f>
        <v>STANDBY</v>
      </c>
      <c r="P1568" s="0" t="str">
        <f aca="false">VLOOKUP(F1568,equipment!$A:$E,4,0)</f>
        <v>CM05</v>
      </c>
      <c r="Q1568" s="0" t="str">
        <f aca="false">VLOOKUP(F1568,equipment!$A:$E,5,0)</f>
        <v>CM05 - 88</v>
      </c>
    </row>
    <row r="1569" customFormat="false" ht="12.8" hidden="false" customHeight="false" outlineLevel="0" collapsed="false">
      <c r="A1569" s="0" t="n">
        <v>467736</v>
      </c>
      <c r="B1569" s="0" t="n">
        <v>467736</v>
      </c>
      <c r="C1569" s="0" t="n">
        <v>3</v>
      </c>
      <c r="D1569" s="0" t="n">
        <v>14</v>
      </c>
      <c r="E1569" s="0" t="n">
        <v>2392</v>
      </c>
      <c r="F1569" s="0" t="n">
        <v>82</v>
      </c>
      <c r="G1569" s="0" t="n">
        <v>107</v>
      </c>
      <c r="H1569" s="1" t="s">
        <v>3039</v>
      </c>
      <c r="I1569" s="1" t="s">
        <v>3067</v>
      </c>
      <c r="J1569" s="9" t="n">
        <v>45905</v>
      </c>
      <c r="K1569" s="0" t="s">
        <v>3068</v>
      </c>
      <c r="L1569" s="0" t="n">
        <v>6</v>
      </c>
      <c r="M1569" s="10"/>
      <c r="N1569" s="10"/>
      <c r="O1569" s="0" t="str">
        <f aca="false">VLOOKUP(C1569,statusdetails!$A:$D,4,0)</f>
        <v>STANDBY</v>
      </c>
      <c r="P1569" s="0" t="str">
        <f aca="false">VLOOKUP(F1569,equipment!$A:$E,4,0)</f>
        <v>EX502</v>
      </c>
      <c r="Q1569" s="0" t="str">
        <f aca="false">VLOOKUP(F1569,equipment!$A:$E,5,0)</f>
        <v>EX502 - 82</v>
      </c>
    </row>
    <row r="1570" customFormat="false" ht="12.8" hidden="true" customHeight="false" outlineLevel="0" collapsed="false">
      <c r="A1570" s="0" t="n">
        <v>467737</v>
      </c>
      <c r="B1570" s="0" t="n">
        <v>467737</v>
      </c>
      <c r="C1570" s="0" t="n">
        <v>1</v>
      </c>
      <c r="D1570" s="0" t="n">
        <v>6</v>
      </c>
      <c r="E1570" s="0" t="n">
        <v>260</v>
      </c>
      <c r="F1570" s="0" t="n">
        <v>66</v>
      </c>
      <c r="G1570" s="0" t="n">
        <v>45</v>
      </c>
      <c r="H1570" s="0" t="s">
        <v>3049</v>
      </c>
      <c r="I1570" s="0" t="s">
        <v>3069</v>
      </c>
      <c r="J1570" s="9" t="n">
        <v>45905</v>
      </c>
      <c r="K1570" s="0" t="s">
        <v>3070</v>
      </c>
      <c r="L1570" s="0" t="n">
        <v>6</v>
      </c>
      <c r="M1570" s="10"/>
      <c r="N1570" s="10"/>
      <c r="O1570" s="0" t="str">
        <f aca="false">VLOOKUP(C1570,statusdetails!$A:$D,4,0)</f>
        <v>READY</v>
      </c>
    </row>
    <row r="1571" customFormat="false" ht="12.8" hidden="false" customHeight="false" outlineLevel="0" collapsed="false">
      <c r="A1571" s="0" t="n">
        <v>467738</v>
      </c>
      <c r="B1571" s="0" t="n">
        <v>467738</v>
      </c>
      <c r="C1571" s="0" t="n">
        <v>3</v>
      </c>
      <c r="D1571" s="0" t="n">
        <v>14</v>
      </c>
      <c r="E1571" s="0" t="n">
        <v>2406</v>
      </c>
      <c r="F1571" s="0" t="n">
        <v>87</v>
      </c>
      <c r="G1571" s="0" t="n">
        <v>61</v>
      </c>
      <c r="H1571" s="1" t="s">
        <v>3045</v>
      </c>
      <c r="I1571" s="1" t="s">
        <v>3071</v>
      </c>
      <c r="J1571" s="9" t="n">
        <v>45905</v>
      </c>
      <c r="K1571" s="0" t="s">
        <v>3072</v>
      </c>
      <c r="L1571" s="0" t="n">
        <v>6</v>
      </c>
      <c r="M1571" s="10"/>
      <c r="N1571" s="10"/>
      <c r="O1571" s="0" t="str">
        <f aca="false">VLOOKUP(C1571,statusdetails!$A:$D,4,0)</f>
        <v>STANDBY</v>
      </c>
      <c r="P1571" s="0" t="str">
        <f aca="false">VLOOKUP(F1571,equipment!$A:$E,4,0)</f>
        <v>CM04</v>
      </c>
      <c r="Q1571" s="0" t="str">
        <f aca="false">VLOOKUP(F1571,equipment!$A:$E,5,0)</f>
        <v>CM04 - 87</v>
      </c>
    </row>
    <row r="1572" customFormat="false" ht="12.8" hidden="true" customHeight="false" outlineLevel="0" collapsed="false">
      <c r="A1572" s="0" t="n">
        <v>467739</v>
      </c>
      <c r="B1572" s="0" t="n">
        <v>467739</v>
      </c>
      <c r="C1572" s="0" t="n">
        <v>1</v>
      </c>
      <c r="D1572" s="0" t="n">
        <v>6</v>
      </c>
      <c r="E1572" s="0" t="n">
        <v>2518</v>
      </c>
      <c r="F1572" s="0" t="n">
        <v>96</v>
      </c>
      <c r="G1572" s="0" t="n">
        <v>89</v>
      </c>
      <c r="H1572" s="0" t="s">
        <v>3057</v>
      </c>
      <c r="I1572" s="0" t="s">
        <v>3073</v>
      </c>
      <c r="J1572" s="9" t="n">
        <v>45905</v>
      </c>
      <c r="K1572" s="0" t="s">
        <v>3074</v>
      </c>
      <c r="L1572" s="0" t="n">
        <v>6</v>
      </c>
      <c r="M1572" s="10"/>
      <c r="N1572" s="10"/>
      <c r="O1572" s="0" t="str">
        <f aca="false">VLOOKUP(C1572,statusdetails!$A:$D,4,0)</f>
        <v>READY</v>
      </c>
    </row>
    <row r="1573" customFormat="false" ht="12.8" hidden="false" customHeight="false" outlineLevel="0" collapsed="false">
      <c r="A1573" s="0" t="n">
        <v>467740</v>
      </c>
      <c r="B1573" s="0" t="n">
        <v>467740</v>
      </c>
      <c r="C1573" s="0" t="n">
        <v>3</v>
      </c>
      <c r="D1573" s="0" t="n">
        <v>12</v>
      </c>
      <c r="E1573" s="0" t="n">
        <v>394</v>
      </c>
      <c r="F1573" s="0" t="n">
        <v>91</v>
      </c>
      <c r="G1573" s="0" t="n">
        <v>54</v>
      </c>
      <c r="H1573" s="1" t="s">
        <v>2966</v>
      </c>
      <c r="I1573" s="1" t="s">
        <v>3075</v>
      </c>
      <c r="J1573" s="9" t="n">
        <v>45905</v>
      </c>
      <c r="K1573" s="0" t="s">
        <v>3076</v>
      </c>
      <c r="L1573" s="0" t="n">
        <v>6</v>
      </c>
      <c r="M1573" s="10"/>
      <c r="N1573" s="10"/>
      <c r="O1573" s="0" t="str">
        <f aca="false">VLOOKUP(C1573,statusdetails!$A:$D,4,0)</f>
        <v>STANDBY</v>
      </c>
      <c r="P1573" s="0" t="str">
        <f aca="false">VLOOKUP(F1573,equipment!$A:$E,4,0)</f>
        <v>DZ205</v>
      </c>
      <c r="Q1573" s="0" t="str">
        <f aca="false">VLOOKUP(F1573,equipment!$A:$E,5,0)</f>
        <v>DZ205 - 91</v>
      </c>
    </row>
    <row r="1574" customFormat="false" ht="12.8" hidden="false" customHeight="false" outlineLevel="0" collapsed="false">
      <c r="A1574" s="0" t="n">
        <v>467741</v>
      </c>
      <c r="B1574" s="0" t="n">
        <v>467741</v>
      </c>
      <c r="C1574" s="0" t="n">
        <v>3</v>
      </c>
      <c r="D1574" s="0" t="n">
        <v>12</v>
      </c>
      <c r="E1574" s="0" t="n">
        <v>394</v>
      </c>
      <c r="F1574" s="0" t="n">
        <v>37</v>
      </c>
      <c r="G1574" s="0" t="n">
        <v>0</v>
      </c>
      <c r="H1574" s="1" t="s">
        <v>2993</v>
      </c>
      <c r="I1574" s="1" t="s">
        <v>3077</v>
      </c>
      <c r="J1574" s="9" t="n">
        <v>45905</v>
      </c>
      <c r="K1574" s="0" t="s">
        <v>3078</v>
      </c>
      <c r="L1574" s="0" t="n">
        <v>6</v>
      </c>
      <c r="M1574" s="10"/>
      <c r="N1574" s="10"/>
      <c r="O1574" s="0" t="str">
        <f aca="false">VLOOKUP(C1574,statusdetails!$A:$D,4,0)</f>
        <v>STANDBY</v>
      </c>
      <c r="P1574" s="0" t="str">
        <f aca="false">VLOOKUP(F1574,equipment!$A:$E,4,0)</f>
        <v>DZ201</v>
      </c>
      <c r="Q1574" s="0" t="str">
        <f aca="false">VLOOKUP(F1574,equipment!$A:$E,5,0)</f>
        <v>DZ201 - 37</v>
      </c>
    </row>
    <row r="1575" customFormat="false" ht="12.8" hidden="false" customHeight="false" outlineLevel="0" collapsed="false">
      <c r="A1575" s="0" t="n">
        <v>467742</v>
      </c>
      <c r="B1575" s="0" t="n">
        <v>467742</v>
      </c>
      <c r="C1575" s="0" t="n">
        <v>3</v>
      </c>
      <c r="D1575" s="0" t="n">
        <v>12</v>
      </c>
      <c r="E1575" s="0" t="n">
        <v>608</v>
      </c>
      <c r="F1575" s="0" t="n">
        <v>41</v>
      </c>
      <c r="G1575" s="0" t="n">
        <v>118</v>
      </c>
      <c r="H1575" s="1" t="s">
        <v>3004</v>
      </c>
      <c r="I1575" s="1" t="s">
        <v>3079</v>
      </c>
      <c r="J1575" s="9" t="n">
        <v>45905</v>
      </c>
      <c r="K1575" s="0" t="s">
        <v>3080</v>
      </c>
      <c r="L1575" s="0" t="n">
        <v>6</v>
      </c>
      <c r="M1575" s="10"/>
      <c r="N1575" s="10"/>
      <c r="O1575" s="0" t="str">
        <f aca="false">VLOOKUP(C1575,statusdetails!$A:$D,4,0)</f>
        <v>STANDBY</v>
      </c>
      <c r="P1575" s="0" t="str">
        <f aca="false">VLOOKUP(F1575,equipment!$A:$E,4,0)</f>
        <v>MO102</v>
      </c>
      <c r="Q1575" s="0" t="str">
        <f aca="false">VLOOKUP(F1575,equipment!$A:$E,5,0)</f>
        <v>MO102 - 41</v>
      </c>
    </row>
    <row r="1576" customFormat="false" ht="12.8" hidden="false" customHeight="false" outlineLevel="0" collapsed="false">
      <c r="A1576" s="0" t="n">
        <v>467743</v>
      </c>
      <c r="B1576" s="0" t="n">
        <v>467743</v>
      </c>
      <c r="C1576" s="0" t="n">
        <v>3</v>
      </c>
      <c r="D1576" s="0" t="n">
        <v>14</v>
      </c>
      <c r="E1576" s="0" t="n">
        <v>2083</v>
      </c>
      <c r="F1576" s="0" t="n">
        <v>43</v>
      </c>
      <c r="G1576" s="0" t="n">
        <v>16</v>
      </c>
      <c r="H1576" s="1" t="s">
        <v>2979</v>
      </c>
      <c r="I1576" s="1" t="s">
        <v>3081</v>
      </c>
      <c r="J1576" s="9" t="n">
        <v>45905</v>
      </c>
      <c r="K1576" s="0" t="s">
        <v>3082</v>
      </c>
      <c r="L1576" s="0" t="n">
        <v>6</v>
      </c>
      <c r="M1576" s="10"/>
      <c r="N1576" s="10"/>
      <c r="O1576" s="0" t="str">
        <f aca="false">VLOOKUP(C1576,statusdetails!$A:$D,4,0)</f>
        <v>STANDBY</v>
      </c>
      <c r="P1576" s="0" t="str">
        <f aca="false">VLOOKUP(F1576,equipment!$A:$E,4,0)</f>
        <v>PE302</v>
      </c>
      <c r="Q1576" s="0" t="str">
        <f aca="false">VLOOKUP(F1576,equipment!$A:$E,5,0)</f>
        <v>PE302 - 43</v>
      </c>
    </row>
    <row r="1577" customFormat="false" ht="12.8" hidden="true" customHeight="false" outlineLevel="0" collapsed="false">
      <c r="A1577" s="0" t="n">
        <v>467744</v>
      </c>
      <c r="B1577" s="0" t="n">
        <v>467744</v>
      </c>
      <c r="C1577" s="0" t="n">
        <v>1</v>
      </c>
      <c r="D1577" s="0" t="n">
        <v>6</v>
      </c>
      <c r="E1577" s="0" t="n">
        <v>260</v>
      </c>
      <c r="F1577" s="0" t="n">
        <v>32</v>
      </c>
      <c r="G1577" s="0" t="n">
        <v>23</v>
      </c>
      <c r="H1577" s="0" t="s">
        <v>3061</v>
      </c>
      <c r="I1577" s="0" t="s">
        <v>3083</v>
      </c>
      <c r="J1577" s="9" t="n">
        <v>45905</v>
      </c>
      <c r="K1577" s="0" t="s">
        <v>3084</v>
      </c>
      <c r="L1577" s="0" t="n">
        <v>6</v>
      </c>
      <c r="M1577" s="10"/>
      <c r="N1577" s="10"/>
      <c r="O1577" s="0" t="str">
        <f aca="false">VLOOKUP(C1577,statusdetails!$A:$D,4,0)</f>
        <v>READY</v>
      </c>
    </row>
    <row r="1578" customFormat="false" ht="12.8" hidden="true" customHeight="false" outlineLevel="0" collapsed="false">
      <c r="A1578" s="0" t="n">
        <v>467745</v>
      </c>
      <c r="B1578" s="0" t="n">
        <v>467745</v>
      </c>
      <c r="C1578" s="0" t="n">
        <v>1</v>
      </c>
      <c r="D1578" s="0" t="n">
        <v>6</v>
      </c>
      <c r="E1578" s="0" t="n">
        <v>260</v>
      </c>
      <c r="F1578" s="0" t="n">
        <v>35</v>
      </c>
      <c r="G1578" s="0" t="n">
        <v>15</v>
      </c>
      <c r="H1578" s="0" t="s">
        <v>3051</v>
      </c>
      <c r="I1578" s="0" t="s">
        <v>3085</v>
      </c>
      <c r="J1578" s="9" t="n">
        <v>45905</v>
      </c>
      <c r="K1578" s="0" t="s">
        <v>3086</v>
      </c>
      <c r="L1578" s="0" t="n">
        <v>6</v>
      </c>
      <c r="M1578" s="10"/>
      <c r="N1578" s="10"/>
      <c r="O1578" s="0" t="str">
        <f aca="false">VLOOKUP(C1578,statusdetails!$A:$D,4,0)</f>
        <v>READY</v>
      </c>
    </row>
    <row r="1579" customFormat="false" ht="12.8" hidden="true" customHeight="false" outlineLevel="0" collapsed="false">
      <c r="A1579" s="0" t="n">
        <v>467746</v>
      </c>
      <c r="B1579" s="0" t="n">
        <v>467746</v>
      </c>
      <c r="C1579" s="0" t="n">
        <v>1</v>
      </c>
      <c r="D1579" s="0" t="n">
        <v>6</v>
      </c>
      <c r="E1579" s="0" t="n">
        <v>138</v>
      </c>
      <c r="F1579" s="0" t="n">
        <v>45</v>
      </c>
      <c r="G1579" s="0" t="n">
        <v>133</v>
      </c>
      <c r="H1579" s="0" t="s">
        <v>3055</v>
      </c>
      <c r="I1579" s="0" t="s">
        <v>3087</v>
      </c>
      <c r="J1579" s="9" t="n">
        <v>45905</v>
      </c>
      <c r="K1579" s="0" t="s">
        <v>3088</v>
      </c>
      <c r="L1579" s="0" t="n">
        <v>6</v>
      </c>
      <c r="M1579" s="10"/>
      <c r="N1579" s="10"/>
      <c r="O1579" s="0" t="str">
        <f aca="false">VLOOKUP(C1579,statusdetails!$A:$D,4,0)</f>
        <v>READY</v>
      </c>
    </row>
    <row r="1580" customFormat="false" ht="12.8" hidden="true" customHeight="false" outlineLevel="0" collapsed="false">
      <c r="A1580" s="0" t="n">
        <v>467747</v>
      </c>
      <c r="B1580" s="0" t="n">
        <v>467747</v>
      </c>
      <c r="C1580" s="0" t="n">
        <v>1</v>
      </c>
      <c r="D1580" s="0" t="n">
        <v>6</v>
      </c>
      <c r="E1580" s="0" t="n">
        <v>2404</v>
      </c>
      <c r="F1580" s="0" t="n">
        <v>84</v>
      </c>
      <c r="G1580" s="0" t="n">
        <v>152</v>
      </c>
      <c r="H1580" s="0" t="s">
        <v>3053</v>
      </c>
      <c r="I1580" s="0" t="s">
        <v>3089</v>
      </c>
      <c r="J1580" s="9" t="n">
        <v>45905</v>
      </c>
      <c r="K1580" s="0" t="s">
        <v>3090</v>
      </c>
      <c r="L1580" s="0" t="n">
        <v>6</v>
      </c>
      <c r="M1580" s="10"/>
      <c r="N1580" s="10"/>
      <c r="O1580" s="0" t="str">
        <f aca="false">VLOOKUP(C1580,statusdetails!$A:$D,4,0)</f>
        <v>READY</v>
      </c>
    </row>
    <row r="1581" customFormat="false" ht="12.8" hidden="true" customHeight="false" outlineLevel="0" collapsed="false">
      <c r="A1581" s="0" t="n">
        <v>467748</v>
      </c>
      <c r="B1581" s="0" t="n">
        <v>467748</v>
      </c>
      <c r="C1581" s="0" t="n">
        <v>1</v>
      </c>
      <c r="D1581" s="0" t="n">
        <v>6</v>
      </c>
      <c r="E1581" s="0" t="n">
        <v>2404</v>
      </c>
      <c r="F1581" s="0" t="n">
        <v>88</v>
      </c>
      <c r="G1581" s="0" t="n">
        <v>151</v>
      </c>
      <c r="H1581" s="0" t="s">
        <v>3065</v>
      </c>
      <c r="I1581" s="0" t="s">
        <v>3091</v>
      </c>
      <c r="J1581" s="9" t="n">
        <v>45905</v>
      </c>
      <c r="K1581" s="0" t="s">
        <v>3092</v>
      </c>
      <c r="L1581" s="0" t="n">
        <v>6</v>
      </c>
      <c r="M1581" s="10"/>
      <c r="N1581" s="10"/>
      <c r="O1581" s="0" t="str">
        <f aca="false">VLOOKUP(C1581,statusdetails!$A:$D,4,0)</f>
        <v>READY</v>
      </c>
    </row>
    <row r="1582" customFormat="false" ht="12.8" hidden="true" customHeight="false" outlineLevel="0" collapsed="false">
      <c r="A1582" s="0" t="n">
        <v>467749</v>
      </c>
      <c r="B1582" s="0" t="n">
        <v>467749</v>
      </c>
      <c r="C1582" s="0" t="n">
        <v>1</v>
      </c>
      <c r="D1582" s="0" t="n">
        <v>6</v>
      </c>
      <c r="E1582" s="0" t="n">
        <v>2404</v>
      </c>
      <c r="F1582" s="0" t="n">
        <v>89</v>
      </c>
      <c r="G1582" s="0" t="n">
        <v>153</v>
      </c>
      <c r="H1582" s="0" t="s">
        <v>3063</v>
      </c>
      <c r="I1582" s="0" t="s">
        <v>3093</v>
      </c>
      <c r="J1582" s="9" t="n">
        <v>45905</v>
      </c>
      <c r="K1582" s="0" t="s">
        <v>3094</v>
      </c>
      <c r="L1582" s="0" t="n">
        <v>6</v>
      </c>
      <c r="M1582" s="10"/>
      <c r="N1582" s="10"/>
      <c r="O1582" s="0" t="str">
        <f aca="false">VLOOKUP(C1582,statusdetails!$A:$D,4,0)</f>
        <v>READY</v>
      </c>
    </row>
    <row r="1583" customFormat="false" ht="12.8" hidden="true" customHeight="false" outlineLevel="0" collapsed="false">
      <c r="A1583" s="0" t="n">
        <v>467750</v>
      </c>
      <c r="B1583" s="0" t="n">
        <v>467750</v>
      </c>
      <c r="C1583" s="0" t="n">
        <v>1</v>
      </c>
      <c r="D1583" s="0" t="n">
        <v>2303</v>
      </c>
      <c r="E1583" s="0" t="n">
        <v>2517</v>
      </c>
      <c r="F1583" s="0" t="n">
        <v>82</v>
      </c>
      <c r="G1583" s="0" t="n">
        <v>88</v>
      </c>
      <c r="H1583" s="0" t="s">
        <v>3067</v>
      </c>
      <c r="I1583" s="0" t="s">
        <v>3095</v>
      </c>
      <c r="J1583" s="9" t="n">
        <v>45905</v>
      </c>
      <c r="K1583" s="0" t="s">
        <v>3096</v>
      </c>
      <c r="L1583" s="0" t="n">
        <v>6</v>
      </c>
      <c r="M1583" s="10"/>
      <c r="N1583" s="10"/>
      <c r="O1583" s="0" t="str">
        <f aca="false">VLOOKUP(C1583,statusdetails!$A:$D,4,0)</f>
        <v>READY</v>
      </c>
    </row>
    <row r="1584" customFormat="false" ht="12.8" hidden="true" customHeight="false" outlineLevel="0" collapsed="false">
      <c r="A1584" s="0" t="n">
        <v>467751</v>
      </c>
      <c r="B1584" s="0" t="n">
        <v>467751</v>
      </c>
      <c r="C1584" s="0" t="n">
        <v>1</v>
      </c>
      <c r="D1584" s="0" t="n">
        <v>6</v>
      </c>
      <c r="E1584" s="0" t="n">
        <v>2404</v>
      </c>
      <c r="F1584" s="0" t="n">
        <v>86</v>
      </c>
      <c r="G1584" s="0" t="n">
        <v>155</v>
      </c>
      <c r="H1584" s="0" t="s">
        <v>3059</v>
      </c>
      <c r="I1584" s="0" t="s">
        <v>3097</v>
      </c>
      <c r="J1584" s="9" t="n">
        <v>45905</v>
      </c>
      <c r="K1584" s="0" t="s">
        <v>3098</v>
      </c>
      <c r="L1584" s="0" t="n">
        <v>6</v>
      </c>
      <c r="M1584" s="10"/>
      <c r="N1584" s="10"/>
      <c r="O1584" s="0" t="str">
        <f aca="false">VLOOKUP(C1584,statusdetails!$A:$D,4,0)</f>
        <v>READY</v>
      </c>
    </row>
    <row r="1585" customFormat="false" ht="12.8" hidden="true" customHeight="false" outlineLevel="0" collapsed="false">
      <c r="A1585" s="0" t="n">
        <v>467752</v>
      </c>
      <c r="B1585" s="0" t="n">
        <v>467752</v>
      </c>
      <c r="C1585" s="0" t="n">
        <v>1</v>
      </c>
      <c r="D1585" s="0" t="n">
        <v>6</v>
      </c>
      <c r="E1585" s="0" t="n">
        <v>2404</v>
      </c>
      <c r="F1585" s="0" t="n">
        <v>87</v>
      </c>
      <c r="G1585" s="0" t="n">
        <v>154</v>
      </c>
      <c r="H1585" s="0" t="s">
        <v>3071</v>
      </c>
      <c r="I1585" s="0" t="s">
        <v>3099</v>
      </c>
      <c r="J1585" s="9" t="n">
        <v>45905</v>
      </c>
      <c r="K1585" s="0" t="s">
        <v>3100</v>
      </c>
      <c r="L1585" s="0" t="n">
        <v>6</v>
      </c>
      <c r="M1585" s="10"/>
      <c r="N1585" s="10"/>
      <c r="O1585" s="0" t="str">
        <f aca="false">VLOOKUP(C1585,statusdetails!$A:$D,4,0)</f>
        <v>READY</v>
      </c>
    </row>
    <row r="1586" customFormat="false" ht="12.8" hidden="true" customHeight="false" outlineLevel="0" collapsed="false">
      <c r="A1586" s="0" t="n">
        <v>467753</v>
      </c>
      <c r="B1586" s="0" t="n">
        <v>467753</v>
      </c>
      <c r="C1586" s="0" t="n">
        <v>1</v>
      </c>
      <c r="D1586" s="0" t="n">
        <v>6</v>
      </c>
      <c r="E1586" s="0" t="n">
        <v>2518</v>
      </c>
      <c r="F1586" s="0" t="n">
        <v>82</v>
      </c>
      <c r="G1586" s="0" t="n">
        <v>88</v>
      </c>
      <c r="H1586" s="0" t="s">
        <v>3095</v>
      </c>
      <c r="I1586" s="0" t="s">
        <v>3101</v>
      </c>
      <c r="J1586" s="9" t="n">
        <v>45905</v>
      </c>
      <c r="K1586" s="0" t="s">
        <v>3102</v>
      </c>
      <c r="L1586" s="0" t="n">
        <v>6</v>
      </c>
      <c r="M1586" s="10"/>
      <c r="N1586" s="10"/>
      <c r="O1586" s="0" t="str">
        <f aca="false">VLOOKUP(C1586,statusdetails!$A:$D,4,0)</f>
        <v>READY</v>
      </c>
    </row>
    <row r="1587" customFormat="false" ht="12.8" hidden="true" customHeight="false" outlineLevel="0" collapsed="false">
      <c r="A1587" s="0" t="n">
        <v>467754</v>
      </c>
      <c r="B1587" s="0" t="n">
        <v>467754</v>
      </c>
      <c r="C1587" s="0" t="n">
        <v>1</v>
      </c>
      <c r="D1587" s="0" t="n">
        <v>6</v>
      </c>
      <c r="E1587" s="0" t="n">
        <v>811</v>
      </c>
      <c r="F1587" s="0" t="n">
        <v>43</v>
      </c>
      <c r="G1587" s="0" t="n">
        <v>36</v>
      </c>
      <c r="H1587" s="0" t="s">
        <v>3081</v>
      </c>
      <c r="I1587" s="0" t="s">
        <v>3103</v>
      </c>
      <c r="J1587" s="9" t="n">
        <v>45906</v>
      </c>
      <c r="K1587" s="0" t="s">
        <v>3104</v>
      </c>
      <c r="L1587" s="0" t="n">
        <v>7</v>
      </c>
      <c r="M1587" s="10"/>
      <c r="N1587" s="10"/>
      <c r="O1587" s="0" t="str">
        <f aca="false">VLOOKUP(C1587,statusdetails!$A:$D,4,0)</f>
        <v>READY</v>
      </c>
    </row>
    <row r="1588" customFormat="false" ht="12.8" hidden="true" customHeight="false" outlineLevel="0" collapsed="false">
      <c r="A1588" s="0" t="n">
        <v>467755</v>
      </c>
      <c r="B1588" s="0" t="n">
        <v>467755</v>
      </c>
      <c r="C1588" s="0" t="n">
        <v>1</v>
      </c>
      <c r="D1588" s="0" t="n">
        <v>6</v>
      </c>
      <c r="E1588" s="0" t="n">
        <v>586</v>
      </c>
      <c r="F1588" s="0" t="n">
        <v>41</v>
      </c>
      <c r="G1588" s="0" t="n">
        <v>118</v>
      </c>
      <c r="H1588" s="0" t="s">
        <v>3079</v>
      </c>
      <c r="I1588" s="0" t="s">
        <v>3105</v>
      </c>
      <c r="J1588" s="9" t="n">
        <v>45906</v>
      </c>
      <c r="K1588" s="0" t="s">
        <v>3106</v>
      </c>
      <c r="L1588" s="0" t="n">
        <v>7</v>
      </c>
      <c r="M1588" s="10"/>
      <c r="N1588" s="10"/>
      <c r="O1588" s="0" t="str">
        <f aca="false">VLOOKUP(C1588,statusdetails!$A:$D,4,0)</f>
        <v>READY</v>
      </c>
    </row>
    <row r="1589" customFormat="false" ht="12.8" hidden="true" customHeight="false" outlineLevel="0" collapsed="false">
      <c r="A1589" s="0" t="n">
        <v>467756</v>
      </c>
      <c r="B1589" s="0" t="n">
        <v>467756</v>
      </c>
      <c r="C1589" s="0" t="n">
        <v>1</v>
      </c>
      <c r="D1589" s="0" t="n">
        <v>6</v>
      </c>
      <c r="E1589" s="0" t="n">
        <v>372</v>
      </c>
      <c r="F1589" s="0" t="n">
        <v>37</v>
      </c>
      <c r="G1589" s="0" t="n">
        <v>44</v>
      </c>
      <c r="H1589" s="0" t="s">
        <v>3077</v>
      </c>
      <c r="I1589" s="0" t="s">
        <v>3107</v>
      </c>
      <c r="J1589" s="9" t="n">
        <v>45906</v>
      </c>
      <c r="K1589" s="0" t="s">
        <v>3108</v>
      </c>
      <c r="L1589" s="0" t="n">
        <v>7</v>
      </c>
      <c r="M1589" s="10"/>
      <c r="N1589" s="10"/>
      <c r="O1589" s="0" t="str">
        <f aca="false">VLOOKUP(C1589,statusdetails!$A:$D,4,0)</f>
        <v>READY</v>
      </c>
    </row>
    <row r="1590" customFormat="false" ht="12.8" hidden="false" customHeight="false" outlineLevel="0" collapsed="false">
      <c r="A1590" s="0" t="n">
        <v>467757</v>
      </c>
      <c r="B1590" s="0" t="n">
        <v>467757</v>
      </c>
      <c r="C1590" s="0" t="n">
        <v>3</v>
      </c>
      <c r="D1590" s="0" t="n">
        <v>12</v>
      </c>
      <c r="E1590" s="0" t="n">
        <v>1012</v>
      </c>
      <c r="F1590" s="0" t="n">
        <v>43</v>
      </c>
      <c r="G1590" s="0" t="n">
        <v>36</v>
      </c>
      <c r="H1590" s="1" t="s">
        <v>3103</v>
      </c>
      <c r="I1590" s="1" t="s">
        <v>3109</v>
      </c>
      <c r="J1590" s="9" t="n">
        <v>45906</v>
      </c>
      <c r="K1590" s="0" t="s">
        <v>3110</v>
      </c>
      <c r="L1590" s="0" t="n">
        <v>7</v>
      </c>
      <c r="M1590" s="10"/>
      <c r="N1590" s="10"/>
      <c r="O1590" s="0" t="str">
        <f aca="false">VLOOKUP(C1590,statusdetails!$A:$D,4,0)</f>
        <v>STANDBY</v>
      </c>
      <c r="P1590" s="0" t="str">
        <f aca="false">VLOOKUP(F1590,equipment!$A:$E,4,0)</f>
        <v>PE302</v>
      </c>
      <c r="Q1590" s="0" t="str">
        <f aca="false">VLOOKUP(F1590,equipment!$A:$E,5,0)</f>
        <v>PE302 - 43</v>
      </c>
    </row>
    <row r="1591" customFormat="false" ht="12.8" hidden="false" customHeight="false" outlineLevel="0" collapsed="false">
      <c r="A1591" s="0" t="n">
        <v>467758</v>
      </c>
      <c r="B1591" s="0" t="n">
        <v>467758</v>
      </c>
      <c r="C1591" s="0" t="n">
        <v>3</v>
      </c>
      <c r="D1591" s="0" t="n">
        <v>12</v>
      </c>
      <c r="E1591" s="0" t="n">
        <v>2402</v>
      </c>
      <c r="F1591" s="0" t="n">
        <v>96</v>
      </c>
      <c r="G1591" s="0" t="n">
        <v>109</v>
      </c>
      <c r="H1591" s="1" t="s">
        <v>3073</v>
      </c>
      <c r="I1591" s="12" t="n">
        <v>45906.3418518519</v>
      </c>
      <c r="J1591" s="9" t="n">
        <v>45906</v>
      </c>
      <c r="K1591" s="0" t="s">
        <v>3111</v>
      </c>
      <c r="L1591" s="0" t="n">
        <v>8</v>
      </c>
      <c r="M1591" s="10"/>
      <c r="N1591" s="10"/>
      <c r="O1591" s="0" t="str">
        <f aca="false">VLOOKUP(C1591,statusdetails!$A:$D,4,0)</f>
        <v>STANDBY</v>
      </c>
      <c r="P1591" s="0" t="str">
        <f aca="false">VLOOKUP(F1591,equipment!$A:$E,4,0)</f>
        <v>EX503</v>
      </c>
      <c r="Q1591" s="0" t="str">
        <f aca="false">VLOOKUP(F1591,equipment!$A:$E,5,0)</f>
        <v>EX503 - 96</v>
      </c>
    </row>
    <row r="1592" customFormat="false" ht="12.8" hidden="true" customHeight="false" outlineLevel="0" collapsed="false">
      <c r="A1592" s="0" t="n">
        <v>467759</v>
      </c>
      <c r="B1592" s="0" t="n">
        <v>467759</v>
      </c>
      <c r="C1592" s="0" t="n">
        <v>4</v>
      </c>
      <c r="D1592" s="0" t="n">
        <v>15</v>
      </c>
      <c r="E1592" s="0" t="n">
        <v>2442</v>
      </c>
      <c r="F1592" s="0" t="n">
        <v>89</v>
      </c>
      <c r="G1592" s="0" t="n">
        <v>153</v>
      </c>
      <c r="H1592" s="0" t="s">
        <v>3093</v>
      </c>
      <c r="I1592" s="0" t="s">
        <v>3112</v>
      </c>
      <c r="J1592" s="9" t="n">
        <v>45906</v>
      </c>
      <c r="K1592" s="0" t="s">
        <v>3113</v>
      </c>
      <c r="L1592" s="0" t="n">
        <v>8</v>
      </c>
      <c r="M1592" s="10"/>
      <c r="N1592" s="10"/>
      <c r="O1592" s="0" t="str">
        <f aca="false">VLOOKUP(C1592,statusdetails!$A:$D,4,0)</f>
        <v>MAINT</v>
      </c>
    </row>
    <row r="1593" customFormat="false" ht="12.8" hidden="false" customHeight="false" outlineLevel="0" collapsed="false">
      <c r="A1593" s="0" t="n">
        <v>467760</v>
      </c>
      <c r="B1593" s="0" t="n">
        <v>467760</v>
      </c>
      <c r="C1593" s="0" t="n">
        <v>3</v>
      </c>
      <c r="D1593" s="0" t="n">
        <v>12</v>
      </c>
      <c r="E1593" s="0" t="n">
        <v>2574</v>
      </c>
      <c r="F1593" s="0" t="n">
        <v>86</v>
      </c>
      <c r="G1593" s="0" t="n">
        <v>155</v>
      </c>
      <c r="H1593" s="1" t="s">
        <v>3097</v>
      </c>
      <c r="I1593" s="1" t="s">
        <v>3114</v>
      </c>
      <c r="J1593" s="9" t="n">
        <v>45906</v>
      </c>
      <c r="K1593" s="0" t="s">
        <v>3115</v>
      </c>
      <c r="L1593" s="0" t="n">
        <v>8</v>
      </c>
      <c r="M1593" s="10"/>
      <c r="N1593" s="10"/>
      <c r="O1593" s="0" t="str">
        <f aca="false">VLOOKUP(C1593,statusdetails!$A:$D,4,0)</f>
        <v>STANDBY</v>
      </c>
      <c r="P1593" s="0" t="str">
        <f aca="false">VLOOKUP(F1593,equipment!$A:$E,4,0)</f>
        <v>CM03</v>
      </c>
      <c r="Q1593" s="0" t="str">
        <f aca="false">VLOOKUP(F1593,equipment!$A:$E,5,0)</f>
        <v>CM03 - 86</v>
      </c>
    </row>
    <row r="1594" customFormat="false" ht="12.8" hidden="false" customHeight="false" outlineLevel="0" collapsed="false">
      <c r="A1594" s="0" t="n">
        <v>467762</v>
      </c>
      <c r="B1594" s="0" t="n">
        <v>467762</v>
      </c>
      <c r="C1594" s="0" t="n">
        <v>3</v>
      </c>
      <c r="D1594" s="0" t="n">
        <v>14</v>
      </c>
      <c r="E1594" s="0" t="n">
        <v>2555</v>
      </c>
      <c r="F1594" s="0" t="n">
        <v>87</v>
      </c>
      <c r="G1594" s="0" t="n">
        <v>154</v>
      </c>
      <c r="H1594" s="1" t="s">
        <v>3099</v>
      </c>
      <c r="I1594" s="1" t="s">
        <v>3116</v>
      </c>
      <c r="J1594" s="9" t="n">
        <v>45906</v>
      </c>
      <c r="K1594" s="0" t="s">
        <v>3117</v>
      </c>
      <c r="L1594" s="0" t="n">
        <v>8</v>
      </c>
      <c r="M1594" s="10"/>
      <c r="N1594" s="10"/>
      <c r="O1594" s="0" t="str">
        <f aca="false">VLOOKUP(C1594,statusdetails!$A:$D,4,0)</f>
        <v>STANDBY</v>
      </c>
      <c r="P1594" s="0" t="str">
        <f aca="false">VLOOKUP(F1594,equipment!$A:$E,4,0)</f>
        <v>CM04</v>
      </c>
      <c r="Q1594" s="0" t="str">
        <f aca="false">VLOOKUP(F1594,equipment!$A:$E,5,0)</f>
        <v>CM04 - 87</v>
      </c>
    </row>
    <row r="1595" customFormat="false" ht="12.8" hidden="true" customHeight="false" outlineLevel="0" collapsed="false">
      <c r="A1595" s="0" t="n">
        <v>467763</v>
      </c>
      <c r="B1595" s="0" t="n">
        <v>467763</v>
      </c>
      <c r="C1595" s="0" t="n">
        <v>1</v>
      </c>
      <c r="D1595" s="0" t="n">
        <v>6</v>
      </c>
      <c r="E1595" s="0" t="n">
        <v>2404</v>
      </c>
      <c r="F1595" s="0" t="n">
        <v>86</v>
      </c>
      <c r="G1595" s="0" t="n">
        <v>155</v>
      </c>
      <c r="H1595" s="0" t="s">
        <v>3114</v>
      </c>
      <c r="I1595" s="0" t="s">
        <v>3118</v>
      </c>
      <c r="J1595" s="9" t="n">
        <v>45906</v>
      </c>
      <c r="K1595" s="0" t="s">
        <v>3119</v>
      </c>
      <c r="L1595" s="0" t="n">
        <v>8</v>
      </c>
      <c r="M1595" s="10"/>
      <c r="N1595" s="10"/>
      <c r="O1595" s="0" t="str">
        <f aca="false">VLOOKUP(C1595,statusdetails!$A:$D,4,0)</f>
        <v>READY</v>
      </c>
    </row>
    <row r="1596" customFormat="false" ht="12.8" hidden="true" customHeight="false" outlineLevel="0" collapsed="false">
      <c r="A1596" s="0" t="n">
        <v>467765</v>
      </c>
      <c r="B1596" s="0" t="n">
        <v>467765</v>
      </c>
      <c r="C1596" s="0" t="n">
        <v>1</v>
      </c>
      <c r="D1596" s="0" t="n">
        <v>6</v>
      </c>
      <c r="E1596" s="0" t="n">
        <v>372</v>
      </c>
      <c r="F1596" s="0" t="n">
        <v>91</v>
      </c>
      <c r="G1596" s="0" t="n">
        <v>54</v>
      </c>
      <c r="H1596" s="0" t="s">
        <v>3075</v>
      </c>
      <c r="I1596" s="0" t="s">
        <v>3120</v>
      </c>
      <c r="J1596" s="9" t="n">
        <v>45906</v>
      </c>
      <c r="K1596" s="0" t="s">
        <v>3121</v>
      </c>
      <c r="L1596" s="0" t="n">
        <v>8</v>
      </c>
      <c r="M1596" s="10"/>
      <c r="N1596" s="10"/>
      <c r="O1596" s="0" t="str">
        <f aca="false">VLOOKUP(C1596,statusdetails!$A:$D,4,0)</f>
        <v>READY</v>
      </c>
    </row>
    <row r="1597" customFormat="false" ht="12.8" hidden="false" customHeight="false" outlineLevel="0" collapsed="false">
      <c r="A1597" s="0" t="n">
        <v>467766</v>
      </c>
      <c r="B1597" s="0" t="n">
        <v>467766</v>
      </c>
      <c r="C1597" s="0" t="n">
        <v>3</v>
      </c>
      <c r="D1597" s="0" t="n">
        <v>12</v>
      </c>
      <c r="E1597" s="0" t="n">
        <v>2574</v>
      </c>
      <c r="F1597" s="0" t="n">
        <v>86</v>
      </c>
      <c r="G1597" s="0" t="n">
        <v>155</v>
      </c>
      <c r="H1597" s="1" t="s">
        <v>3118</v>
      </c>
      <c r="I1597" s="1" t="s">
        <v>3122</v>
      </c>
      <c r="J1597" s="9" t="n">
        <v>45906</v>
      </c>
      <c r="K1597" s="0" t="s">
        <v>3123</v>
      </c>
      <c r="L1597" s="0" t="n">
        <v>8</v>
      </c>
      <c r="M1597" s="10"/>
      <c r="N1597" s="10"/>
      <c r="O1597" s="0" t="str">
        <f aca="false">VLOOKUP(C1597,statusdetails!$A:$D,4,0)</f>
        <v>STANDBY</v>
      </c>
      <c r="P1597" s="0" t="str">
        <f aca="false">VLOOKUP(F1597,equipment!$A:$E,4,0)</f>
        <v>CM03</v>
      </c>
      <c r="Q1597" s="0" t="str">
        <f aca="false">VLOOKUP(F1597,equipment!$A:$E,5,0)</f>
        <v>CM03 - 86</v>
      </c>
    </row>
    <row r="1598" customFormat="false" ht="12.8" hidden="false" customHeight="false" outlineLevel="0" collapsed="false">
      <c r="A1598" s="0" t="n">
        <v>467767</v>
      </c>
      <c r="B1598" s="0" t="n">
        <v>467767</v>
      </c>
      <c r="C1598" s="0" t="n">
        <v>3</v>
      </c>
      <c r="D1598" s="0" t="n">
        <v>12</v>
      </c>
      <c r="E1598" s="0" t="n">
        <v>2076</v>
      </c>
      <c r="F1598" s="0" t="n">
        <v>47</v>
      </c>
      <c r="G1598" s="0" t="n">
        <v>103</v>
      </c>
      <c r="H1598" s="1" t="s">
        <v>2857</v>
      </c>
      <c r="I1598" s="1" t="s">
        <v>3124</v>
      </c>
      <c r="J1598" s="9" t="n">
        <v>45906</v>
      </c>
      <c r="K1598" s="0" t="s">
        <v>3125</v>
      </c>
      <c r="L1598" s="0" t="n">
        <v>8</v>
      </c>
      <c r="M1598" s="10"/>
      <c r="N1598" s="10"/>
      <c r="O1598" s="0" t="str">
        <f aca="false">VLOOKUP(C1598,statusdetails!$A:$D,4,0)</f>
        <v>STANDBY</v>
      </c>
      <c r="P1598" s="0" t="str">
        <f aca="false">VLOOKUP(F1598,equipment!$A:$E,4,0)</f>
        <v>Ch1</v>
      </c>
      <c r="Q1598" s="0" t="str">
        <f aca="false">VLOOKUP(F1598,equipment!$A:$E,5,0)</f>
        <v>Ch1 - 47</v>
      </c>
    </row>
    <row r="1599" customFormat="false" ht="12.8" hidden="false" customHeight="false" outlineLevel="0" collapsed="false">
      <c r="A1599" s="0" t="n">
        <v>467768</v>
      </c>
      <c r="B1599" s="0" t="n">
        <v>467768</v>
      </c>
      <c r="C1599" s="0" t="n">
        <v>3</v>
      </c>
      <c r="D1599" s="0" t="n">
        <v>12</v>
      </c>
      <c r="E1599" s="0" t="n">
        <v>2402</v>
      </c>
      <c r="F1599" s="0" t="n">
        <v>96</v>
      </c>
      <c r="G1599" s="0" t="n">
        <v>109</v>
      </c>
      <c r="H1599" s="1" t="s">
        <v>3126</v>
      </c>
      <c r="I1599" s="12" t="n">
        <v>45906.3502893519</v>
      </c>
      <c r="J1599" s="9" t="n">
        <v>45906</v>
      </c>
      <c r="K1599" s="0" t="s">
        <v>3127</v>
      </c>
      <c r="L1599" s="0" t="n">
        <v>8</v>
      </c>
      <c r="M1599" s="10"/>
      <c r="N1599" s="10"/>
      <c r="O1599" s="0" t="str">
        <f aca="false">VLOOKUP(C1599,statusdetails!$A:$D,4,0)</f>
        <v>STANDBY</v>
      </c>
      <c r="P1599" s="0" t="str">
        <f aca="false">VLOOKUP(F1599,equipment!$A:$E,4,0)</f>
        <v>EX503</v>
      </c>
      <c r="Q1599" s="0" t="str">
        <f aca="false">VLOOKUP(F1599,equipment!$A:$E,5,0)</f>
        <v>EX503 - 96</v>
      </c>
    </row>
    <row r="1600" customFormat="false" ht="12.8" hidden="true" customHeight="false" outlineLevel="0" collapsed="false">
      <c r="A1600" s="0" t="n">
        <v>467769</v>
      </c>
      <c r="B1600" s="0" t="n">
        <v>467769</v>
      </c>
      <c r="C1600" s="0" t="n">
        <v>1</v>
      </c>
      <c r="D1600" s="0" t="n">
        <v>6</v>
      </c>
      <c r="E1600" s="0" t="n">
        <v>2404</v>
      </c>
      <c r="F1600" s="0" t="n">
        <v>87</v>
      </c>
      <c r="G1600" s="0" t="n">
        <v>154</v>
      </c>
      <c r="H1600" s="0" t="s">
        <v>3116</v>
      </c>
      <c r="I1600" s="0" t="s">
        <v>3128</v>
      </c>
      <c r="J1600" s="9" t="n">
        <v>45906</v>
      </c>
      <c r="K1600" s="0" t="s">
        <v>3129</v>
      </c>
      <c r="L1600" s="0" t="n">
        <v>8</v>
      </c>
      <c r="M1600" s="10"/>
      <c r="N1600" s="10"/>
      <c r="O1600" s="0" t="str">
        <f aca="false">VLOOKUP(C1600,statusdetails!$A:$D,4,0)</f>
        <v>READY</v>
      </c>
    </row>
    <row r="1601" customFormat="false" ht="12.8" hidden="false" customHeight="false" outlineLevel="0" collapsed="false">
      <c r="A1601" s="0" t="n">
        <v>467770</v>
      </c>
      <c r="B1601" s="0" t="n">
        <v>467770</v>
      </c>
      <c r="C1601" s="0" t="n">
        <v>3</v>
      </c>
      <c r="D1601" s="0" t="n">
        <v>12</v>
      </c>
      <c r="E1601" s="0" t="n">
        <v>2574</v>
      </c>
      <c r="F1601" s="0" t="n">
        <v>88</v>
      </c>
      <c r="G1601" s="0" t="n">
        <v>151</v>
      </c>
      <c r="H1601" s="1" t="s">
        <v>3091</v>
      </c>
      <c r="I1601" s="1" t="s">
        <v>3130</v>
      </c>
      <c r="J1601" s="9" t="n">
        <v>45906</v>
      </c>
      <c r="K1601" s="0" t="s">
        <v>3131</v>
      </c>
      <c r="L1601" s="0" t="n">
        <v>8</v>
      </c>
      <c r="M1601" s="10"/>
      <c r="N1601" s="10"/>
      <c r="O1601" s="0" t="str">
        <f aca="false">VLOOKUP(C1601,statusdetails!$A:$D,4,0)</f>
        <v>STANDBY</v>
      </c>
      <c r="P1601" s="0" t="str">
        <f aca="false">VLOOKUP(F1601,equipment!$A:$E,4,0)</f>
        <v>CM05</v>
      </c>
      <c r="Q1601" s="0" t="str">
        <f aca="false">VLOOKUP(F1601,equipment!$A:$E,5,0)</f>
        <v>CM05 - 88</v>
      </c>
    </row>
    <row r="1602" customFormat="false" ht="12.8" hidden="true" customHeight="false" outlineLevel="0" collapsed="false">
      <c r="A1602" s="0" t="n">
        <v>467771</v>
      </c>
      <c r="B1602" s="0" t="n">
        <v>467771</v>
      </c>
      <c r="C1602" s="0" t="n">
        <v>1</v>
      </c>
      <c r="D1602" s="0" t="n">
        <v>2303</v>
      </c>
      <c r="E1602" s="0" t="n">
        <v>2149</v>
      </c>
      <c r="F1602" s="0" t="n">
        <v>90</v>
      </c>
      <c r="G1602" s="0" t="n">
        <v>0</v>
      </c>
      <c r="H1602" s="0" t="s">
        <v>2910</v>
      </c>
      <c r="I1602" s="0" t="s">
        <v>3132</v>
      </c>
      <c r="J1602" s="9" t="n">
        <v>45906</v>
      </c>
      <c r="K1602" s="0" t="s">
        <v>3133</v>
      </c>
      <c r="L1602" s="0" t="n">
        <v>8</v>
      </c>
      <c r="M1602" s="10"/>
      <c r="N1602" s="10"/>
      <c r="O1602" s="0" t="str">
        <f aca="false">VLOOKUP(C1602,statusdetails!$A:$D,4,0)</f>
        <v>READY</v>
      </c>
    </row>
    <row r="1603" customFormat="false" ht="12.8" hidden="true" customHeight="false" outlineLevel="0" collapsed="false">
      <c r="A1603" s="0" t="n">
        <v>467772</v>
      </c>
      <c r="B1603" s="0" t="n">
        <v>467772</v>
      </c>
      <c r="C1603" s="0" t="n">
        <v>1</v>
      </c>
      <c r="D1603" s="0" t="n">
        <v>2303</v>
      </c>
      <c r="E1603" s="0" t="n">
        <v>2549</v>
      </c>
      <c r="F1603" s="0" t="n">
        <v>60</v>
      </c>
      <c r="G1603" s="0" t="n">
        <v>0</v>
      </c>
      <c r="H1603" s="0" t="s">
        <v>2246</v>
      </c>
      <c r="I1603" s="0" t="s">
        <v>3134</v>
      </c>
      <c r="J1603" s="9" t="n">
        <v>45906</v>
      </c>
      <c r="K1603" s="0" t="s">
        <v>3135</v>
      </c>
      <c r="L1603" s="0" t="n">
        <v>8</v>
      </c>
      <c r="M1603" s="10"/>
      <c r="N1603" s="10"/>
      <c r="O1603" s="0" t="str">
        <f aca="false">VLOOKUP(C1603,statusdetails!$A:$D,4,0)</f>
        <v>READY</v>
      </c>
    </row>
    <row r="1604" customFormat="false" ht="12.8" hidden="true" customHeight="false" outlineLevel="0" collapsed="false">
      <c r="A1604" s="0" t="n">
        <v>467774</v>
      </c>
      <c r="B1604" s="0" t="n">
        <v>467773</v>
      </c>
      <c r="C1604" s="0" t="n">
        <v>1</v>
      </c>
      <c r="D1604" s="0" t="n">
        <v>6</v>
      </c>
      <c r="E1604" s="0" t="n">
        <v>2518</v>
      </c>
      <c r="F1604" s="0" t="n">
        <v>96</v>
      </c>
      <c r="G1604" s="0" t="n">
        <v>109</v>
      </c>
      <c r="H1604" s="11" t="n">
        <v>45906.3502893519</v>
      </c>
      <c r="I1604" s="0" t="s">
        <v>3136</v>
      </c>
      <c r="J1604" s="9" t="n">
        <v>45906</v>
      </c>
      <c r="K1604" s="0" t="s">
        <v>3137</v>
      </c>
      <c r="L1604" s="0" t="n">
        <v>8</v>
      </c>
      <c r="M1604" s="10"/>
      <c r="N1604" s="10"/>
      <c r="O1604" s="0" t="str">
        <f aca="false">VLOOKUP(C1604,statusdetails!$A:$D,4,0)</f>
        <v>READY</v>
      </c>
    </row>
    <row r="1605" customFormat="false" ht="12.8" hidden="true" customHeight="false" outlineLevel="0" collapsed="false">
      <c r="A1605" s="0" t="n">
        <v>467775</v>
      </c>
      <c r="B1605" s="0" t="n">
        <v>467764</v>
      </c>
      <c r="C1605" s="0" t="n">
        <v>1</v>
      </c>
      <c r="D1605" s="0" t="n">
        <v>6</v>
      </c>
      <c r="E1605" s="0" t="n">
        <v>2518</v>
      </c>
      <c r="F1605" s="0" t="n">
        <v>96</v>
      </c>
      <c r="G1605" s="0" t="n">
        <v>109</v>
      </c>
      <c r="H1605" s="11" t="n">
        <v>45906.3418518519</v>
      </c>
      <c r="I1605" s="0" t="s">
        <v>3126</v>
      </c>
      <c r="J1605" s="9" t="n">
        <v>45906</v>
      </c>
      <c r="K1605" s="0" t="s">
        <v>3138</v>
      </c>
      <c r="L1605" s="0" t="n">
        <v>8</v>
      </c>
      <c r="M1605" s="10"/>
      <c r="N1605" s="10"/>
      <c r="O1605" s="0" t="str">
        <f aca="false">VLOOKUP(C1605,statusdetails!$A:$D,4,0)</f>
        <v>READY</v>
      </c>
    </row>
    <row r="1606" customFormat="false" ht="12.8" hidden="false" customHeight="false" outlineLevel="0" collapsed="false">
      <c r="A1606" s="0" t="n">
        <v>467776</v>
      </c>
      <c r="B1606" s="0" t="n">
        <v>467776</v>
      </c>
      <c r="C1606" s="0" t="n">
        <v>3</v>
      </c>
      <c r="D1606" s="0" t="n">
        <v>12</v>
      </c>
      <c r="E1606" s="0" t="n">
        <v>2574</v>
      </c>
      <c r="F1606" s="0" t="n">
        <v>87</v>
      </c>
      <c r="G1606" s="0" t="n">
        <v>154</v>
      </c>
      <c r="H1606" s="1" t="s">
        <v>3128</v>
      </c>
      <c r="I1606" s="1" t="s">
        <v>3139</v>
      </c>
      <c r="J1606" s="9" t="n">
        <v>45906</v>
      </c>
      <c r="K1606" s="0" t="s">
        <v>3140</v>
      </c>
      <c r="L1606" s="0" t="n">
        <v>8</v>
      </c>
      <c r="M1606" s="10"/>
      <c r="N1606" s="10"/>
      <c r="O1606" s="0" t="str">
        <f aca="false">VLOOKUP(C1606,statusdetails!$A:$D,4,0)</f>
        <v>STANDBY</v>
      </c>
      <c r="P1606" s="0" t="str">
        <f aca="false">VLOOKUP(F1606,equipment!$A:$E,4,0)</f>
        <v>CM04</v>
      </c>
      <c r="Q1606" s="0" t="str">
        <f aca="false">VLOOKUP(F1606,equipment!$A:$E,5,0)</f>
        <v>CM04 - 87</v>
      </c>
    </row>
    <row r="1607" customFormat="false" ht="12.8" hidden="true" customHeight="false" outlineLevel="0" collapsed="false">
      <c r="H1607" s="0"/>
      <c r="I1607" s="0"/>
      <c r="J1607" s="9"/>
    </row>
    <row r="1608" customFormat="false" ht="12.8" hidden="false" customHeight="false" outlineLevel="0" collapsed="false">
      <c r="A1608" s="0" t="n">
        <v>467778</v>
      </c>
      <c r="B1608" s="0" t="n">
        <v>467778</v>
      </c>
      <c r="C1608" s="0" t="n">
        <v>3</v>
      </c>
      <c r="D1608" s="0" t="n">
        <v>12</v>
      </c>
      <c r="E1608" s="0" t="n">
        <v>2574</v>
      </c>
      <c r="F1608" s="0" t="n">
        <v>84</v>
      </c>
      <c r="G1608" s="0" t="n">
        <v>152</v>
      </c>
      <c r="H1608" s="1" t="s">
        <v>3141</v>
      </c>
      <c r="I1608" s="1" t="s">
        <v>3142</v>
      </c>
      <c r="J1608" s="9" t="n">
        <v>45906</v>
      </c>
      <c r="K1608" s="0" t="s">
        <v>3143</v>
      </c>
      <c r="L1608" s="0" t="n">
        <v>8</v>
      </c>
      <c r="M1608" s="10"/>
      <c r="N1608" s="10"/>
      <c r="O1608" s="0" t="str">
        <f aca="false">VLOOKUP(C1608,statusdetails!$A:$D,4,0)</f>
        <v>STANDBY</v>
      </c>
      <c r="P1608" s="0" t="str">
        <f aca="false">VLOOKUP(F1608,equipment!$A:$E,4,0)</f>
        <v>CM01</v>
      </c>
      <c r="Q1608" s="0" t="str">
        <f aca="false">VLOOKUP(F1608,equipment!$A:$E,5,0)</f>
        <v>CM01 - 84</v>
      </c>
    </row>
    <row r="1609" customFormat="false" ht="12.8" hidden="false" customHeight="false" outlineLevel="0" collapsed="false">
      <c r="A1609" s="0" t="n">
        <v>467779</v>
      </c>
      <c r="B1609" s="0" t="n">
        <v>467779</v>
      </c>
      <c r="C1609" s="0" t="n">
        <v>3</v>
      </c>
      <c r="D1609" s="0" t="n">
        <v>12</v>
      </c>
      <c r="E1609" s="0" t="n">
        <v>2402</v>
      </c>
      <c r="F1609" s="0" t="n">
        <v>96</v>
      </c>
      <c r="G1609" s="0" t="n">
        <v>109</v>
      </c>
      <c r="H1609" s="1" t="s">
        <v>3136</v>
      </c>
      <c r="I1609" s="1" t="s">
        <v>3144</v>
      </c>
      <c r="J1609" s="9" t="n">
        <v>45906</v>
      </c>
      <c r="K1609" s="0" t="s">
        <v>3145</v>
      </c>
      <c r="L1609" s="0" t="n">
        <v>8</v>
      </c>
      <c r="M1609" s="10"/>
      <c r="N1609" s="10"/>
      <c r="O1609" s="0" t="str">
        <f aca="false">VLOOKUP(C1609,statusdetails!$A:$D,4,0)</f>
        <v>STANDBY</v>
      </c>
      <c r="P1609" s="0" t="str">
        <f aca="false">VLOOKUP(F1609,equipment!$A:$E,4,0)</f>
        <v>EX503</v>
      </c>
      <c r="Q1609" s="0" t="str">
        <f aca="false">VLOOKUP(F1609,equipment!$A:$E,5,0)</f>
        <v>EX503 - 96</v>
      </c>
    </row>
    <row r="1610" customFormat="false" ht="12.8" hidden="true" customHeight="false" outlineLevel="0" collapsed="false">
      <c r="A1610" s="0" t="n">
        <v>467780</v>
      </c>
      <c r="B1610" s="0" t="n">
        <v>467780</v>
      </c>
      <c r="C1610" s="0" t="n">
        <v>1</v>
      </c>
      <c r="D1610" s="0" t="n">
        <v>6</v>
      </c>
      <c r="E1610" s="0" t="n">
        <v>2404</v>
      </c>
      <c r="F1610" s="0" t="n">
        <v>86</v>
      </c>
      <c r="G1610" s="0" t="n">
        <v>155</v>
      </c>
      <c r="H1610" s="0" t="s">
        <v>3122</v>
      </c>
      <c r="I1610" s="0" t="s">
        <v>3146</v>
      </c>
      <c r="J1610" s="9" t="n">
        <v>45906</v>
      </c>
      <c r="K1610" s="0" t="s">
        <v>3147</v>
      </c>
      <c r="L1610" s="0" t="n">
        <v>8</v>
      </c>
      <c r="M1610" s="10"/>
      <c r="N1610" s="10"/>
      <c r="O1610" s="0" t="str">
        <f aca="false">VLOOKUP(C1610,statusdetails!$A:$D,4,0)</f>
        <v>READY</v>
      </c>
    </row>
    <row r="1611" customFormat="false" ht="12.8" hidden="true" customHeight="false" outlineLevel="0" collapsed="false">
      <c r="A1611" s="0" t="n">
        <v>467781</v>
      </c>
      <c r="B1611" s="0" t="n">
        <v>467781</v>
      </c>
      <c r="C1611" s="0" t="n">
        <v>4</v>
      </c>
      <c r="D1611" s="0" t="n">
        <v>15</v>
      </c>
      <c r="E1611" s="0" t="n">
        <v>2396</v>
      </c>
      <c r="F1611" s="0" t="n">
        <v>96</v>
      </c>
      <c r="G1611" s="0" t="n">
        <v>109</v>
      </c>
      <c r="H1611" s="0" t="s">
        <v>3144</v>
      </c>
      <c r="I1611" s="0" t="s">
        <v>3148</v>
      </c>
      <c r="J1611" s="9" t="n">
        <v>45906</v>
      </c>
      <c r="K1611" s="0" t="s">
        <v>3149</v>
      </c>
      <c r="L1611" s="0" t="n">
        <v>8</v>
      </c>
      <c r="M1611" s="10"/>
      <c r="N1611" s="10"/>
      <c r="O1611" s="0" t="str">
        <f aca="false">VLOOKUP(C1611,statusdetails!$A:$D,4,0)</f>
        <v>MAINT</v>
      </c>
    </row>
    <row r="1612" customFormat="false" ht="12.8" hidden="true" customHeight="false" outlineLevel="0" collapsed="false">
      <c r="A1612" s="0" t="n">
        <v>467782</v>
      </c>
      <c r="B1612" s="0" t="n">
        <v>467782</v>
      </c>
      <c r="C1612" s="0" t="n">
        <v>1</v>
      </c>
      <c r="D1612" s="0" t="n">
        <v>6</v>
      </c>
      <c r="E1612" s="0" t="n">
        <v>2404</v>
      </c>
      <c r="F1612" s="0" t="n">
        <v>88</v>
      </c>
      <c r="G1612" s="0" t="n">
        <v>151</v>
      </c>
      <c r="H1612" s="0" t="s">
        <v>3130</v>
      </c>
      <c r="I1612" s="0" t="s">
        <v>3150</v>
      </c>
      <c r="J1612" s="9" t="n">
        <v>45906</v>
      </c>
      <c r="K1612" s="0" t="s">
        <v>3151</v>
      </c>
      <c r="L1612" s="0" t="n">
        <v>8</v>
      </c>
      <c r="M1612" s="10"/>
      <c r="N1612" s="10"/>
      <c r="O1612" s="0" t="str">
        <f aca="false">VLOOKUP(C1612,statusdetails!$A:$D,4,0)</f>
        <v>READY</v>
      </c>
    </row>
    <row r="1613" customFormat="false" ht="12.8" hidden="true" customHeight="false" outlineLevel="0" collapsed="false">
      <c r="A1613" s="0" t="n">
        <v>467783</v>
      </c>
      <c r="B1613" s="0" t="n">
        <v>467783</v>
      </c>
      <c r="C1613" s="0" t="n">
        <v>1</v>
      </c>
      <c r="D1613" s="0" t="n">
        <v>6</v>
      </c>
      <c r="E1613" s="0" t="n">
        <v>2404</v>
      </c>
      <c r="F1613" s="0" t="n">
        <v>87</v>
      </c>
      <c r="G1613" s="0" t="n">
        <v>154</v>
      </c>
      <c r="H1613" s="0" t="s">
        <v>3139</v>
      </c>
      <c r="I1613" s="0" t="s">
        <v>3152</v>
      </c>
      <c r="J1613" s="9" t="n">
        <v>45906</v>
      </c>
      <c r="K1613" s="0" t="s">
        <v>3153</v>
      </c>
      <c r="L1613" s="0" t="n">
        <v>8</v>
      </c>
      <c r="M1613" s="10"/>
      <c r="N1613" s="10"/>
      <c r="O1613" s="0" t="str">
        <f aca="false">VLOOKUP(C1613,statusdetails!$A:$D,4,0)</f>
        <v>READY</v>
      </c>
    </row>
    <row r="1614" customFormat="false" ht="12.8" hidden="true" customHeight="false" outlineLevel="0" collapsed="false">
      <c r="A1614" s="0" t="n">
        <v>467784</v>
      </c>
      <c r="B1614" s="0" t="n">
        <v>467784</v>
      </c>
      <c r="C1614" s="0" t="n">
        <v>1</v>
      </c>
      <c r="D1614" s="0" t="n">
        <v>6</v>
      </c>
      <c r="E1614" s="0" t="n">
        <v>2404</v>
      </c>
      <c r="F1614" s="0" t="n">
        <v>84</v>
      </c>
      <c r="G1614" s="0" t="n">
        <v>152</v>
      </c>
      <c r="H1614" s="0" t="s">
        <v>3142</v>
      </c>
      <c r="I1614" s="0" t="s">
        <v>3154</v>
      </c>
      <c r="J1614" s="9" t="n">
        <v>45906</v>
      </c>
      <c r="K1614" s="0" t="s">
        <v>3155</v>
      </c>
      <c r="L1614" s="0" t="n">
        <v>8</v>
      </c>
      <c r="M1614" s="10"/>
      <c r="N1614" s="10"/>
      <c r="O1614" s="0" t="str">
        <f aca="false">VLOOKUP(C1614,statusdetails!$A:$D,4,0)</f>
        <v>READY</v>
      </c>
    </row>
    <row r="1615" customFormat="false" ht="12.8" hidden="false" customHeight="false" outlineLevel="0" collapsed="false">
      <c r="A1615" s="0" t="n">
        <v>467786</v>
      </c>
      <c r="B1615" s="0" t="n">
        <v>467786</v>
      </c>
      <c r="C1615" s="0" t="n">
        <v>3</v>
      </c>
      <c r="D1615" s="0" t="n">
        <v>12</v>
      </c>
      <c r="E1615" s="0" t="n">
        <v>1011</v>
      </c>
      <c r="F1615" s="0" t="n">
        <v>33</v>
      </c>
      <c r="G1615" s="0" t="n">
        <v>98</v>
      </c>
      <c r="H1615" s="1" t="s">
        <v>3020</v>
      </c>
      <c r="I1615" s="1" t="s">
        <v>3156</v>
      </c>
      <c r="J1615" s="9" t="n">
        <v>45906</v>
      </c>
      <c r="K1615" s="0" t="s">
        <v>3157</v>
      </c>
      <c r="L1615" s="0" t="n">
        <v>8</v>
      </c>
      <c r="M1615" s="10"/>
      <c r="N1615" s="10"/>
      <c r="O1615" s="0" t="str">
        <f aca="false">VLOOKUP(C1615,statusdetails!$A:$D,4,0)</f>
        <v>STANDBY</v>
      </c>
      <c r="P1615" s="0" t="str">
        <f aca="false">VLOOKUP(F1615,equipment!$A:$E,4,0)</f>
        <v>CM406</v>
      </c>
      <c r="Q1615" s="0" t="str">
        <f aca="false">VLOOKUP(F1615,equipment!$A:$E,5,0)</f>
        <v>CM406 - 33</v>
      </c>
    </row>
    <row r="1616" customFormat="false" ht="12.8" hidden="false" customHeight="false" outlineLevel="0" collapsed="false">
      <c r="A1616" s="0" t="n">
        <v>467787</v>
      </c>
      <c r="B1616" s="0" t="n">
        <v>467787</v>
      </c>
      <c r="C1616" s="0" t="n">
        <v>3</v>
      </c>
      <c r="D1616" s="0" t="n">
        <v>14</v>
      </c>
      <c r="E1616" s="0" t="n">
        <v>1157</v>
      </c>
      <c r="F1616" s="0" t="n">
        <v>91</v>
      </c>
      <c r="G1616" s="0" t="n">
        <v>45</v>
      </c>
      <c r="H1616" s="1" t="s">
        <v>3120</v>
      </c>
      <c r="I1616" s="1" t="s">
        <v>3158</v>
      </c>
      <c r="J1616" s="9" t="n">
        <v>45906</v>
      </c>
      <c r="K1616" s="0" t="s">
        <v>3159</v>
      </c>
      <c r="L1616" s="0" t="n">
        <v>8</v>
      </c>
      <c r="M1616" s="10"/>
      <c r="N1616" s="10"/>
      <c r="O1616" s="0" t="str">
        <f aca="false">VLOOKUP(C1616,statusdetails!$A:$D,4,0)</f>
        <v>STANDBY</v>
      </c>
      <c r="P1616" s="0" t="str">
        <f aca="false">VLOOKUP(F1616,equipment!$A:$E,4,0)</f>
        <v>DZ205</v>
      </c>
      <c r="Q1616" s="0" t="str">
        <f aca="false">VLOOKUP(F1616,equipment!$A:$E,5,0)</f>
        <v>DZ205 - 91</v>
      </c>
    </row>
    <row r="1617" customFormat="false" ht="12.8" hidden="true" customHeight="false" outlineLevel="0" collapsed="false">
      <c r="A1617" s="0" t="n">
        <v>467788</v>
      </c>
      <c r="B1617" s="0" t="n">
        <v>467788</v>
      </c>
      <c r="C1617" s="0" t="n">
        <v>1</v>
      </c>
      <c r="D1617" s="0" t="n">
        <v>6</v>
      </c>
      <c r="E1617" s="0" t="n">
        <v>372</v>
      </c>
      <c r="F1617" s="0" t="n">
        <v>91</v>
      </c>
      <c r="G1617" s="0" t="n">
        <v>45</v>
      </c>
      <c r="H1617" s="0" t="s">
        <v>3158</v>
      </c>
      <c r="I1617" s="0" t="s">
        <v>3160</v>
      </c>
      <c r="J1617" s="9" t="n">
        <v>45906</v>
      </c>
      <c r="K1617" s="0" t="s">
        <v>3161</v>
      </c>
      <c r="L1617" s="0" t="n">
        <v>9</v>
      </c>
      <c r="M1617" s="10"/>
      <c r="N1617" s="10"/>
      <c r="O1617" s="0" t="str">
        <f aca="false">VLOOKUP(C1617,statusdetails!$A:$D,4,0)</f>
        <v>READY</v>
      </c>
    </row>
    <row r="1618" customFormat="false" ht="12.8" hidden="true" customHeight="false" outlineLevel="0" collapsed="false">
      <c r="A1618" s="0" t="n">
        <v>467789</v>
      </c>
      <c r="B1618" s="0" t="n">
        <v>467789</v>
      </c>
      <c r="C1618" s="0" t="n">
        <v>1</v>
      </c>
      <c r="D1618" s="0" t="n">
        <v>6</v>
      </c>
      <c r="E1618" s="0" t="n">
        <v>260</v>
      </c>
      <c r="F1618" s="0" t="n">
        <v>33</v>
      </c>
      <c r="G1618" s="0" t="n">
        <v>98</v>
      </c>
      <c r="H1618" s="0" t="s">
        <v>3162</v>
      </c>
      <c r="I1618" s="0" t="s">
        <v>3163</v>
      </c>
      <c r="J1618" s="9" t="n">
        <v>45906</v>
      </c>
      <c r="K1618" s="0" t="s">
        <v>3164</v>
      </c>
      <c r="L1618" s="0" t="n">
        <v>9</v>
      </c>
      <c r="M1618" s="10"/>
      <c r="N1618" s="10"/>
      <c r="O1618" s="0" t="str">
        <f aca="false">VLOOKUP(C1618,statusdetails!$A:$D,4,0)</f>
        <v>READY</v>
      </c>
    </row>
    <row r="1619" customFormat="false" ht="12.8" hidden="true" customHeight="false" outlineLevel="0" collapsed="false">
      <c r="A1619" s="0" t="n">
        <v>467790</v>
      </c>
      <c r="B1619" s="0" t="n">
        <v>467790</v>
      </c>
      <c r="C1619" s="0" t="n">
        <v>1</v>
      </c>
      <c r="D1619" s="0" t="n">
        <v>6</v>
      </c>
      <c r="E1619" s="0" t="n">
        <v>260</v>
      </c>
      <c r="F1619" s="0" t="n">
        <v>33</v>
      </c>
      <c r="G1619" s="0" t="n">
        <v>98</v>
      </c>
      <c r="H1619" s="0" t="s">
        <v>3156</v>
      </c>
      <c r="I1619" s="0" t="s">
        <v>3162</v>
      </c>
      <c r="J1619" s="9" t="n">
        <v>45906</v>
      </c>
      <c r="K1619" s="0" t="s">
        <v>3165</v>
      </c>
      <c r="L1619" s="0" t="n">
        <v>9</v>
      </c>
      <c r="M1619" s="10"/>
      <c r="N1619" s="10"/>
      <c r="O1619" s="0" t="str">
        <f aca="false">VLOOKUP(C1619,statusdetails!$A:$D,4,0)</f>
        <v>READY</v>
      </c>
    </row>
    <row r="1620" customFormat="false" ht="12.8" hidden="true" customHeight="false" outlineLevel="0" collapsed="false">
      <c r="A1620" s="0" t="n">
        <v>467791</v>
      </c>
      <c r="B1620" s="0" t="n">
        <v>467791</v>
      </c>
      <c r="C1620" s="0" t="n">
        <v>1</v>
      </c>
      <c r="D1620" s="0" t="n">
        <v>6</v>
      </c>
      <c r="E1620" s="0" t="n">
        <v>2404</v>
      </c>
      <c r="F1620" s="0" t="n">
        <v>85</v>
      </c>
      <c r="G1620" s="0" t="n">
        <v>153</v>
      </c>
      <c r="H1620" s="0" t="s">
        <v>3047</v>
      </c>
      <c r="I1620" s="0" t="s">
        <v>3166</v>
      </c>
      <c r="J1620" s="9" t="n">
        <v>45906</v>
      </c>
      <c r="K1620" s="0" t="s">
        <v>3167</v>
      </c>
      <c r="L1620" s="0" t="n">
        <v>9</v>
      </c>
      <c r="M1620" s="10"/>
      <c r="N1620" s="10"/>
      <c r="O1620" s="0" t="str">
        <f aca="false">VLOOKUP(C1620,statusdetails!$A:$D,4,0)</f>
        <v>READY</v>
      </c>
    </row>
    <row r="1621" customFormat="false" ht="12.8" hidden="true" customHeight="false" outlineLevel="0" collapsed="false">
      <c r="H1621" s="0"/>
      <c r="I1621" s="0"/>
      <c r="J1621" s="9"/>
    </row>
    <row r="1622" customFormat="false" ht="12.8" hidden="true" customHeight="false" outlineLevel="0" collapsed="false">
      <c r="A1622" s="0" t="n">
        <v>467793</v>
      </c>
      <c r="B1622" s="0" t="n">
        <v>467793</v>
      </c>
      <c r="C1622" s="0" t="n">
        <v>1</v>
      </c>
      <c r="D1622" s="0" t="n">
        <v>6</v>
      </c>
      <c r="E1622" s="0" t="n">
        <v>2404</v>
      </c>
      <c r="F1622" s="0" t="n">
        <v>84</v>
      </c>
      <c r="G1622" s="0" t="n">
        <v>152</v>
      </c>
      <c r="H1622" s="0" t="s">
        <v>3168</v>
      </c>
      <c r="I1622" s="0" t="s">
        <v>3169</v>
      </c>
      <c r="J1622" s="9" t="n">
        <v>45906</v>
      </c>
      <c r="K1622" s="0" t="s">
        <v>3170</v>
      </c>
      <c r="L1622" s="0" t="n">
        <v>9</v>
      </c>
      <c r="M1622" s="10"/>
      <c r="N1622" s="10"/>
      <c r="O1622" s="0" t="str">
        <f aca="false">VLOOKUP(C1622,statusdetails!$A:$D,4,0)</f>
        <v>READY</v>
      </c>
    </row>
    <row r="1623" customFormat="false" ht="12.8" hidden="false" customHeight="false" outlineLevel="0" collapsed="false">
      <c r="A1623" s="0" t="n">
        <v>467794</v>
      </c>
      <c r="B1623" s="0" t="n">
        <v>467794</v>
      </c>
      <c r="C1623" s="0" t="n">
        <v>3</v>
      </c>
      <c r="D1623" s="0" t="n">
        <v>14</v>
      </c>
      <c r="E1623" s="0" t="n">
        <v>1162</v>
      </c>
      <c r="F1623" s="0" t="n">
        <v>66</v>
      </c>
      <c r="G1623" s="0" t="n">
        <v>47</v>
      </c>
      <c r="H1623" s="1" t="s">
        <v>3069</v>
      </c>
      <c r="I1623" s="1" t="s">
        <v>3171</v>
      </c>
      <c r="J1623" s="9" t="n">
        <v>45906</v>
      </c>
      <c r="K1623" s="0" t="s">
        <v>3172</v>
      </c>
      <c r="L1623" s="0" t="n">
        <v>9</v>
      </c>
      <c r="M1623" s="10"/>
      <c r="N1623" s="10"/>
      <c r="O1623" s="0" t="str">
        <f aca="false">VLOOKUP(C1623,statusdetails!$A:$D,4,0)</f>
        <v>STANDBY</v>
      </c>
      <c r="P1623" s="0" t="str">
        <f aca="false">VLOOKUP(F1623,equipment!$A:$E,4,0)</f>
        <v>CM407</v>
      </c>
      <c r="Q1623" s="0" t="str">
        <f aca="false">VLOOKUP(F1623,equipment!$A:$E,5,0)</f>
        <v>CM407 - 66</v>
      </c>
    </row>
    <row r="1624" customFormat="false" ht="12.8" hidden="true" customHeight="false" outlineLevel="0" collapsed="false">
      <c r="A1624" s="0" t="n">
        <v>467795</v>
      </c>
      <c r="B1624" s="0" t="n">
        <v>467795</v>
      </c>
      <c r="C1624" s="0" t="n">
        <v>1</v>
      </c>
      <c r="D1624" s="0" t="n">
        <v>6</v>
      </c>
      <c r="E1624" s="0" t="n">
        <v>260</v>
      </c>
      <c r="F1624" s="0" t="n">
        <v>66</v>
      </c>
      <c r="G1624" s="0" t="n">
        <v>47</v>
      </c>
      <c r="H1624" s="0" t="s">
        <v>3171</v>
      </c>
      <c r="I1624" s="0" t="s">
        <v>3173</v>
      </c>
      <c r="J1624" s="9" t="n">
        <v>45906</v>
      </c>
      <c r="K1624" s="0" t="s">
        <v>3174</v>
      </c>
      <c r="L1624" s="0" t="n">
        <v>9</v>
      </c>
      <c r="M1624" s="10"/>
      <c r="N1624" s="10"/>
      <c r="O1624" s="0" t="str">
        <f aca="false">VLOOKUP(C1624,statusdetails!$A:$D,4,0)</f>
        <v>READY</v>
      </c>
    </row>
    <row r="1625" customFormat="false" ht="12.8" hidden="false" customHeight="false" outlineLevel="0" collapsed="false">
      <c r="A1625" s="0" t="n">
        <v>467796</v>
      </c>
      <c r="B1625" s="0" t="n">
        <v>467796</v>
      </c>
      <c r="C1625" s="0" t="n">
        <v>3</v>
      </c>
      <c r="D1625" s="0" t="n">
        <v>12</v>
      </c>
      <c r="E1625" s="0" t="n">
        <v>1011</v>
      </c>
      <c r="F1625" s="0" t="n">
        <v>33</v>
      </c>
      <c r="G1625" s="0" t="n">
        <v>98</v>
      </c>
      <c r="H1625" s="1" t="s">
        <v>3163</v>
      </c>
      <c r="I1625" s="1" t="s">
        <v>3175</v>
      </c>
      <c r="J1625" s="9" t="n">
        <v>45906</v>
      </c>
      <c r="K1625" s="0" t="s">
        <v>3176</v>
      </c>
      <c r="L1625" s="0" t="n">
        <v>9</v>
      </c>
      <c r="M1625" s="10"/>
      <c r="N1625" s="10"/>
      <c r="O1625" s="0" t="str">
        <f aca="false">VLOOKUP(C1625,statusdetails!$A:$D,4,0)</f>
        <v>STANDBY</v>
      </c>
      <c r="P1625" s="0" t="str">
        <f aca="false">VLOOKUP(F1625,equipment!$A:$E,4,0)</f>
        <v>CM406</v>
      </c>
      <c r="Q1625" s="0" t="str">
        <f aca="false">VLOOKUP(F1625,equipment!$A:$E,5,0)</f>
        <v>CM406 - 33</v>
      </c>
    </row>
    <row r="1626" customFormat="false" ht="12.8" hidden="true" customHeight="false" outlineLevel="0" collapsed="false">
      <c r="A1626" s="0" t="n">
        <v>467797</v>
      </c>
      <c r="B1626" s="0" t="n">
        <v>467797</v>
      </c>
      <c r="C1626" s="0" t="n">
        <v>1</v>
      </c>
      <c r="D1626" s="0" t="n">
        <v>6</v>
      </c>
      <c r="E1626" s="0" t="n">
        <v>2524</v>
      </c>
      <c r="F1626" s="0" t="n">
        <v>74</v>
      </c>
      <c r="G1626" s="0" t="n">
        <v>0</v>
      </c>
      <c r="H1626" s="0" t="s">
        <v>3010</v>
      </c>
      <c r="I1626" s="0" t="s">
        <v>3177</v>
      </c>
      <c r="J1626" s="9" t="n">
        <v>45906</v>
      </c>
      <c r="K1626" s="0" t="s">
        <v>3178</v>
      </c>
      <c r="L1626" s="0" t="n">
        <v>9</v>
      </c>
      <c r="M1626" s="10"/>
      <c r="N1626" s="10"/>
      <c r="O1626" s="0" t="str">
        <f aca="false">VLOOKUP(C1626,statusdetails!$A:$D,4,0)</f>
        <v>READY</v>
      </c>
    </row>
    <row r="1627" customFormat="false" ht="12.8" hidden="true" customHeight="false" outlineLevel="0" collapsed="false">
      <c r="A1627" s="0" t="n">
        <v>467798</v>
      </c>
      <c r="B1627" s="0" t="n">
        <v>467798</v>
      </c>
      <c r="C1627" s="0" t="n">
        <v>4</v>
      </c>
      <c r="D1627" s="0" t="n">
        <v>16</v>
      </c>
      <c r="E1627" s="0" t="n">
        <v>1042</v>
      </c>
      <c r="F1627" s="0" t="n">
        <v>47</v>
      </c>
      <c r="G1627" s="0" t="n">
        <v>103</v>
      </c>
      <c r="H1627" s="0" t="s">
        <v>3124</v>
      </c>
      <c r="I1627" s="0" t="s">
        <v>3179</v>
      </c>
      <c r="J1627" s="9" t="n">
        <v>45906</v>
      </c>
      <c r="K1627" s="0" t="s">
        <v>3180</v>
      </c>
      <c r="L1627" s="0" t="n">
        <v>9</v>
      </c>
      <c r="M1627" s="10"/>
      <c r="N1627" s="10"/>
      <c r="O1627" s="0" t="str">
        <f aca="false">VLOOKUP(C1627,statusdetails!$A:$D,4,0)</f>
        <v>MAINT</v>
      </c>
    </row>
    <row r="1628" customFormat="false" ht="12.8" hidden="true" customHeight="false" outlineLevel="0" collapsed="false">
      <c r="H1628" s="0"/>
      <c r="I1628" s="0"/>
      <c r="J1628" s="9"/>
    </row>
    <row r="1629" customFormat="false" ht="12.8" hidden="true" customHeight="false" outlineLevel="0" collapsed="false">
      <c r="A1629" s="0" t="n">
        <v>467800</v>
      </c>
      <c r="B1629" s="0" t="n">
        <v>467800</v>
      </c>
      <c r="C1629" s="0" t="n">
        <v>4</v>
      </c>
      <c r="D1629" s="0" t="n">
        <v>15</v>
      </c>
      <c r="E1629" s="0" t="n">
        <v>1782</v>
      </c>
      <c r="F1629" s="0" t="n">
        <v>45</v>
      </c>
      <c r="G1629" s="0" t="n">
        <v>156</v>
      </c>
      <c r="H1629" s="0" t="s">
        <v>3087</v>
      </c>
      <c r="I1629" s="0" t="s">
        <v>3181</v>
      </c>
      <c r="J1629" s="9" t="n">
        <v>45906</v>
      </c>
      <c r="K1629" s="0" t="s">
        <v>3182</v>
      </c>
      <c r="L1629" s="0" t="n">
        <v>9</v>
      </c>
      <c r="M1629" s="10"/>
      <c r="N1629" s="10"/>
      <c r="O1629" s="0" t="str">
        <f aca="false">VLOOKUP(C1629,statusdetails!$A:$D,4,0)</f>
        <v>MAINT</v>
      </c>
    </row>
    <row r="1630" customFormat="false" ht="12.8" hidden="true" customHeight="false" outlineLevel="0" collapsed="false">
      <c r="A1630" s="0" t="n">
        <v>467801</v>
      </c>
      <c r="B1630" s="0" t="n">
        <v>467801</v>
      </c>
      <c r="C1630" s="0" t="n">
        <v>1</v>
      </c>
      <c r="D1630" s="0" t="n">
        <v>6</v>
      </c>
      <c r="E1630" s="0" t="n">
        <v>811</v>
      </c>
      <c r="F1630" s="0" t="n">
        <v>43</v>
      </c>
      <c r="G1630" s="0" t="n">
        <v>36</v>
      </c>
      <c r="H1630" s="0" t="s">
        <v>3109</v>
      </c>
      <c r="I1630" s="0" t="s">
        <v>3183</v>
      </c>
      <c r="J1630" s="9" t="n">
        <v>45906</v>
      </c>
      <c r="K1630" s="0" t="s">
        <v>3184</v>
      </c>
      <c r="L1630" s="0" t="n">
        <v>9</v>
      </c>
      <c r="M1630" s="10"/>
      <c r="N1630" s="10"/>
      <c r="O1630" s="0" t="str">
        <f aca="false">VLOOKUP(C1630,statusdetails!$A:$D,4,0)</f>
        <v>READY</v>
      </c>
    </row>
    <row r="1631" customFormat="false" ht="12.8" hidden="true" customHeight="false" outlineLevel="0" collapsed="false">
      <c r="A1631" s="0" t="n">
        <v>467802</v>
      </c>
      <c r="B1631" s="0" t="n">
        <v>467802</v>
      </c>
      <c r="C1631" s="0" t="n">
        <v>1</v>
      </c>
      <c r="D1631" s="0" t="n">
        <v>2303</v>
      </c>
      <c r="E1631" s="0" t="n">
        <v>2517</v>
      </c>
      <c r="F1631" s="0" t="n">
        <v>96</v>
      </c>
      <c r="G1631" s="0" t="n">
        <v>109</v>
      </c>
      <c r="H1631" s="0" t="s">
        <v>3185</v>
      </c>
      <c r="I1631" s="0" t="s">
        <v>3186</v>
      </c>
      <c r="J1631" s="9" t="n">
        <v>45906</v>
      </c>
      <c r="K1631" s="0" t="s">
        <v>3187</v>
      </c>
      <c r="L1631" s="0" t="n">
        <v>9</v>
      </c>
      <c r="M1631" s="10"/>
      <c r="N1631" s="10"/>
      <c r="O1631" s="0" t="str">
        <f aca="false">VLOOKUP(C1631,statusdetails!$A:$D,4,0)</f>
        <v>READY</v>
      </c>
    </row>
    <row r="1632" customFormat="false" ht="12.8" hidden="true" customHeight="false" outlineLevel="0" collapsed="false">
      <c r="A1632" s="0" t="n">
        <v>467803</v>
      </c>
      <c r="B1632" s="0" t="n">
        <v>467803</v>
      </c>
      <c r="C1632" s="0" t="n">
        <v>1</v>
      </c>
      <c r="D1632" s="0" t="n">
        <v>6</v>
      </c>
      <c r="E1632" s="0" t="n">
        <v>138</v>
      </c>
      <c r="F1632" s="0" t="n">
        <v>45</v>
      </c>
      <c r="G1632" s="0" t="n">
        <v>156</v>
      </c>
      <c r="H1632" s="0" t="s">
        <v>3181</v>
      </c>
      <c r="I1632" s="0" t="s">
        <v>3188</v>
      </c>
      <c r="J1632" s="9" t="n">
        <v>45906</v>
      </c>
      <c r="K1632" s="0" t="s">
        <v>3189</v>
      </c>
      <c r="L1632" s="0" t="n">
        <v>9</v>
      </c>
      <c r="M1632" s="10"/>
      <c r="N1632" s="10"/>
      <c r="O1632" s="0" t="str">
        <f aca="false">VLOOKUP(C1632,statusdetails!$A:$D,4,0)</f>
        <v>READY</v>
      </c>
    </row>
    <row r="1633" customFormat="false" ht="12.8" hidden="false" customHeight="false" outlineLevel="0" collapsed="false">
      <c r="A1633" s="0" t="n">
        <v>467804</v>
      </c>
      <c r="B1633" s="0" t="n">
        <v>467804</v>
      </c>
      <c r="C1633" s="0" t="n">
        <v>3</v>
      </c>
      <c r="D1633" s="0" t="n">
        <v>12</v>
      </c>
      <c r="E1633" s="0" t="n">
        <v>1011</v>
      </c>
      <c r="F1633" s="0" t="n">
        <v>32</v>
      </c>
      <c r="G1633" s="0" t="n">
        <v>23</v>
      </c>
      <c r="H1633" s="1" t="s">
        <v>3083</v>
      </c>
      <c r="I1633" s="1" t="s">
        <v>3190</v>
      </c>
      <c r="J1633" s="9" t="n">
        <v>45906</v>
      </c>
      <c r="K1633" s="0" t="s">
        <v>3191</v>
      </c>
      <c r="L1633" s="0" t="n">
        <v>10</v>
      </c>
      <c r="M1633" s="10"/>
      <c r="N1633" s="10"/>
      <c r="O1633" s="0" t="str">
        <f aca="false">VLOOKUP(C1633,statusdetails!$A:$D,4,0)</f>
        <v>STANDBY</v>
      </c>
      <c r="P1633" s="0" t="str">
        <f aca="false">VLOOKUP(F1633,equipment!$A:$E,4,0)</f>
        <v>CM403</v>
      </c>
      <c r="Q1633" s="0" t="str">
        <f aca="false">VLOOKUP(F1633,equipment!$A:$E,5,0)</f>
        <v>CM403 - 32</v>
      </c>
    </row>
    <row r="1634" customFormat="false" ht="12.8" hidden="false" customHeight="false" outlineLevel="0" collapsed="false">
      <c r="A1634" s="0" t="n">
        <v>467805</v>
      </c>
      <c r="B1634" s="0" t="n">
        <v>467805</v>
      </c>
      <c r="C1634" s="0" t="n">
        <v>3</v>
      </c>
      <c r="D1634" s="0" t="n">
        <v>12</v>
      </c>
      <c r="E1634" s="0" t="n">
        <v>1011</v>
      </c>
      <c r="F1634" s="0" t="n">
        <v>35</v>
      </c>
      <c r="G1634" s="0" t="n">
        <v>15</v>
      </c>
      <c r="H1634" s="1" t="s">
        <v>3085</v>
      </c>
      <c r="I1634" s="1" t="s">
        <v>3192</v>
      </c>
      <c r="J1634" s="9" t="n">
        <v>45906</v>
      </c>
      <c r="K1634" s="0" t="s">
        <v>3193</v>
      </c>
      <c r="L1634" s="0" t="n">
        <v>10</v>
      </c>
      <c r="M1634" s="10"/>
      <c r="N1634" s="10"/>
      <c r="O1634" s="0" t="str">
        <f aca="false">VLOOKUP(C1634,statusdetails!$A:$D,4,0)</f>
        <v>STANDBY</v>
      </c>
      <c r="P1634" s="0" t="str">
        <f aca="false">VLOOKUP(F1634,equipment!$A:$E,4,0)</f>
        <v>CM405</v>
      </c>
      <c r="Q1634" s="0" t="str">
        <f aca="false">VLOOKUP(F1634,equipment!$A:$E,5,0)</f>
        <v>CM405 - 35</v>
      </c>
    </row>
    <row r="1635" customFormat="false" ht="12.8" hidden="true" customHeight="false" outlineLevel="0" collapsed="false">
      <c r="H1635" s="0"/>
      <c r="I1635" s="0"/>
      <c r="J1635" s="9"/>
    </row>
    <row r="1636" customFormat="false" ht="12.8" hidden="false" customHeight="false" outlineLevel="0" collapsed="false">
      <c r="A1636" s="0" t="n">
        <v>467807</v>
      </c>
      <c r="B1636" s="0" t="n">
        <v>467807</v>
      </c>
      <c r="C1636" s="0" t="n">
        <v>3</v>
      </c>
      <c r="D1636" s="0" t="n">
        <v>12</v>
      </c>
      <c r="E1636" s="0" t="n">
        <v>1011</v>
      </c>
      <c r="F1636" s="0" t="n">
        <v>66</v>
      </c>
      <c r="G1636" s="0" t="n">
        <v>47</v>
      </c>
      <c r="H1636" s="1" t="s">
        <v>3173</v>
      </c>
      <c r="I1636" s="1" t="s">
        <v>3194</v>
      </c>
      <c r="J1636" s="9" t="n">
        <v>45906</v>
      </c>
      <c r="K1636" s="0" t="s">
        <v>3195</v>
      </c>
      <c r="L1636" s="0" t="n">
        <v>10</v>
      </c>
      <c r="M1636" s="10"/>
      <c r="N1636" s="10"/>
      <c r="O1636" s="0" t="str">
        <f aca="false">VLOOKUP(C1636,statusdetails!$A:$D,4,0)</f>
        <v>STANDBY</v>
      </c>
      <c r="P1636" s="0" t="str">
        <f aca="false">VLOOKUP(F1636,equipment!$A:$E,4,0)</f>
        <v>CM407</v>
      </c>
      <c r="Q1636" s="0" t="str">
        <f aca="false">VLOOKUP(F1636,equipment!$A:$E,5,0)</f>
        <v>CM407 - 66</v>
      </c>
    </row>
    <row r="1637" customFormat="false" ht="12.8" hidden="true" customHeight="false" outlineLevel="0" collapsed="false">
      <c r="A1637" s="0" t="n">
        <v>467808</v>
      </c>
      <c r="B1637" s="0" t="n">
        <v>467808</v>
      </c>
      <c r="C1637" s="0" t="n">
        <v>1</v>
      </c>
      <c r="D1637" s="0" t="n">
        <v>6</v>
      </c>
      <c r="E1637" s="0" t="n">
        <v>260</v>
      </c>
      <c r="F1637" s="0" t="n">
        <v>32</v>
      </c>
      <c r="G1637" s="0" t="n">
        <v>23</v>
      </c>
      <c r="H1637" s="0" t="s">
        <v>3190</v>
      </c>
      <c r="I1637" s="0" t="s">
        <v>3196</v>
      </c>
      <c r="J1637" s="9" t="n">
        <v>45906</v>
      </c>
      <c r="K1637" s="0" t="s">
        <v>3197</v>
      </c>
      <c r="L1637" s="0" t="n">
        <v>10</v>
      </c>
      <c r="M1637" s="10"/>
      <c r="N1637" s="10"/>
      <c r="O1637" s="0" t="str">
        <f aca="false">VLOOKUP(C1637,statusdetails!$A:$D,4,0)</f>
        <v>READY</v>
      </c>
    </row>
    <row r="1638" customFormat="false" ht="12.8" hidden="true" customHeight="false" outlineLevel="0" collapsed="false">
      <c r="A1638" s="0" t="n">
        <v>467809</v>
      </c>
      <c r="B1638" s="0" t="n">
        <v>467809</v>
      </c>
      <c r="C1638" s="0" t="n">
        <v>1</v>
      </c>
      <c r="D1638" s="0" t="n">
        <v>6</v>
      </c>
      <c r="E1638" s="0" t="n">
        <v>260</v>
      </c>
      <c r="F1638" s="0" t="n">
        <v>66</v>
      </c>
      <c r="G1638" s="0" t="n">
        <v>47</v>
      </c>
      <c r="H1638" s="0" t="s">
        <v>3194</v>
      </c>
      <c r="I1638" s="0" t="s">
        <v>3198</v>
      </c>
      <c r="J1638" s="9" t="n">
        <v>45906</v>
      </c>
      <c r="K1638" s="0" t="s">
        <v>3199</v>
      </c>
      <c r="L1638" s="0" t="n">
        <v>10</v>
      </c>
      <c r="M1638" s="10"/>
      <c r="N1638" s="10"/>
      <c r="O1638" s="0" t="str">
        <f aca="false">VLOOKUP(C1638,statusdetails!$A:$D,4,0)</f>
        <v>READY</v>
      </c>
    </row>
    <row r="1639" customFormat="false" ht="12.8" hidden="true" customHeight="false" outlineLevel="0" collapsed="false">
      <c r="A1639" s="0" t="n">
        <v>467810</v>
      </c>
      <c r="B1639" s="0" t="n">
        <v>467810</v>
      </c>
      <c r="C1639" s="0" t="n">
        <v>1</v>
      </c>
      <c r="D1639" s="0" t="n">
        <v>6</v>
      </c>
      <c r="E1639" s="0" t="n">
        <v>2518</v>
      </c>
      <c r="F1639" s="0" t="n">
        <v>96</v>
      </c>
      <c r="G1639" s="0" t="n">
        <v>109</v>
      </c>
      <c r="H1639" s="0" t="s">
        <v>3186</v>
      </c>
      <c r="I1639" s="0" t="s">
        <v>3200</v>
      </c>
      <c r="J1639" s="9" t="n">
        <v>45906</v>
      </c>
      <c r="K1639" s="0" t="s">
        <v>3201</v>
      </c>
      <c r="L1639" s="0" t="n">
        <v>10</v>
      </c>
      <c r="M1639" s="10"/>
      <c r="N1639" s="10"/>
      <c r="O1639" s="0" t="str">
        <f aca="false">VLOOKUP(C1639,statusdetails!$A:$D,4,0)</f>
        <v>READY</v>
      </c>
    </row>
    <row r="1640" customFormat="false" ht="12.8" hidden="true" customHeight="false" outlineLevel="0" collapsed="false">
      <c r="A1640" s="0" t="n">
        <v>467811</v>
      </c>
      <c r="B1640" s="0" t="n">
        <v>467811</v>
      </c>
      <c r="C1640" s="0" t="n">
        <v>1</v>
      </c>
      <c r="D1640" s="0" t="n">
        <v>6</v>
      </c>
      <c r="E1640" s="0" t="n">
        <v>260</v>
      </c>
      <c r="F1640" s="0" t="n">
        <v>35</v>
      </c>
      <c r="G1640" s="0" t="n">
        <v>15</v>
      </c>
      <c r="H1640" s="0" t="s">
        <v>3192</v>
      </c>
      <c r="I1640" s="0" t="s">
        <v>3202</v>
      </c>
      <c r="J1640" s="9" t="n">
        <v>45906</v>
      </c>
      <c r="K1640" s="0" t="s">
        <v>3203</v>
      </c>
      <c r="L1640" s="0" t="n">
        <v>10</v>
      </c>
      <c r="M1640" s="10"/>
      <c r="N1640" s="10"/>
      <c r="O1640" s="0" t="str">
        <f aca="false">VLOOKUP(C1640,statusdetails!$A:$D,4,0)</f>
        <v>READY</v>
      </c>
    </row>
    <row r="1641" customFormat="false" ht="12.8" hidden="true" customHeight="false" outlineLevel="0" collapsed="false">
      <c r="A1641" s="0" t="n">
        <v>467812</v>
      </c>
      <c r="B1641" s="0" t="n">
        <v>467812</v>
      </c>
      <c r="C1641" s="0" t="n">
        <v>1</v>
      </c>
      <c r="D1641" s="0" t="n">
        <v>6</v>
      </c>
      <c r="E1641" s="0" t="n">
        <v>138</v>
      </c>
      <c r="F1641" s="0" t="n">
        <v>45</v>
      </c>
      <c r="G1641" s="0" t="n">
        <v>156</v>
      </c>
      <c r="H1641" s="0" t="s">
        <v>3204</v>
      </c>
      <c r="I1641" s="0" t="s">
        <v>3205</v>
      </c>
      <c r="J1641" s="9" t="n">
        <v>45906</v>
      </c>
      <c r="K1641" s="0" t="s">
        <v>3206</v>
      </c>
      <c r="L1641" s="0" t="n">
        <v>10</v>
      </c>
      <c r="M1641" s="10"/>
      <c r="N1641" s="10"/>
      <c r="O1641" s="0" t="str">
        <f aca="false">VLOOKUP(C1641,statusdetails!$A:$D,4,0)</f>
        <v>READY</v>
      </c>
    </row>
    <row r="1642" customFormat="false" ht="12.8" hidden="true" customHeight="false" outlineLevel="0" collapsed="false">
      <c r="A1642" s="0" t="n">
        <v>467813</v>
      </c>
      <c r="B1642" s="0" t="n">
        <v>467813</v>
      </c>
      <c r="C1642" s="0" t="n">
        <v>4</v>
      </c>
      <c r="D1642" s="0" t="n">
        <v>15</v>
      </c>
      <c r="E1642" s="0" t="n">
        <v>2396</v>
      </c>
      <c r="F1642" s="0" t="n">
        <v>82</v>
      </c>
      <c r="G1642" s="0" t="n">
        <v>88</v>
      </c>
      <c r="H1642" s="0" t="s">
        <v>3101</v>
      </c>
      <c r="I1642" s="0" t="s">
        <v>3207</v>
      </c>
      <c r="J1642" s="9" t="n">
        <v>45906</v>
      </c>
      <c r="K1642" s="0" t="s">
        <v>3208</v>
      </c>
      <c r="L1642" s="0" t="n">
        <v>10</v>
      </c>
      <c r="M1642" s="10"/>
      <c r="N1642" s="10"/>
      <c r="O1642" s="0" t="str">
        <f aca="false">VLOOKUP(C1642,statusdetails!$A:$D,4,0)</f>
        <v>MAINT</v>
      </c>
    </row>
    <row r="1643" customFormat="false" ht="12.8" hidden="true" customHeight="false" outlineLevel="0" collapsed="false">
      <c r="A1643" s="0" t="n">
        <v>467814</v>
      </c>
      <c r="B1643" s="0" t="n">
        <v>467814</v>
      </c>
      <c r="C1643" s="0" t="n">
        <v>1</v>
      </c>
      <c r="D1643" s="0" t="n">
        <v>6</v>
      </c>
      <c r="E1643" s="0" t="n">
        <v>260</v>
      </c>
      <c r="F1643" s="0" t="n">
        <v>33</v>
      </c>
      <c r="G1643" s="0" t="n">
        <v>98</v>
      </c>
      <c r="H1643" s="0" t="s">
        <v>3175</v>
      </c>
      <c r="I1643" s="0" t="s">
        <v>3209</v>
      </c>
      <c r="J1643" s="9" t="n">
        <v>45906</v>
      </c>
      <c r="K1643" s="0" t="s">
        <v>3210</v>
      </c>
      <c r="L1643" s="0" t="n">
        <v>10</v>
      </c>
      <c r="M1643" s="10"/>
      <c r="N1643" s="10"/>
      <c r="O1643" s="0" t="str">
        <f aca="false">VLOOKUP(C1643,statusdetails!$A:$D,4,0)</f>
        <v>READY</v>
      </c>
    </row>
    <row r="1644" customFormat="false" ht="12.8" hidden="false" customHeight="false" outlineLevel="0" collapsed="false">
      <c r="A1644" s="0" t="n">
        <v>467815</v>
      </c>
      <c r="B1644" s="0" t="n">
        <v>467815</v>
      </c>
      <c r="C1644" s="0" t="n">
        <v>3</v>
      </c>
      <c r="D1644" s="0" t="n">
        <v>12</v>
      </c>
      <c r="E1644" s="0" t="n">
        <v>2422</v>
      </c>
      <c r="F1644" s="0" t="n">
        <v>88</v>
      </c>
      <c r="G1644" s="0" t="n">
        <v>151</v>
      </c>
      <c r="H1644" s="1" t="s">
        <v>3150</v>
      </c>
      <c r="I1644" s="1" t="s">
        <v>3211</v>
      </c>
      <c r="J1644" s="9" t="n">
        <v>45906</v>
      </c>
      <c r="K1644" s="0" t="s">
        <v>3212</v>
      </c>
      <c r="L1644" s="0" t="n">
        <v>11</v>
      </c>
      <c r="M1644" s="10"/>
      <c r="N1644" s="10"/>
      <c r="O1644" s="0" t="str">
        <f aca="false">VLOOKUP(C1644,statusdetails!$A:$D,4,0)</f>
        <v>STANDBY</v>
      </c>
      <c r="P1644" s="0" t="str">
        <f aca="false">VLOOKUP(F1644,equipment!$A:$E,4,0)</f>
        <v>CM05</v>
      </c>
      <c r="Q1644" s="0" t="str">
        <f aca="false">VLOOKUP(F1644,equipment!$A:$E,5,0)</f>
        <v>CM05 - 88</v>
      </c>
    </row>
    <row r="1645" customFormat="false" ht="12.8" hidden="true" customHeight="false" outlineLevel="0" collapsed="false">
      <c r="H1645" s="0"/>
      <c r="I1645" s="0"/>
      <c r="J1645" s="9"/>
    </row>
    <row r="1646" customFormat="false" ht="12.8" hidden="true" customHeight="false" outlineLevel="0" collapsed="false">
      <c r="H1646" s="0"/>
      <c r="I1646" s="0"/>
      <c r="J1646" s="9"/>
    </row>
    <row r="1647" customFormat="false" ht="12.8" hidden="true" customHeight="false" outlineLevel="0" collapsed="false">
      <c r="H1647" s="0"/>
      <c r="I1647" s="0"/>
      <c r="J1647" s="9"/>
    </row>
    <row r="1648" customFormat="false" ht="12.8" hidden="false" customHeight="false" outlineLevel="0" collapsed="false">
      <c r="A1648" s="0" t="n">
        <v>467819</v>
      </c>
      <c r="B1648" s="0" t="n">
        <v>467819</v>
      </c>
      <c r="C1648" s="0" t="n">
        <v>3</v>
      </c>
      <c r="D1648" s="0" t="n">
        <v>12</v>
      </c>
      <c r="E1648" s="0" t="n">
        <v>1011</v>
      </c>
      <c r="F1648" s="0" t="n">
        <v>32</v>
      </c>
      <c r="G1648" s="0" t="n">
        <v>23</v>
      </c>
      <c r="H1648" s="1" t="s">
        <v>3196</v>
      </c>
      <c r="I1648" s="1" t="s">
        <v>3213</v>
      </c>
      <c r="J1648" s="9" t="n">
        <v>45906</v>
      </c>
      <c r="K1648" s="0" t="s">
        <v>3214</v>
      </c>
      <c r="L1648" s="0" t="n">
        <v>11</v>
      </c>
      <c r="M1648" s="10"/>
      <c r="N1648" s="10"/>
      <c r="O1648" s="0" t="str">
        <f aca="false">VLOOKUP(C1648,statusdetails!$A:$D,4,0)</f>
        <v>STANDBY</v>
      </c>
      <c r="P1648" s="0" t="str">
        <f aca="false">VLOOKUP(F1648,equipment!$A:$E,4,0)</f>
        <v>CM403</v>
      </c>
      <c r="Q1648" s="0" t="str">
        <f aca="false">VLOOKUP(F1648,equipment!$A:$E,5,0)</f>
        <v>CM403 - 32</v>
      </c>
    </row>
    <row r="1649" customFormat="false" ht="12.8" hidden="true" customHeight="false" outlineLevel="0" collapsed="false">
      <c r="A1649" s="0" t="n">
        <v>467820</v>
      </c>
      <c r="B1649" s="0" t="n">
        <v>467820</v>
      </c>
      <c r="C1649" s="0" t="n">
        <v>1</v>
      </c>
      <c r="D1649" s="0" t="n">
        <v>6</v>
      </c>
      <c r="E1649" s="0" t="n">
        <v>1040</v>
      </c>
      <c r="F1649" s="0" t="n">
        <v>47</v>
      </c>
      <c r="G1649" s="0" t="n">
        <v>103</v>
      </c>
      <c r="H1649" s="0" t="s">
        <v>3179</v>
      </c>
      <c r="I1649" s="0" t="s">
        <v>3215</v>
      </c>
      <c r="J1649" s="9" t="n">
        <v>45906</v>
      </c>
      <c r="K1649" s="0" t="s">
        <v>3216</v>
      </c>
      <c r="L1649" s="0" t="n">
        <v>11</v>
      </c>
      <c r="M1649" s="10"/>
      <c r="N1649" s="10"/>
      <c r="O1649" s="0" t="str">
        <f aca="false">VLOOKUP(C1649,statusdetails!$A:$D,4,0)</f>
        <v>READY</v>
      </c>
    </row>
    <row r="1650" customFormat="false" ht="12.8" hidden="true" customHeight="false" outlineLevel="0" collapsed="false">
      <c r="A1650" s="0" t="n">
        <v>467821</v>
      </c>
      <c r="B1650" s="0" t="n">
        <v>467821</v>
      </c>
      <c r="C1650" s="0" t="n">
        <v>1</v>
      </c>
      <c r="D1650" s="0" t="n">
        <v>6</v>
      </c>
      <c r="E1650" s="0" t="n">
        <v>2518</v>
      </c>
      <c r="F1650" s="0" t="n">
        <v>82</v>
      </c>
      <c r="G1650" s="0" t="n">
        <v>88</v>
      </c>
      <c r="H1650" s="0" t="s">
        <v>3217</v>
      </c>
      <c r="I1650" s="0" t="s">
        <v>3218</v>
      </c>
      <c r="J1650" s="9" t="n">
        <v>45906</v>
      </c>
      <c r="K1650" s="0" t="s">
        <v>3219</v>
      </c>
      <c r="L1650" s="0" t="n">
        <v>11</v>
      </c>
      <c r="M1650" s="10"/>
      <c r="N1650" s="10"/>
      <c r="O1650" s="0" t="str">
        <f aca="false">VLOOKUP(C1650,statusdetails!$A:$D,4,0)</f>
        <v>READY</v>
      </c>
    </row>
    <row r="1651" customFormat="false" ht="12.8" hidden="true" customHeight="false" outlineLevel="0" collapsed="false">
      <c r="A1651" s="0" t="n">
        <v>467822</v>
      </c>
      <c r="B1651" s="0" t="n">
        <v>467822</v>
      </c>
      <c r="C1651" s="0" t="n">
        <v>1</v>
      </c>
      <c r="D1651" s="0" t="n">
        <v>6</v>
      </c>
      <c r="E1651" s="0" t="n">
        <v>260</v>
      </c>
      <c r="F1651" s="0" t="n">
        <v>66</v>
      </c>
      <c r="G1651" s="0" t="n">
        <v>47</v>
      </c>
      <c r="H1651" s="0" t="s">
        <v>3220</v>
      </c>
      <c r="I1651" s="0" t="s">
        <v>3221</v>
      </c>
      <c r="J1651" s="9" t="n">
        <v>45906</v>
      </c>
      <c r="K1651" s="0" t="s">
        <v>3222</v>
      </c>
      <c r="L1651" s="0" t="n">
        <v>11</v>
      </c>
      <c r="M1651" s="10"/>
      <c r="N1651" s="10"/>
      <c r="O1651" s="0" t="str">
        <f aca="false">VLOOKUP(C1651,statusdetails!$A:$D,4,0)</f>
        <v>READY</v>
      </c>
    </row>
    <row r="1652" customFormat="false" ht="12.8" hidden="true" customHeight="false" outlineLevel="0" collapsed="false">
      <c r="A1652" s="0" t="n">
        <v>467823</v>
      </c>
      <c r="B1652" s="0" t="n">
        <v>467823</v>
      </c>
      <c r="C1652" s="0" t="n">
        <v>1</v>
      </c>
      <c r="D1652" s="0" t="n">
        <v>6</v>
      </c>
      <c r="E1652" s="0" t="n">
        <v>2404</v>
      </c>
      <c r="F1652" s="0" t="n">
        <v>88</v>
      </c>
      <c r="G1652" s="0" t="n">
        <v>151</v>
      </c>
      <c r="H1652" s="0" t="s">
        <v>3211</v>
      </c>
      <c r="I1652" s="0" t="s">
        <v>3223</v>
      </c>
      <c r="J1652" s="9" t="n">
        <v>45906</v>
      </c>
      <c r="K1652" s="0" t="s">
        <v>3224</v>
      </c>
      <c r="L1652" s="0" t="n">
        <v>11</v>
      </c>
      <c r="M1652" s="10"/>
      <c r="N1652" s="10"/>
      <c r="O1652" s="0" t="str">
        <f aca="false">VLOOKUP(C1652,statusdetails!$A:$D,4,0)</f>
        <v>READY</v>
      </c>
    </row>
    <row r="1653" customFormat="false" ht="12.8" hidden="true" customHeight="false" outlineLevel="0" collapsed="false">
      <c r="A1653" s="0" t="n">
        <v>467824</v>
      </c>
      <c r="B1653" s="0" t="n">
        <v>467824</v>
      </c>
      <c r="C1653" s="0" t="n">
        <v>1</v>
      </c>
      <c r="D1653" s="0" t="n">
        <v>6</v>
      </c>
      <c r="E1653" s="0" t="n">
        <v>2518</v>
      </c>
      <c r="F1653" s="0" t="n">
        <v>96</v>
      </c>
      <c r="G1653" s="0" t="n">
        <v>109</v>
      </c>
      <c r="H1653" s="0" t="s">
        <v>3225</v>
      </c>
      <c r="I1653" s="0" t="s">
        <v>3226</v>
      </c>
      <c r="J1653" s="9" t="n">
        <v>45906</v>
      </c>
      <c r="K1653" s="0" t="s">
        <v>3227</v>
      </c>
      <c r="L1653" s="0" t="n">
        <v>11</v>
      </c>
      <c r="M1653" s="10"/>
      <c r="N1653" s="10"/>
      <c r="O1653" s="0" t="str">
        <f aca="false">VLOOKUP(C1653,statusdetails!$A:$D,4,0)</f>
        <v>READY</v>
      </c>
    </row>
    <row r="1654" customFormat="false" ht="12.8" hidden="false" customHeight="false" outlineLevel="0" collapsed="false">
      <c r="A1654" s="0" t="n">
        <v>467825</v>
      </c>
      <c r="B1654" s="0" t="n">
        <v>467825</v>
      </c>
      <c r="C1654" s="0" t="n">
        <v>3</v>
      </c>
      <c r="D1654" s="0" t="n">
        <v>14</v>
      </c>
      <c r="E1654" s="0" t="n">
        <v>1137</v>
      </c>
      <c r="F1654" s="0" t="n">
        <v>37</v>
      </c>
      <c r="G1654" s="0" t="n">
        <v>44</v>
      </c>
      <c r="H1654" s="1" t="s">
        <v>3107</v>
      </c>
      <c r="I1654" s="1" t="s">
        <v>3228</v>
      </c>
      <c r="J1654" s="9" t="n">
        <v>45906</v>
      </c>
      <c r="K1654" s="0" t="s">
        <v>3229</v>
      </c>
      <c r="L1654" s="0" t="n">
        <v>11</v>
      </c>
      <c r="M1654" s="10"/>
      <c r="N1654" s="10"/>
      <c r="O1654" s="0" t="str">
        <f aca="false">VLOOKUP(C1654,statusdetails!$A:$D,4,0)</f>
        <v>STANDBY</v>
      </c>
      <c r="P1654" s="0" t="str">
        <f aca="false">VLOOKUP(F1654,equipment!$A:$E,4,0)</f>
        <v>DZ201</v>
      </c>
      <c r="Q1654" s="0" t="str">
        <f aca="false">VLOOKUP(F1654,equipment!$A:$E,5,0)</f>
        <v>DZ201 - 37</v>
      </c>
    </row>
    <row r="1655" customFormat="false" ht="12.8" hidden="true" customHeight="false" outlineLevel="0" collapsed="false">
      <c r="A1655" s="0" t="n">
        <v>467826</v>
      </c>
      <c r="B1655" s="0" t="n">
        <v>467826</v>
      </c>
      <c r="C1655" s="0" t="n">
        <v>1</v>
      </c>
      <c r="D1655" s="0" t="n">
        <v>2303</v>
      </c>
      <c r="E1655" s="0" t="n">
        <v>2517</v>
      </c>
      <c r="F1655" s="0" t="n">
        <v>96</v>
      </c>
      <c r="G1655" s="0" t="n">
        <v>109</v>
      </c>
      <c r="H1655" s="0" t="s">
        <v>3226</v>
      </c>
      <c r="I1655" s="0" t="s">
        <v>3230</v>
      </c>
      <c r="J1655" s="9" t="n">
        <v>45906</v>
      </c>
      <c r="K1655" s="0" t="s">
        <v>3231</v>
      </c>
      <c r="L1655" s="0" t="n">
        <v>11</v>
      </c>
      <c r="M1655" s="10"/>
      <c r="N1655" s="10"/>
      <c r="O1655" s="0" t="str">
        <f aca="false">VLOOKUP(C1655,statusdetails!$A:$D,4,0)</f>
        <v>READY</v>
      </c>
    </row>
    <row r="1656" customFormat="false" ht="12.8" hidden="true" customHeight="false" outlineLevel="0" collapsed="false">
      <c r="H1656" s="0"/>
      <c r="I1656" s="0"/>
      <c r="J1656" s="9"/>
    </row>
    <row r="1657" customFormat="false" ht="12.8" hidden="true" customHeight="false" outlineLevel="0" collapsed="false">
      <c r="A1657" s="0" t="n">
        <v>467828</v>
      </c>
      <c r="B1657" s="0" t="n">
        <v>467828</v>
      </c>
      <c r="C1657" s="0" t="n">
        <v>1</v>
      </c>
      <c r="D1657" s="0" t="n">
        <v>6</v>
      </c>
      <c r="E1657" s="0" t="n">
        <v>2518</v>
      </c>
      <c r="F1657" s="0" t="n">
        <v>96</v>
      </c>
      <c r="G1657" s="0" t="n">
        <v>109</v>
      </c>
      <c r="H1657" s="0" t="s">
        <v>3230</v>
      </c>
      <c r="I1657" s="0" t="s">
        <v>3232</v>
      </c>
      <c r="J1657" s="9" t="n">
        <v>45906</v>
      </c>
      <c r="K1657" s="0" t="s">
        <v>3233</v>
      </c>
      <c r="L1657" s="0" t="n">
        <v>11</v>
      </c>
      <c r="M1657" s="10"/>
      <c r="N1657" s="10"/>
      <c r="O1657" s="0" t="str">
        <f aca="false">VLOOKUP(C1657,statusdetails!$A:$D,4,0)</f>
        <v>READY</v>
      </c>
    </row>
    <row r="1658" customFormat="false" ht="12.8" hidden="true" customHeight="false" outlineLevel="0" collapsed="false">
      <c r="A1658" s="0" t="n">
        <v>467829</v>
      </c>
      <c r="B1658" s="0" t="n">
        <v>467829</v>
      </c>
      <c r="C1658" s="0" t="n">
        <v>4</v>
      </c>
      <c r="D1658" s="0" t="n">
        <v>16</v>
      </c>
      <c r="E1658" s="0" t="n">
        <v>2505</v>
      </c>
      <c r="F1658" s="0" t="n">
        <v>86</v>
      </c>
      <c r="G1658" s="0" t="n">
        <v>155</v>
      </c>
      <c r="H1658" s="0" t="s">
        <v>3234</v>
      </c>
      <c r="I1658" s="0" t="s">
        <v>3235</v>
      </c>
      <c r="J1658" s="9" t="n">
        <v>45906</v>
      </c>
      <c r="K1658" s="0" t="s">
        <v>3236</v>
      </c>
      <c r="L1658" s="0" t="n">
        <v>12</v>
      </c>
      <c r="M1658" s="10"/>
      <c r="N1658" s="10"/>
      <c r="O1658" s="0" t="str">
        <f aca="false">VLOOKUP(C1658,statusdetails!$A:$D,4,0)</f>
        <v>MAINT</v>
      </c>
    </row>
    <row r="1659" customFormat="false" ht="12.8" hidden="true" customHeight="false" outlineLevel="0" collapsed="false">
      <c r="A1659" s="0" t="n">
        <v>467830</v>
      </c>
      <c r="B1659" s="0" t="n">
        <v>467830</v>
      </c>
      <c r="C1659" s="0" t="n">
        <v>1</v>
      </c>
      <c r="D1659" s="0" t="n">
        <v>6</v>
      </c>
      <c r="E1659" s="0" t="n">
        <v>260</v>
      </c>
      <c r="F1659" s="0" t="n">
        <v>33</v>
      </c>
      <c r="G1659" s="0" t="n">
        <v>98</v>
      </c>
      <c r="H1659" s="0" t="s">
        <v>3209</v>
      </c>
      <c r="I1659" s="0" t="s">
        <v>3237</v>
      </c>
      <c r="J1659" s="9" t="n">
        <v>45906</v>
      </c>
      <c r="K1659" s="0" t="s">
        <v>3238</v>
      </c>
      <c r="L1659" s="0" t="n">
        <v>12</v>
      </c>
      <c r="M1659" s="10"/>
      <c r="N1659" s="10"/>
      <c r="O1659" s="0" t="str">
        <f aca="false">VLOOKUP(C1659,statusdetails!$A:$D,4,0)</f>
        <v>READY</v>
      </c>
    </row>
    <row r="1660" customFormat="false" ht="12.8" hidden="true" customHeight="false" outlineLevel="0" collapsed="false">
      <c r="A1660" s="0" t="n">
        <v>467832</v>
      </c>
      <c r="B1660" s="0" t="n">
        <v>467832</v>
      </c>
      <c r="C1660" s="0" t="n">
        <v>1</v>
      </c>
      <c r="D1660" s="0" t="n">
        <v>6</v>
      </c>
      <c r="E1660" s="0" t="n">
        <v>260</v>
      </c>
      <c r="F1660" s="0" t="n">
        <v>33</v>
      </c>
      <c r="G1660" s="0" t="n">
        <v>98</v>
      </c>
      <c r="H1660" s="0" t="s">
        <v>3237</v>
      </c>
      <c r="I1660" s="0" t="s">
        <v>3239</v>
      </c>
      <c r="J1660" s="9" t="n">
        <v>45906</v>
      </c>
      <c r="K1660" s="0" t="s">
        <v>3240</v>
      </c>
      <c r="L1660" s="0" t="n">
        <v>12</v>
      </c>
      <c r="M1660" s="10"/>
      <c r="N1660" s="10"/>
      <c r="O1660" s="0" t="str">
        <f aca="false">VLOOKUP(C1660,statusdetails!$A:$D,4,0)</f>
        <v>READY</v>
      </c>
    </row>
    <row r="1661" customFormat="false" ht="12.8" hidden="true" customHeight="false" outlineLevel="0" collapsed="false">
      <c r="A1661" s="0" t="n">
        <v>467833</v>
      </c>
      <c r="B1661" s="0" t="n">
        <v>467833</v>
      </c>
      <c r="C1661" s="0" t="n">
        <v>1</v>
      </c>
      <c r="D1661" s="0" t="n">
        <v>6</v>
      </c>
      <c r="E1661" s="0" t="n">
        <v>260</v>
      </c>
      <c r="F1661" s="0" t="n">
        <v>35</v>
      </c>
      <c r="G1661" s="0" t="n">
        <v>15</v>
      </c>
      <c r="H1661" s="0" t="s">
        <v>3202</v>
      </c>
      <c r="I1661" s="0" t="s">
        <v>3241</v>
      </c>
      <c r="J1661" s="9" t="n">
        <v>45906</v>
      </c>
      <c r="K1661" s="0" t="s">
        <v>3242</v>
      </c>
      <c r="L1661" s="0" t="n">
        <v>12</v>
      </c>
      <c r="M1661" s="10"/>
      <c r="N1661" s="10"/>
      <c r="O1661" s="0" t="str">
        <f aca="false">VLOOKUP(C1661,statusdetails!$A:$D,4,0)</f>
        <v>READY</v>
      </c>
    </row>
    <row r="1662" customFormat="false" ht="12.8" hidden="true" customHeight="false" outlineLevel="0" collapsed="false">
      <c r="A1662" s="0" t="n">
        <v>467834</v>
      </c>
      <c r="B1662" s="0" t="n">
        <v>467834</v>
      </c>
      <c r="C1662" s="0" t="n">
        <v>1</v>
      </c>
      <c r="D1662" s="0" t="n">
        <v>6</v>
      </c>
      <c r="E1662" s="0" t="n">
        <v>260</v>
      </c>
      <c r="F1662" s="0" t="n">
        <v>35</v>
      </c>
      <c r="G1662" s="0" t="n">
        <v>15</v>
      </c>
      <c r="H1662" s="0" t="s">
        <v>3241</v>
      </c>
      <c r="I1662" s="0" t="s">
        <v>3243</v>
      </c>
      <c r="J1662" s="9" t="n">
        <v>45906</v>
      </c>
      <c r="K1662" s="0" t="s">
        <v>3244</v>
      </c>
      <c r="L1662" s="0" t="n">
        <v>12</v>
      </c>
      <c r="M1662" s="10"/>
      <c r="N1662" s="10"/>
      <c r="O1662" s="0" t="str">
        <f aca="false">VLOOKUP(C1662,statusdetails!$A:$D,4,0)</f>
        <v>READY</v>
      </c>
    </row>
    <row r="1663" customFormat="false" ht="12.8" hidden="false" customHeight="false" outlineLevel="0" collapsed="false">
      <c r="A1663" s="0" t="n">
        <v>467835</v>
      </c>
      <c r="B1663" s="0" t="n">
        <v>467835</v>
      </c>
      <c r="C1663" s="0" t="n">
        <v>3</v>
      </c>
      <c r="D1663" s="0" t="n">
        <v>14</v>
      </c>
      <c r="E1663" s="0" t="n">
        <v>1137</v>
      </c>
      <c r="F1663" s="0" t="n">
        <v>91</v>
      </c>
      <c r="G1663" s="0" t="n">
        <v>45</v>
      </c>
      <c r="H1663" s="1" t="s">
        <v>3160</v>
      </c>
      <c r="I1663" s="1" t="s">
        <v>3245</v>
      </c>
      <c r="J1663" s="9" t="n">
        <v>45906</v>
      </c>
      <c r="K1663" s="0" t="s">
        <v>3246</v>
      </c>
      <c r="L1663" s="0" t="n">
        <v>12</v>
      </c>
      <c r="M1663" s="10"/>
      <c r="N1663" s="10"/>
      <c r="O1663" s="0" t="str">
        <f aca="false">VLOOKUP(C1663,statusdetails!$A:$D,4,0)</f>
        <v>STANDBY</v>
      </c>
      <c r="P1663" s="0" t="str">
        <f aca="false">VLOOKUP(F1663,equipment!$A:$E,4,0)</f>
        <v>DZ205</v>
      </c>
      <c r="Q1663" s="0" t="str">
        <f aca="false">VLOOKUP(F1663,equipment!$A:$E,5,0)</f>
        <v>DZ205 - 91</v>
      </c>
    </row>
    <row r="1664" customFormat="false" ht="12.8" hidden="false" customHeight="false" outlineLevel="0" collapsed="false">
      <c r="A1664" s="0" t="n">
        <v>467836</v>
      </c>
      <c r="B1664" s="0" t="n">
        <v>467836</v>
      </c>
      <c r="C1664" s="0" t="n">
        <v>3</v>
      </c>
      <c r="D1664" s="0" t="n">
        <v>14</v>
      </c>
      <c r="E1664" s="0" t="n">
        <v>1141</v>
      </c>
      <c r="F1664" s="0" t="n">
        <v>41</v>
      </c>
      <c r="G1664" s="0" t="n">
        <v>118</v>
      </c>
      <c r="H1664" s="1" t="s">
        <v>3105</v>
      </c>
      <c r="I1664" s="1" t="s">
        <v>3247</v>
      </c>
      <c r="J1664" s="9" t="n">
        <v>45906</v>
      </c>
      <c r="K1664" s="0" t="s">
        <v>3248</v>
      </c>
      <c r="L1664" s="0" t="n">
        <v>12</v>
      </c>
      <c r="M1664" s="10"/>
      <c r="N1664" s="10"/>
      <c r="O1664" s="0" t="str">
        <f aca="false">VLOOKUP(C1664,statusdetails!$A:$D,4,0)</f>
        <v>STANDBY</v>
      </c>
      <c r="P1664" s="0" t="str">
        <f aca="false">VLOOKUP(F1664,equipment!$A:$E,4,0)</f>
        <v>MO102</v>
      </c>
      <c r="Q1664" s="0" t="str">
        <f aca="false">VLOOKUP(F1664,equipment!$A:$E,5,0)</f>
        <v>MO102 - 41</v>
      </c>
    </row>
    <row r="1665" customFormat="false" ht="12.8" hidden="true" customHeight="false" outlineLevel="0" collapsed="false">
      <c r="H1665" s="0"/>
      <c r="I1665" s="0"/>
      <c r="J1665" s="9"/>
    </row>
    <row r="1666" customFormat="false" ht="12.8" hidden="true" customHeight="false" outlineLevel="0" collapsed="false">
      <c r="A1666" s="0" t="n">
        <v>467838</v>
      </c>
      <c r="B1666" s="0" t="n">
        <v>467838</v>
      </c>
      <c r="C1666" s="0" t="n">
        <v>1</v>
      </c>
      <c r="D1666" s="0" t="n">
        <v>6</v>
      </c>
      <c r="E1666" s="0" t="n">
        <v>260</v>
      </c>
      <c r="F1666" s="0" t="n">
        <v>33</v>
      </c>
      <c r="G1666" s="0" t="n">
        <v>98</v>
      </c>
      <c r="H1666" s="0" t="s">
        <v>3249</v>
      </c>
      <c r="I1666" s="0" t="s">
        <v>3250</v>
      </c>
      <c r="J1666" s="9" t="n">
        <v>45906</v>
      </c>
      <c r="K1666" s="0" t="s">
        <v>3251</v>
      </c>
      <c r="L1666" s="0" t="n">
        <v>12</v>
      </c>
      <c r="M1666" s="10"/>
      <c r="N1666" s="10"/>
      <c r="O1666" s="0" t="str">
        <f aca="false">VLOOKUP(C1666,statusdetails!$A:$D,4,0)</f>
        <v>READY</v>
      </c>
    </row>
    <row r="1667" customFormat="false" ht="12.8" hidden="false" customHeight="false" outlineLevel="0" collapsed="false">
      <c r="A1667" s="0" t="n">
        <v>467839</v>
      </c>
      <c r="B1667" s="0" t="n">
        <v>467839</v>
      </c>
      <c r="C1667" s="0" t="n">
        <v>3</v>
      </c>
      <c r="D1667" s="0" t="n">
        <v>12</v>
      </c>
      <c r="E1667" s="0" t="n">
        <v>1012</v>
      </c>
      <c r="F1667" s="0" t="n">
        <v>43</v>
      </c>
      <c r="G1667" s="0" t="n">
        <v>36</v>
      </c>
      <c r="H1667" s="1" t="s">
        <v>3183</v>
      </c>
      <c r="I1667" s="1" t="s">
        <v>3252</v>
      </c>
      <c r="J1667" s="9" t="n">
        <v>45906</v>
      </c>
      <c r="K1667" s="0" t="s">
        <v>3253</v>
      </c>
      <c r="L1667" s="0" t="n">
        <v>12</v>
      </c>
      <c r="M1667" s="10"/>
      <c r="N1667" s="10"/>
      <c r="O1667" s="0" t="str">
        <f aca="false">VLOOKUP(C1667,statusdetails!$A:$D,4,0)</f>
        <v>STANDBY</v>
      </c>
      <c r="P1667" s="0" t="str">
        <f aca="false">VLOOKUP(F1667,equipment!$A:$E,4,0)</f>
        <v>PE302</v>
      </c>
      <c r="Q1667" s="0" t="str">
        <f aca="false">VLOOKUP(F1667,equipment!$A:$E,5,0)</f>
        <v>PE302 - 43</v>
      </c>
    </row>
    <row r="1668" customFormat="false" ht="12.8" hidden="true" customHeight="false" outlineLevel="0" collapsed="false">
      <c r="H1668" s="0"/>
      <c r="I1668" s="0"/>
      <c r="J1668" s="9"/>
    </row>
    <row r="1669" customFormat="false" ht="12.8" hidden="true" customHeight="false" outlineLevel="0" collapsed="false">
      <c r="A1669" s="0" t="n">
        <v>467841</v>
      </c>
      <c r="B1669" s="0" t="n">
        <v>467841</v>
      </c>
      <c r="C1669" s="0" t="n">
        <v>1</v>
      </c>
      <c r="D1669" s="0" t="n">
        <v>6</v>
      </c>
      <c r="E1669" s="0" t="n">
        <v>2404</v>
      </c>
      <c r="F1669" s="0" t="n">
        <v>87</v>
      </c>
      <c r="G1669" s="0" t="n">
        <v>154</v>
      </c>
      <c r="H1669" s="0" t="s">
        <v>3254</v>
      </c>
      <c r="I1669" s="0" t="s">
        <v>3255</v>
      </c>
      <c r="J1669" s="9" t="n">
        <v>45906</v>
      </c>
      <c r="K1669" s="0" t="s">
        <v>3256</v>
      </c>
      <c r="L1669" s="0" t="n">
        <v>13</v>
      </c>
      <c r="M1669" s="10"/>
      <c r="N1669" s="10"/>
      <c r="O1669" s="0" t="str">
        <f aca="false">VLOOKUP(C1669,statusdetails!$A:$D,4,0)</f>
        <v>READY</v>
      </c>
    </row>
    <row r="1670" customFormat="false" ht="12.8" hidden="false" customHeight="false" outlineLevel="0" collapsed="false">
      <c r="A1670" s="0" t="n">
        <v>467842</v>
      </c>
      <c r="B1670" s="0" t="n">
        <v>467842</v>
      </c>
      <c r="C1670" s="0" t="n">
        <v>3</v>
      </c>
      <c r="D1670" s="0" t="n">
        <v>14</v>
      </c>
      <c r="E1670" s="0" t="n">
        <v>2386</v>
      </c>
      <c r="F1670" s="0" t="n">
        <v>82</v>
      </c>
      <c r="G1670" s="0" t="n">
        <v>88</v>
      </c>
      <c r="H1670" s="1" t="s">
        <v>3218</v>
      </c>
      <c r="I1670" s="1" t="s">
        <v>3257</v>
      </c>
      <c r="J1670" s="9" t="n">
        <v>45906</v>
      </c>
      <c r="K1670" s="0" t="s">
        <v>3258</v>
      </c>
      <c r="L1670" s="0" t="n">
        <v>13</v>
      </c>
      <c r="M1670" s="10"/>
      <c r="N1670" s="10"/>
      <c r="O1670" s="0" t="str">
        <f aca="false">VLOOKUP(C1670,statusdetails!$A:$D,4,0)</f>
        <v>STANDBY</v>
      </c>
      <c r="P1670" s="0" t="str">
        <f aca="false">VLOOKUP(F1670,equipment!$A:$E,4,0)</f>
        <v>EX502</v>
      </c>
      <c r="Q1670" s="0" t="str">
        <f aca="false">VLOOKUP(F1670,equipment!$A:$E,5,0)</f>
        <v>EX502 - 82</v>
      </c>
    </row>
    <row r="1671" customFormat="false" ht="12.8" hidden="true" customHeight="false" outlineLevel="0" collapsed="false">
      <c r="A1671" s="0" t="n">
        <v>467843</v>
      </c>
      <c r="B1671" s="0" t="n">
        <v>467843</v>
      </c>
      <c r="C1671" s="0" t="n">
        <v>1</v>
      </c>
      <c r="D1671" s="0" t="n">
        <v>6</v>
      </c>
      <c r="E1671" s="0" t="n">
        <v>372</v>
      </c>
      <c r="F1671" s="0" t="n">
        <v>91</v>
      </c>
      <c r="G1671" s="0" t="n">
        <v>45</v>
      </c>
      <c r="H1671" s="0" t="s">
        <v>3245</v>
      </c>
      <c r="I1671" s="0" t="s">
        <v>3259</v>
      </c>
      <c r="J1671" s="9" t="n">
        <v>45906</v>
      </c>
      <c r="K1671" s="0" t="s">
        <v>3260</v>
      </c>
      <c r="L1671" s="0" t="n">
        <v>13</v>
      </c>
      <c r="M1671" s="10"/>
      <c r="N1671" s="10"/>
      <c r="O1671" s="0" t="str">
        <f aca="false">VLOOKUP(C1671,statusdetails!$A:$D,4,0)</f>
        <v>READY</v>
      </c>
    </row>
    <row r="1672" customFormat="false" ht="12.8" hidden="true" customHeight="false" outlineLevel="0" collapsed="false">
      <c r="A1672" s="0" t="n">
        <v>467844</v>
      </c>
      <c r="B1672" s="0" t="n">
        <v>467844</v>
      </c>
      <c r="C1672" s="0" t="n">
        <v>1</v>
      </c>
      <c r="D1672" s="0" t="n">
        <v>6</v>
      </c>
      <c r="E1672" s="0" t="n">
        <v>586</v>
      </c>
      <c r="F1672" s="0" t="n">
        <v>41</v>
      </c>
      <c r="G1672" s="0" t="n">
        <v>118</v>
      </c>
      <c r="H1672" s="0" t="s">
        <v>3247</v>
      </c>
      <c r="I1672" s="11" t="n">
        <v>45906.6956018519</v>
      </c>
      <c r="J1672" s="9" t="n">
        <v>45906</v>
      </c>
      <c r="K1672" s="0" t="s">
        <v>3261</v>
      </c>
      <c r="L1672" s="0" t="n">
        <v>13</v>
      </c>
      <c r="M1672" s="10"/>
      <c r="N1672" s="10"/>
      <c r="O1672" s="0" t="str">
        <f aca="false">VLOOKUP(C1672,statusdetails!$A:$D,4,0)</f>
        <v>READY</v>
      </c>
    </row>
    <row r="1673" customFormat="false" ht="12.8" hidden="true" customHeight="false" outlineLevel="0" collapsed="false">
      <c r="H1673" s="0"/>
      <c r="I1673" s="11"/>
      <c r="J1673" s="9"/>
    </row>
    <row r="1674" customFormat="false" ht="12.8" hidden="true" customHeight="false" outlineLevel="0" collapsed="false">
      <c r="A1674" s="0" t="n">
        <v>467846</v>
      </c>
      <c r="B1674" s="0" t="n">
        <v>467846</v>
      </c>
      <c r="C1674" s="0" t="n">
        <v>4</v>
      </c>
      <c r="D1674" s="0" t="n">
        <v>16</v>
      </c>
      <c r="E1674" s="0" t="n">
        <v>2578</v>
      </c>
      <c r="F1674" s="0" t="n">
        <v>87</v>
      </c>
      <c r="G1674" s="0" t="n">
        <v>154</v>
      </c>
      <c r="H1674" s="0" t="s">
        <v>3255</v>
      </c>
      <c r="I1674" s="0" t="s">
        <v>3262</v>
      </c>
      <c r="J1674" s="9" t="n">
        <v>45906</v>
      </c>
      <c r="K1674" s="0" t="s">
        <v>3263</v>
      </c>
      <c r="L1674" s="0" t="n">
        <v>13</v>
      </c>
      <c r="M1674" s="10"/>
      <c r="N1674" s="10"/>
      <c r="O1674" s="0" t="str">
        <f aca="false">VLOOKUP(C1674,statusdetails!$A:$D,4,0)</f>
        <v>MAINT</v>
      </c>
    </row>
    <row r="1675" customFormat="false" ht="12.8" hidden="false" customHeight="false" outlineLevel="0" collapsed="false">
      <c r="A1675" s="0" t="n">
        <v>467847</v>
      </c>
      <c r="B1675" s="0" t="n">
        <v>467847</v>
      </c>
      <c r="C1675" s="0" t="n">
        <v>3</v>
      </c>
      <c r="D1675" s="0" t="n">
        <v>14</v>
      </c>
      <c r="E1675" s="0" t="n">
        <v>1142</v>
      </c>
      <c r="F1675" s="0" t="n">
        <v>33</v>
      </c>
      <c r="G1675" s="0" t="n">
        <v>98</v>
      </c>
      <c r="H1675" s="1" t="s">
        <v>3250</v>
      </c>
      <c r="I1675" s="1" t="s">
        <v>3264</v>
      </c>
      <c r="J1675" s="9" t="n">
        <v>45906</v>
      </c>
      <c r="K1675" s="0" t="s">
        <v>3265</v>
      </c>
      <c r="L1675" s="0" t="n">
        <v>13</v>
      </c>
      <c r="M1675" s="10"/>
      <c r="N1675" s="10"/>
      <c r="O1675" s="0" t="str">
        <f aca="false">VLOOKUP(C1675,statusdetails!$A:$D,4,0)</f>
        <v>STANDBY</v>
      </c>
      <c r="P1675" s="0" t="str">
        <f aca="false">VLOOKUP(F1675,equipment!$A:$E,4,0)</f>
        <v>CM406</v>
      </c>
      <c r="Q1675" s="0" t="str">
        <f aca="false">VLOOKUP(F1675,equipment!$A:$E,5,0)</f>
        <v>CM406 - 33</v>
      </c>
    </row>
    <row r="1676" customFormat="false" ht="12.8" hidden="false" customHeight="false" outlineLevel="0" collapsed="false">
      <c r="A1676" s="0" t="n">
        <v>467848</v>
      </c>
      <c r="B1676" s="0" t="n">
        <v>467848</v>
      </c>
      <c r="C1676" s="0" t="n">
        <v>3</v>
      </c>
      <c r="D1676" s="0" t="n">
        <v>14</v>
      </c>
      <c r="E1676" s="0" t="n">
        <v>1142</v>
      </c>
      <c r="F1676" s="0" t="n">
        <v>35</v>
      </c>
      <c r="G1676" s="0" t="n">
        <v>15</v>
      </c>
      <c r="H1676" s="1" t="s">
        <v>3243</v>
      </c>
      <c r="I1676" s="1" t="s">
        <v>3266</v>
      </c>
      <c r="J1676" s="9" t="n">
        <v>45906</v>
      </c>
      <c r="K1676" s="0" t="s">
        <v>3267</v>
      </c>
      <c r="L1676" s="0" t="n">
        <v>13</v>
      </c>
      <c r="M1676" s="10"/>
      <c r="N1676" s="10"/>
      <c r="O1676" s="0" t="str">
        <f aca="false">VLOOKUP(C1676,statusdetails!$A:$D,4,0)</f>
        <v>STANDBY</v>
      </c>
      <c r="P1676" s="0" t="str">
        <f aca="false">VLOOKUP(F1676,equipment!$A:$E,4,0)</f>
        <v>CM405</v>
      </c>
      <c r="Q1676" s="0" t="str">
        <f aca="false">VLOOKUP(F1676,equipment!$A:$E,5,0)</f>
        <v>CM405 - 35</v>
      </c>
    </row>
    <row r="1677" customFormat="false" ht="12.8" hidden="false" customHeight="false" outlineLevel="0" collapsed="false">
      <c r="A1677" s="0" t="n">
        <v>467849</v>
      </c>
      <c r="B1677" s="0" t="n">
        <v>467849</v>
      </c>
      <c r="C1677" s="0" t="n">
        <v>3</v>
      </c>
      <c r="D1677" s="0" t="n">
        <v>14</v>
      </c>
      <c r="E1677" s="0" t="n">
        <v>1142</v>
      </c>
      <c r="F1677" s="0" t="n">
        <v>66</v>
      </c>
      <c r="G1677" s="0" t="n">
        <v>47</v>
      </c>
      <c r="H1677" s="1" t="s">
        <v>3221</v>
      </c>
      <c r="I1677" s="1" t="s">
        <v>3268</v>
      </c>
      <c r="J1677" s="9" t="n">
        <v>45906</v>
      </c>
      <c r="K1677" s="0" t="s">
        <v>3269</v>
      </c>
      <c r="L1677" s="0" t="n">
        <v>13</v>
      </c>
      <c r="M1677" s="10"/>
      <c r="N1677" s="10"/>
      <c r="O1677" s="0" t="str">
        <f aca="false">VLOOKUP(C1677,statusdetails!$A:$D,4,0)</f>
        <v>STANDBY</v>
      </c>
      <c r="P1677" s="0" t="str">
        <f aca="false">VLOOKUP(F1677,equipment!$A:$E,4,0)</f>
        <v>CM407</v>
      </c>
      <c r="Q1677" s="0" t="str">
        <f aca="false">VLOOKUP(F1677,equipment!$A:$E,5,0)</f>
        <v>CM407 - 66</v>
      </c>
    </row>
    <row r="1678" customFormat="false" ht="12.8" hidden="false" customHeight="false" outlineLevel="0" collapsed="false">
      <c r="A1678" s="0" t="n">
        <v>467850</v>
      </c>
      <c r="B1678" s="0" t="n">
        <v>467850</v>
      </c>
      <c r="C1678" s="0" t="n">
        <v>3</v>
      </c>
      <c r="D1678" s="0" t="n">
        <v>14</v>
      </c>
      <c r="E1678" s="0" t="n">
        <v>2417</v>
      </c>
      <c r="F1678" s="0" t="n">
        <v>87</v>
      </c>
      <c r="G1678" s="0" t="n">
        <v>154</v>
      </c>
      <c r="H1678" s="1" t="s">
        <v>3262</v>
      </c>
      <c r="I1678" s="1" t="s">
        <v>3270</v>
      </c>
      <c r="J1678" s="9" t="n">
        <v>45906</v>
      </c>
      <c r="K1678" s="0" t="s">
        <v>3271</v>
      </c>
      <c r="L1678" s="0" t="n">
        <v>13</v>
      </c>
      <c r="M1678" s="10"/>
      <c r="N1678" s="10"/>
      <c r="O1678" s="0" t="str">
        <f aca="false">VLOOKUP(C1678,statusdetails!$A:$D,4,0)</f>
        <v>STANDBY</v>
      </c>
      <c r="P1678" s="0" t="str">
        <f aca="false">VLOOKUP(F1678,equipment!$A:$E,4,0)</f>
        <v>CM04</v>
      </c>
      <c r="Q1678" s="0" t="str">
        <f aca="false">VLOOKUP(F1678,equipment!$A:$E,5,0)</f>
        <v>CM04 - 87</v>
      </c>
    </row>
    <row r="1679" customFormat="false" ht="12.8" hidden="false" customHeight="false" outlineLevel="0" collapsed="false">
      <c r="A1679" s="0" t="n">
        <v>467852</v>
      </c>
      <c r="B1679" s="0" t="n">
        <v>467851</v>
      </c>
      <c r="C1679" s="0" t="n">
        <v>3</v>
      </c>
      <c r="D1679" s="0" t="n">
        <v>14</v>
      </c>
      <c r="E1679" s="0" t="n">
        <v>1143</v>
      </c>
      <c r="F1679" s="0" t="n">
        <v>45</v>
      </c>
      <c r="G1679" s="0" t="n">
        <v>156</v>
      </c>
      <c r="H1679" s="12" t="n">
        <v>45906.5556365741</v>
      </c>
      <c r="I1679" s="1" t="s">
        <v>3272</v>
      </c>
      <c r="J1679" s="9" t="n">
        <v>45906</v>
      </c>
      <c r="K1679" s="0" t="s">
        <v>3273</v>
      </c>
      <c r="L1679" s="0" t="n">
        <v>13</v>
      </c>
      <c r="M1679" s="10"/>
      <c r="N1679" s="10"/>
      <c r="O1679" s="0" t="str">
        <f aca="false">VLOOKUP(C1679,statusdetails!$A:$D,4,0)</f>
        <v>STANDBY</v>
      </c>
      <c r="P1679" s="0" t="str">
        <f aca="false">VLOOKUP(F1679,equipment!$A:$E,4,0)</f>
        <v>EX501</v>
      </c>
      <c r="Q1679" s="0" t="str">
        <f aca="false">VLOOKUP(F1679,equipment!$A:$E,5,0)</f>
        <v>EX501 - 45</v>
      </c>
    </row>
    <row r="1680" customFormat="false" ht="12.8" hidden="true" customHeight="false" outlineLevel="0" collapsed="false">
      <c r="A1680" s="0" t="n">
        <v>467853</v>
      </c>
      <c r="B1680" s="0" t="n">
        <v>467853</v>
      </c>
      <c r="C1680" s="0" t="n">
        <v>1</v>
      </c>
      <c r="D1680" s="0" t="n">
        <v>6</v>
      </c>
      <c r="E1680" s="0" t="n">
        <v>260</v>
      </c>
      <c r="F1680" s="0" t="n">
        <v>32</v>
      </c>
      <c r="G1680" s="0" t="n">
        <v>23</v>
      </c>
      <c r="H1680" s="0" t="s">
        <v>3213</v>
      </c>
      <c r="I1680" s="0" t="s">
        <v>3274</v>
      </c>
      <c r="J1680" s="9" t="n">
        <v>45906</v>
      </c>
      <c r="K1680" s="0" t="s">
        <v>3275</v>
      </c>
      <c r="L1680" s="0" t="n">
        <v>13</v>
      </c>
      <c r="M1680" s="10"/>
      <c r="N1680" s="10"/>
      <c r="O1680" s="0" t="str">
        <f aca="false">VLOOKUP(C1680,statusdetails!$A:$D,4,0)</f>
        <v>READY</v>
      </c>
    </row>
    <row r="1681" customFormat="false" ht="12.8" hidden="true" customHeight="false" outlineLevel="0" collapsed="false">
      <c r="A1681" s="0" t="n">
        <v>467854</v>
      </c>
      <c r="B1681" s="0" t="n">
        <v>467854</v>
      </c>
      <c r="C1681" s="0" t="n">
        <v>1</v>
      </c>
      <c r="D1681" s="0" t="n">
        <v>6</v>
      </c>
      <c r="E1681" s="0" t="n">
        <v>2518</v>
      </c>
      <c r="F1681" s="0" t="n">
        <v>82</v>
      </c>
      <c r="G1681" s="0" t="n">
        <v>88</v>
      </c>
      <c r="H1681" s="0" t="s">
        <v>3257</v>
      </c>
      <c r="I1681" s="0" t="s">
        <v>3276</v>
      </c>
      <c r="J1681" s="9" t="n">
        <v>45906</v>
      </c>
      <c r="K1681" s="0" t="s">
        <v>3277</v>
      </c>
      <c r="L1681" s="0" t="n">
        <v>13</v>
      </c>
      <c r="M1681" s="10"/>
      <c r="N1681" s="10"/>
      <c r="O1681" s="0" t="str">
        <f aca="false">VLOOKUP(C1681,statusdetails!$A:$D,4,0)</f>
        <v>READY</v>
      </c>
    </row>
    <row r="1682" customFormat="false" ht="12.8" hidden="true" customHeight="false" outlineLevel="0" collapsed="false">
      <c r="H1682" s="0"/>
      <c r="I1682" s="0"/>
      <c r="J1682" s="9"/>
    </row>
    <row r="1683" customFormat="false" ht="12.8" hidden="true" customHeight="false" outlineLevel="0" collapsed="false">
      <c r="A1683" s="0" t="n">
        <v>467856</v>
      </c>
      <c r="B1683" s="0" t="n">
        <v>467856</v>
      </c>
      <c r="C1683" s="0" t="n">
        <v>1</v>
      </c>
      <c r="D1683" s="0" t="n">
        <v>6</v>
      </c>
      <c r="E1683" s="0" t="n">
        <v>2518</v>
      </c>
      <c r="F1683" s="0" t="n">
        <v>82</v>
      </c>
      <c r="G1683" s="0" t="n">
        <v>88</v>
      </c>
      <c r="H1683" s="0" t="s">
        <v>3276</v>
      </c>
      <c r="I1683" s="0" t="s">
        <v>3278</v>
      </c>
      <c r="J1683" s="9" t="n">
        <v>45906</v>
      </c>
      <c r="K1683" s="0" t="s">
        <v>3279</v>
      </c>
      <c r="L1683" s="0" t="n">
        <v>14</v>
      </c>
      <c r="M1683" s="10"/>
      <c r="N1683" s="10"/>
      <c r="O1683" s="0" t="str">
        <f aca="false">VLOOKUP(C1683,statusdetails!$A:$D,4,0)</f>
        <v>READY</v>
      </c>
    </row>
    <row r="1684" customFormat="false" ht="12.8" hidden="true" customHeight="false" outlineLevel="0" collapsed="false">
      <c r="A1684" s="0" t="n">
        <v>467857</v>
      </c>
      <c r="B1684" s="0" t="n">
        <v>467857</v>
      </c>
      <c r="C1684" s="0" t="n">
        <v>1</v>
      </c>
      <c r="D1684" s="0" t="n">
        <v>6</v>
      </c>
      <c r="E1684" s="0" t="n">
        <v>260</v>
      </c>
      <c r="F1684" s="0" t="n">
        <v>33</v>
      </c>
      <c r="G1684" s="0" t="n">
        <v>98</v>
      </c>
      <c r="H1684" s="0" t="s">
        <v>3264</v>
      </c>
      <c r="I1684" s="0" t="s">
        <v>3280</v>
      </c>
      <c r="J1684" s="9" t="n">
        <v>45906</v>
      </c>
      <c r="K1684" s="0" t="s">
        <v>3281</v>
      </c>
      <c r="L1684" s="0" t="n">
        <v>14</v>
      </c>
      <c r="M1684" s="10"/>
      <c r="N1684" s="10"/>
      <c r="O1684" s="0" t="str">
        <f aca="false">VLOOKUP(C1684,statusdetails!$A:$D,4,0)</f>
        <v>READY</v>
      </c>
    </row>
    <row r="1685" customFormat="false" ht="12.8" hidden="true" customHeight="false" outlineLevel="0" collapsed="false">
      <c r="A1685" s="0" t="n">
        <v>467858</v>
      </c>
      <c r="B1685" s="0" t="n">
        <v>467858</v>
      </c>
      <c r="C1685" s="0" t="n">
        <v>4</v>
      </c>
      <c r="D1685" s="0" t="n">
        <v>16</v>
      </c>
      <c r="E1685" s="0" t="n">
        <v>2481</v>
      </c>
      <c r="F1685" s="0" t="n">
        <v>89</v>
      </c>
      <c r="G1685" s="0" t="n">
        <v>0</v>
      </c>
      <c r="H1685" s="0" t="s">
        <v>3112</v>
      </c>
      <c r="I1685" s="0" t="s">
        <v>3282</v>
      </c>
      <c r="J1685" s="9" t="n">
        <v>45906</v>
      </c>
      <c r="K1685" s="0" t="s">
        <v>3283</v>
      </c>
      <c r="L1685" s="0" t="n">
        <v>14</v>
      </c>
      <c r="M1685" s="10"/>
      <c r="N1685" s="10"/>
      <c r="O1685" s="0" t="str">
        <f aca="false">VLOOKUP(C1685,statusdetails!$A:$D,4,0)</f>
        <v>MAINT</v>
      </c>
    </row>
    <row r="1686" customFormat="false" ht="12.8" hidden="false" customHeight="false" outlineLevel="0" collapsed="false">
      <c r="A1686" s="0" t="n">
        <v>467859</v>
      </c>
      <c r="B1686" s="0" t="n">
        <v>467859</v>
      </c>
      <c r="C1686" s="0" t="n">
        <v>3</v>
      </c>
      <c r="D1686" s="0" t="n">
        <v>14</v>
      </c>
      <c r="E1686" s="0" t="n">
        <v>2387</v>
      </c>
      <c r="F1686" s="0" t="n">
        <v>96</v>
      </c>
      <c r="G1686" s="0" t="n">
        <v>109</v>
      </c>
      <c r="H1686" s="1" t="s">
        <v>3284</v>
      </c>
      <c r="I1686" s="1" t="s">
        <v>3285</v>
      </c>
      <c r="J1686" s="9" t="n">
        <v>45906</v>
      </c>
      <c r="K1686" s="0" t="s">
        <v>3286</v>
      </c>
      <c r="L1686" s="0" t="n">
        <v>14</v>
      </c>
      <c r="M1686" s="10"/>
      <c r="N1686" s="10"/>
      <c r="O1686" s="0" t="str">
        <f aca="false">VLOOKUP(C1686,statusdetails!$A:$D,4,0)</f>
        <v>STANDBY</v>
      </c>
      <c r="P1686" s="0" t="str">
        <f aca="false">VLOOKUP(F1686,equipment!$A:$E,4,0)</f>
        <v>EX503</v>
      </c>
      <c r="Q1686" s="0" t="str">
        <f aca="false">VLOOKUP(F1686,equipment!$A:$E,5,0)</f>
        <v>EX503 - 96</v>
      </c>
    </row>
    <row r="1687" customFormat="false" ht="12.8" hidden="true" customHeight="false" outlineLevel="0" collapsed="false">
      <c r="H1687" s="0"/>
      <c r="I1687" s="0"/>
      <c r="J1687" s="9"/>
    </row>
    <row r="1688" customFormat="false" ht="12.8" hidden="true" customHeight="false" outlineLevel="0" collapsed="false">
      <c r="A1688" s="0" t="n">
        <v>467861</v>
      </c>
      <c r="B1688" s="0" t="n">
        <v>467861</v>
      </c>
      <c r="C1688" s="0" t="n">
        <v>1</v>
      </c>
      <c r="D1688" s="0" t="n">
        <v>2303</v>
      </c>
      <c r="E1688" s="0" t="n">
        <v>969</v>
      </c>
      <c r="F1688" s="0" t="n">
        <v>45</v>
      </c>
      <c r="G1688" s="0" t="n">
        <v>156</v>
      </c>
      <c r="H1688" s="0" t="s">
        <v>3272</v>
      </c>
      <c r="I1688" s="11" t="n">
        <v>45906.630150463</v>
      </c>
      <c r="J1688" s="9" t="n">
        <v>45906</v>
      </c>
      <c r="K1688" s="0" t="s">
        <v>3287</v>
      </c>
      <c r="L1688" s="0" t="n">
        <v>14</v>
      </c>
      <c r="M1688" s="10"/>
      <c r="N1688" s="10"/>
      <c r="O1688" s="0" t="str">
        <f aca="false">VLOOKUP(C1688,statusdetails!$A:$D,4,0)</f>
        <v>READY</v>
      </c>
    </row>
    <row r="1689" customFormat="false" ht="12.8" hidden="false" customHeight="false" outlineLevel="0" collapsed="false">
      <c r="A1689" s="0" t="n">
        <v>467862</v>
      </c>
      <c r="B1689" s="0" t="n">
        <v>467862</v>
      </c>
      <c r="C1689" s="0" t="n">
        <v>3</v>
      </c>
      <c r="D1689" s="0" t="n">
        <v>14</v>
      </c>
      <c r="E1689" s="0" t="n">
        <v>2417</v>
      </c>
      <c r="F1689" s="0" t="n">
        <v>86</v>
      </c>
      <c r="G1689" s="0" t="n">
        <v>0</v>
      </c>
      <c r="H1689" s="1" t="s">
        <v>3235</v>
      </c>
      <c r="I1689" s="1" t="s">
        <v>3288</v>
      </c>
      <c r="J1689" s="9" t="n">
        <v>45906</v>
      </c>
      <c r="K1689" s="0" t="s">
        <v>3289</v>
      </c>
      <c r="L1689" s="0" t="n">
        <v>14</v>
      </c>
      <c r="M1689" s="10"/>
      <c r="N1689" s="10"/>
      <c r="O1689" s="0" t="str">
        <f aca="false">VLOOKUP(C1689,statusdetails!$A:$D,4,0)</f>
        <v>STANDBY</v>
      </c>
      <c r="P1689" s="0" t="str">
        <f aca="false">VLOOKUP(F1689,equipment!$A:$E,4,0)</f>
        <v>CM03</v>
      </c>
      <c r="Q1689" s="0" t="str">
        <f aca="false">VLOOKUP(F1689,equipment!$A:$E,5,0)</f>
        <v>CM03 - 86</v>
      </c>
    </row>
    <row r="1690" customFormat="false" ht="12.8" hidden="true" customHeight="false" outlineLevel="0" collapsed="false">
      <c r="A1690" s="0" t="n">
        <v>467863</v>
      </c>
      <c r="B1690" s="0" t="n">
        <v>467863</v>
      </c>
      <c r="C1690" s="0" t="n">
        <v>1</v>
      </c>
      <c r="D1690" s="0" t="n">
        <v>6</v>
      </c>
      <c r="E1690" s="0" t="n">
        <v>2404</v>
      </c>
      <c r="F1690" s="0" t="n">
        <v>88</v>
      </c>
      <c r="G1690" s="0" t="n">
        <v>155</v>
      </c>
      <c r="H1690" s="0" t="s">
        <v>3290</v>
      </c>
      <c r="I1690" s="0" t="s">
        <v>3291</v>
      </c>
      <c r="J1690" s="9" t="n">
        <v>45906</v>
      </c>
      <c r="K1690" s="0" t="s">
        <v>3292</v>
      </c>
      <c r="L1690" s="0" t="n">
        <v>14</v>
      </c>
      <c r="M1690" s="10"/>
      <c r="N1690" s="10"/>
      <c r="O1690" s="0" t="str">
        <f aca="false">VLOOKUP(C1690,statusdetails!$A:$D,4,0)</f>
        <v>READY</v>
      </c>
    </row>
    <row r="1691" customFormat="false" ht="12.8" hidden="true" customHeight="false" outlineLevel="0" collapsed="false">
      <c r="A1691" s="0" t="n">
        <v>467864</v>
      </c>
      <c r="B1691" s="0" t="n">
        <v>467864</v>
      </c>
      <c r="C1691" s="0" t="n">
        <v>1</v>
      </c>
      <c r="D1691" s="0" t="n">
        <v>6</v>
      </c>
      <c r="E1691" s="0" t="n">
        <v>2518</v>
      </c>
      <c r="F1691" s="0" t="n">
        <v>96</v>
      </c>
      <c r="G1691" s="0" t="n">
        <v>109</v>
      </c>
      <c r="H1691" s="0" t="s">
        <v>3285</v>
      </c>
      <c r="I1691" s="0" t="s">
        <v>3293</v>
      </c>
      <c r="J1691" s="9" t="n">
        <v>45906</v>
      </c>
      <c r="K1691" s="0" t="s">
        <v>3294</v>
      </c>
      <c r="L1691" s="0" t="n">
        <v>14</v>
      </c>
      <c r="M1691" s="10"/>
      <c r="N1691" s="10"/>
      <c r="O1691" s="0" t="str">
        <f aca="false">VLOOKUP(C1691,statusdetails!$A:$D,4,0)</f>
        <v>READY</v>
      </c>
    </row>
    <row r="1692" customFormat="false" ht="12.8" hidden="true" customHeight="false" outlineLevel="0" collapsed="false">
      <c r="A1692" s="0" t="n">
        <v>467865</v>
      </c>
      <c r="B1692" s="0" t="n">
        <v>467865</v>
      </c>
      <c r="C1692" s="0" t="n">
        <v>1</v>
      </c>
      <c r="D1692" s="0" t="n">
        <v>6</v>
      </c>
      <c r="E1692" s="0" t="n">
        <v>260</v>
      </c>
      <c r="F1692" s="0" t="n">
        <v>66</v>
      </c>
      <c r="G1692" s="0" t="n">
        <v>47</v>
      </c>
      <c r="H1692" s="0" t="s">
        <v>3268</v>
      </c>
      <c r="I1692" s="0" t="s">
        <v>3295</v>
      </c>
      <c r="J1692" s="9" t="n">
        <v>45906</v>
      </c>
      <c r="K1692" s="0" t="s">
        <v>3296</v>
      </c>
      <c r="L1692" s="0" t="n">
        <v>14</v>
      </c>
      <c r="M1692" s="10"/>
      <c r="N1692" s="10"/>
      <c r="O1692" s="0" t="str">
        <f aca="false">VLOOKUP(C1692,statusdetails!$A:$D,4,0)</f>
        <v>READY</v>
      </c>
    </row>
    <row r="1693" customFormat="false" ht="12.8" hidden="true" customHeight="false" outlineLevel="0" collapsed="false">
      <c r="A1693" s="0" t="n">
        <v>467866</v>
      </c>
      <c r="B1693" s="0" t="n">
        <v>467866</v>
      </c>
      <c r="C1693" s="0" t="n">
        <v>1</v>
      </c>
      <c r="D1693" s="0" t="n">
        <v>6</v>
      </c>
      <c r="E1693" s="0" t="n">
        <v>260</v>
      </c>
      <c r="F1693" s="0" t="n">
        <v>35</v>
      </c>
      <c r="G1693" s="0" t="n">
        <v>15</v>
      </c>
      <c r="H1693" s="0" t="s">
        <v>3266</v>
      </c>
      <c r="I1693" s="0" t="s">
        <v>3297</v>
      </c>
      <c r="J1693" s="9" t="n">
        <v>45906</v>
      </c>
      <c r="K1693" s="0" t="s">
        <v>3298</v>
      </c>
      <c r="L1693" s="0" t="n">
        <v>14</v>
      </c>
      <c r="M1693" s="10"/>
      <c r="N1693" s="10"/>
      <c r="O1693" s="0" t="str">
        <f aca="false">VLOOKUP(C1693,statusdetails!$A:$D,4,0)</f>
        <v>READY</v>
      </c>
    </row>
    <row r="1694" customFormat="false" ht="12.8" hidden="true" customHeight="false" outlineLevel="0" collapsed="false">
      <c r="A1694" s="0" t="n">
        <v>467867</v>
      </c>
      <c r="B1694" s="0" t="n">
        <v>467867</v>
      </c>
      <c r="C1694" s="0" t="n">
        <v>1</v>
      </c>
      <c r="D1694" s="0" t="n">
        <v>6</v>
      </c>
      <c r="E1694" s="0" t="n">
        <v>2404</v>
      </c>
      <c r="F1694" s="0" t="n">
        <v>86</v>
      </c>
      <c r="G1694" s="0" t="n">
        <v>0</v>
      </c>
      <c r="H1694" s="0" t="s">
        <v>3288</v>
      </c>
      <c r="I1694" s="0" t="s">
        <v>3299</v>
      </c>
      <c r="J1694" s="9" t="n">
        <v>45906</v>
      </c>
      <c r="K1694" s="0" t="s">
        <v>3300</v>
      </c>
      <c r="L1694" s="0" t="n">
        <v>14</v>
      </c>
      <c r="M1694" s="10"/>
      <c r="N1694" s="10"/>
      <c r="O1694" s="0" t="str">
        <f aca="false">VLOOKUP(C1694,statusdetails!$A:$D,4,0)</f>
        <v>READY</v>
      </c>
    </row>
    <row r="1695" customFormat="false" ht="12.8" hidden="false" customHeight="false" outlineLevel="0" collapsed="false">
      <c r="A1695" s="0" t="n">
        <v>467868</v>
      </c>
      <c r="B1695" s="0" t="n">
        <v>467868</v>
      </c>
      <c r="C1695" s="0" t="n">
        <v>3</v>
      </c>
      <c r="D1695" s="0" t="n">
        <v>14</v>
      </c>
      <c r="E1695" s="0" t="n">
        <v>2503</v>
      </c>
      <c r="F1695" s="0" t="n">
        <v>85</v>
      </c>
      <c r="G1695" s="0" t="n">
        <v>153</v>
      </c>
      <c r="H1695" s="1" t="s">
        <v>3166</v>
      </c>
      <c r="I1695" s="1" t="s">
        <v>3301</v>
      </c>
      <c r="J1695" s="9" t="n">
        <v>45906</v>
      </c>
      <c r="K1695" s="0" t="s">
        <v>3302</v>
      </c>
      <c r="L1695" s="0" t="n">
        <v>14</v>
      </c>
      <c r="M1695" s="10"/>
      <c r="N1695" s="10"/>
      <c r="O1695" s="0" t="str">
        <f aca="false">VLOOKUP(C1695,statusdetails!$A:$D,4,0)</f>
        <v>STANDBY</v>
      </c>
      <c r="P1695" s="0" t="str">
        <f aca="false">VLOOKUP(F1695,equipment!$A:$E,4,0)</f>
        <v>CM02</v>
      </c>
      <c r="Q1695" s="0" t="str">
        <f aca="false">VLOOKUP(F1695,equipment!$A:$E,5,0)</f>
        <v>CM02 - 85</v>
      </c>
    </row>
    <row r="1696" customFormat="false" ht="12.8" hidden="true" customHeight="false" outlineLevel="0" collapsed="false">
      <c r="A1696" s="0" t="n">
        <v>467869</v>
      </c>
      <c r="B1696" s="0" t="n">
        <v>467869</v>
      </c>
      <c r="C1696" s="0" t="n">
        <v>1</v>
      </c>
      <c r="D1696" s="0" t="n">
        <v>6</v>
      </c>
      <c r="E1696" s="0" t="n">
        <v>2404</v>
      </c>
      <c r="F1696" s="0" t="n">
        <v>87</v>
      </c>
      <c r="G1696" s="0" t="n">
        <v>154</v>
      </c>
      <c r="H1696" s="0" t="s">
        <v>3270</v>
      </c>
      <c r="I1696" s="0" t="s">
        <v>3303</v>
      </c>
      <c r="J1696" s="9" t="n">
        <v>45906</v>
      </c>
      <c r="K1696" s="0" t="s">
        <v>3304</v>
      </c>
      <c r="L1696" s="0" t="n">
        <v>15</v>
      </c>
      <c r="M1696" s="10"/>
      <c r="N1696" s="10"/>
      <c r="O1696" s="0" t="str">
        <f aca="false">VLOOKUP(C1696,statusdetails!$A:$D,4,0)</f>
        <v>READY</v>
      </c>
    </row>
    <row r="1697" customFormat="false" ht="12.8" hidden="false" customHeight="false" outlineLevel="0" collapsed="false">
      <c r="A1697" s="0" t="n">
        <v>467870</v>
      </c>
      <c r="B1697" s="0" t="n">
        <v>467870</v>
      </c>
      <c r="C1697" s="0" t="n">
        <v>3</v>
      </c>
      <c r="D1697" s="0" t="n">
        <v>12</v>
      </c>
      <c r="E1697" s="0" t="n">
        <v>1011</v>
      </c>
      <c r="F1697" s="0" t="n">
        <v>66</v>
      </c>
      <c r="G1697" s="0" t="n">
        <v>47</v>
      </c>
      <c r="H1697" s="1" t="s">
        <v>3295</v>
      </c>
      <c r="I1697" s="1" t="s">
        <v>3305</v>
      </c>
      <c r="J1697" s="9" t="n">
        <v>45906</v>
      </c>
      <c r="K1697" s="0" t="s">
        <v>3306</v>
      </c>
      <c r="L1697" s="0" t="n">
        <v>15</v>
      </c>
      <c r="M1697" s="10"/>
      <c r="N1697" s="10"/>
      <c r="O1697" s="0" t="str">
        <f aca="false">VLOOKUP(C1697,statusdetails!$A:$D,4,0)</f>
        <v>STANDBY</v>
      </c>
      <c r="P1697" s="0" t="str">
        <f aca="false">VLOOKUP(F1697,equipment!$A:$E,4,0)</f>
        <v>CM407</v>
      </c>
      <c r="Q1697" s="0" t="str">
        <f aca="false">VLOOKUP(F1697,equipment!$A:$E,5,0)</f>
        <v>CM407 - 66</v>
      </c>
    </row>
    <row r="1698" customFormat="false" ht="12.8" hidden="true" customHeight="false" outlineLevel="0" collapsed="false">
      <c r="A1698" s="0" t="n">
        <v>467871</v>
      </c>
      <c r="B1698" s="0" t="n">
        <v>467871</v>
      </c>
      <c r="C1698" s="0" t="n">
        <v>1</v>
      </c>
      <c r="D1698" s="0" t="n">
        <v>6</v>
      </c>
      <c r="E1698" s="0" t="n">
        <v>2404</v>
      </c>
      <c r="F1698" s="0" t="n">
        <v>85</v>
      </c>
      <c r="G1698" s="0" t="n">
        <v>153</v>
      </c>
      <c r="H1698" s="0" t="s">
        <v>3301</v>
      </c>
      <c r="I1698" s="0" t="s">
        <v>3307</v>
      </c>
      <c r="J1698" s="9" t="n">
        <v>45906</v>
      </c>
      <c r="K1698" s="0" t="s">
        <v>3308</v>
      </c>
      <c r="L1698" s="0" t="n">
        <v>15</v>
      </c>
      <c r="M1698" s="10"/>
      <c r="N1698" s="10"/>
      <c r="O1698" s="0" t="str">
        <f aca="false">VLOOKUP(C1698,statusdetails!$A:$D,4,0)</f>
        <v>READY</v>
      </c>
    </row>
    <row r="1699" customFormat="false" ht="12.8" hidden="true" customHeight="false" outlineLevel="0" collapsed="false">
      <c r="A1699" s="0" t="n">
        <v>467872</v>
      </c>
      <c r="B1699" s="0" t="n">
        <v>467872</v>
      </c>
      <c r="C1699" s="0" t="n">
        <v>1</v>
      </c>
      <c r="D1699" s="0" t="n">
        <v>6</v>
      </c>
      <c r="E1699" s="0" t="n">
        <v>811</v>
      </c>
      <c r="F1699" s="0" t="n">
        <v>43</v>
      </c>
      <c r="G1699" s="0" t="n">
        <v>36</v>
      </c>
      <c r="H1699" s="0" t="s">
        <v>3252</v>
      </c>
      <c r="I1699" s="0" t="s">
        <v>3309</v>
      </c>
      <c r="J1699" s="9" t="n">
        <v>45906</v>
      </c>
      <c r="K1699" s="0" t="s">
        <v>3310</v>
      </c>
      <c r="L1699" s="0" t="n">
        <v>15</v>
      </c>
      <c r="M1699" s="10"/>
      <c r="N1699" s="10"/>
      <c r="O1699" s="0" t="str">
        <f aca="false">VLOOKUP(C1699,statusdetails!$A:$D,4,0)</f>
        <v>READY</v>
      </c>
    </row>
    <row r="1700" customFormat="false" ht="12.8" hidden="true" customHeight="false" outlineLevel="0" collapsed="false">
      <c r="A1700" s="0" t="n">
        <v>467874</v>
      </c>
      <c r="B1700" s="0" t="n">
        <v>467873</v>
      </c>
      <c r="C1700" s="0" t="n">
        <v>4</v>
      </c>
      <c r="D1700" s="0" t="n">
        <v>15</v>
      </c>
      <c r="E1700" s="0" t="n">
        <v>194</v>
      </c>
      <c r="F1700" s="0" t="n">
        <v>45</v>
      </c>
      <c r="G1700" s="0" t="n">
        <v>156</v>
      </c>
      <c r="H1700" s="11" t="n">
        <v>45906.630150463</v>
      </c>
      <c r="I1700" s="0" t="s">
        <v>3311</v>
      </c>
      <c r="J1700" s="9" t="n">
        <v>45906</v>
      </c>
      <c r="K1700" s="0" t="s">
        <v>3312</v>
      </c>
      <c r="L1700" s="0" t="n">
        <v>15</v>
      </c>
      <c r="M1700" s="10"/>
      <c r="N1700" s="10"/>
      <c r="O1700" s="0" t="str">
        <f aca="false">VLOOKUP(C1700,statusdetails!$A:$D,4,0)</f>
        <v>MAINT</v>
      </c>
    </row>
    <row r="1701" customFormat="false" ht="12.8" hidden="true" customHeight="false" outlineLevel="0" collapsed="false">
      <c r="A1701" s="0" t="n">
        <v>467875</v>
      </c>
      <c r="B1701" s="0" t="n">
        <v>467875</v>
      </c>
      <c r="C1701" s="0" t="n">
        <v>1</v>
      </c>
      <c r="D1701" s="0" t="n">
        <v>2303</v>
      </c>
      <c r="E1701" s="0" t="n">
        <v>969</v>
      </c>
      <c r="F1701" s="0" t="n">
        <v>45</v>
      </c>
      <c r="G1701" s="0" t="n">
        <v>156</v>
      </c>
      <c r="H1701" s="0" t="s">
        <v>3311</v>
      </c>
      <c r="I1701" s="0" t="s">
        <v>3313</v>
      </c>
      <c r="J1701" s="9" t="n">
        <v>45906</v>
      </c>
      <c r="K1701" s="0" t="s">
        <v>3314</v>
      </c>
      <c r="L1701" s="0" t="n">
        <v>15</v>
      </c>
      <c r="M1701" s="10"/>
      <c r="N1701" s="10"/>
      <c r="O1701" s="0" t="str">
        <f aca="false">VLOOKUP(C1701,statusdetails!$A:$D,4,0)</f>
        <v>READY</v>
      </c>
    </row>
    <row r="1702" customFormat="false" ht="12.8" hidden="true" customHeight="false" outlineLevel="0" collapsed="false">
      <c r="A1702" s="0" t="n">
        <v>467876</v>
      </c>
      <c r="B1702" s="0" t="n">
        <v>467876</v>
      </c>
      <c r="C1702" s="0" t="n">
        <v>1</v>
      </c>
      <c r="D1702" s="0" t="n">
        <v>6</v>
      </c>
      <c r="E1702" s="0" t="n">
        <v>260</v>
      </c>
      <c r="F1702" s="0" t="n">
        <v>66</v>
      </c>
      <c r="G1702" s="0" t="n">
        <v>23</v>
      </c>
      <c r="H1702" s="0" t="s">
        <v>3305</v>
      </c>
      <c r="I1702" s="0" t="s">
        <v>3315</v>
      </c>
      <c r="J1702" s="9" t="n">
        <v>45906</v>
      </c>
      <c r="K1702" s="0" t="s">
        <v>3316</v>
      </c>
      <c r="L1702" s="0" t="n">
        <v>15</v>
      </c>
      <c r="M1702" s="10"/>
      <c r="N1702" s="10"/>
      <c r="O1702" s="0" t="str">
        <f aca="false">VLOOKUP(C1702,statusdetails!$A:$D,4,0)</f>
        <v>READY</v>
      </c>
    </row>
    <row r="1703" customFormat="false" ht="12.8" hidden="true" customHeight="false" outlineLevel="0" collapsed="false">
      <c r="A1703" s="0" t="n">
        <v>467877</v>
      </c>
      <c r="B1703" s="0" t="n">
        <v>467877</v>
      </c>
      <c r="C1703" s="0" t="n">
        <v>1</v>
      </c>
      <c r="D1703" s="0" t="n">
        <v>6</v>
      </c>
      <c r="E1703" s="0" t="n">
        <v>138</v>
      </c>
      <c r="F1703" s="0" t="n">
        <v>45</v>
      </c>
      <c r="G1703" s="0" t="n">
        <v>156</v>
      </c>
      <c r="H1703" s="0" t="s">
        <v>3313</v>
      </c>
      <c r="I1703" s="0" t="s">
        <v>3317</v>
      </c>
      <c r="J1703" s="9" t="n">
        <v>45906</v>
      </c>
      <c r="K1703" s="0" t="s">
        <v>3318</v>
      </c>
      <c r="L1703" s="0" t="n">
        <v>15</v>
      </c>
      <c r="M1703" s="10"/>
      <c r="N1703" s="10"/>
      <c r="O1703" s="0" t="str">
        <f aca="false">VLOOKUP(C1703,statusdetails!$A:$D,4,0)</f>
        <v>READY</v>
      </c>
    </row>
    <row r="1704" customFormat="false" ht="12.8" hidden="false" customHeight="false" outlineLevel="0" collapsed="false">
      <c r="A1704" s="0" t="n">
        <v>467878</v>
      </c>
      <c r="B1704" s="0" t="n">
        <v>467878</v>
      </c>
      <c r="C1704" s="0" t="n">
        <v>3</v>
      </c>
      <c r="D1704" s="0" t="n">
        <v>12</v>
      </c>
      <c r="E1704" s="0" t="n">
        <v>1011</v>
      </c>
      <c r="F1704" s="0" t="n">
        <v>32</v>
      </c>
      <c r="G1704" s="0" t="n">
        <v>45</v>
      </c>
      <c r="H1704" s="1" t="s">
        <v>3274</v>
      </c>
      <c r="I1704" s="1" t="s">
        <v>3319</v>
      </c>
      <c r="J1704" s="9" t="n">
        <v>45906</v>
      </c>
      <c r="K1704" s="0" t="s">
        <v>3320</v>
      </c>
      <c r="L1704" s="0" t="n">
        <v>16</v>
      </c>
      <c r="M1704" s="10"/>
      <c r="N1704" s="10"/>
      <c r="O1704" s="0" t="str">
        <f aca="false">VLOOKUP(C1704,statusdetails!$A:$D,4,0)</f>
        <v>STANDBY</v>
      </c>
      <c r="P1704" s="0" t="str">
        <f aca="false">VLOOKUP(F1704,equipment!$A:$E,4,0)</f>
        <v>CM403</v>
      </c>
      <c r="Q1704" s="0" t="str">
        <f aca="false">VLOOKUP(F1704,equipment!$A:$E,5,0)</f>
        <v>CM403 - 32</v>
      </c>
    </row>
    <row r="1705" customFormat="false" ht="12.8" hidden="true" customHeight="false" outlineLevel="0" collapsed="false">
      <c r="A1705" s="0" t="n">
        <v>467879</v>
      </c>
      <c r="B1705" s="0" t="n">
        <v>467879</v>
      </c>
      <c r="C1705" s="0" t="n">
        <v>4</v>
      </c>
      <c r="D1705" s="0" t="n">
        <v>15</v>
      </c>
      <c r="E1705" s="0" t="n">
        <v>2396</v>
      </c>
      <c r="F1705" s="0" t="n">
        <v>82</v>
      </c>
      <c r="G1705" s="0" t="n">
        <v>88</v>
      </c>
      <c r="H1705" s="0" t="s">
        <v>3278</v>
      </c>
      <c r="I1705" s="0" t="s">
        <v>3321</v>
      </c>
      <c r="J1705" s="9" t="n">
        <v>45906</v>
      </c>
      <c r="K1705" s="0" t="s">
        <v>3322</v>
      </c>
      <c r="L1705" s="0" t="n">
        <v>16</v>
      </c>
      <c r="M1705" s="10"/>
      <c r="N1705" s="10"/>
      <c r="O1705" s="0" t="str">
        <f aca="false">VLOOKUP(C1705,statusdetails!$A:$D,4,0)</f>
        <v>MAINT</v>
      </c>
    </row>
    <row r="1706" customFormat="false" ht="12.8" hidden="false" customHeight="false" outlineLevel="0" collapsed="false">
      <c r="A1706" s="0" t="n">
        <v>467880</v>
      </c>
      <c r="B1706" s="0" t="n">
        <v>467880</v>
      </c>
      <c r="C1706" s="0" t="n">
        <v>3</v>
      </c>
      <c r="D1706" s="0" t="n">
        <v>14</v>
      </c>
      <c r="E1706" s="0" t="n">
        <v>2555</v>
      </c>
      <c r="F1706" s="0" t="n">
        <v>86</v>
      </c>
      <c r="G1706" s="0" t="n">
        <v>155</v>
      </c>
      <c r="H1706" s="1" t="s">
        <v>3299</v>
      </c>
      <c r="I1706" s="12" t="n">
        <v>45906.6832060185</v>
      </c>
      <c r="J1706" s="9" t="n">
        <v>45906</v>
      </c>
      <c r="K1706" s="0" t="s">
        <v>3323</v>
      </c>
      <c r="L1706" s="0" t="n">
        <v>16</v>
      </c>
      <c r="M1706" s="10"/>
      <c r="N1706" s="10"/>
      <c r="O1706" s="0" t="str">
        <f aca="false">VLOOKUP(C1706,statusdetails!$A:$D,4,0)</f>
        <v>STANDBY</v>
      </c>
      <c r="P1706" s="0" t="str">
        <f aca="false">VLOOKUP(F1706,equipment!$A:$E,4,0)</f>
        <v>CM03</v>
      </c>
      <c r="Q1706" s="0" t="str">
        <f aca="false">VLOOKUP(F1706,equipment!$A:$E,5,0)</f>
        <v>CM03 - 86</v>
      </c>
    </row>
    <row r="1707" customFormat="false" ht="12.8" hidden="true" customHeight="false" outlineLevel="0" collapsed="false">
      <c r="H1707" s="0"/>
      <c r="I1707" s="0"/>
      <c r="J1707" s="9"/>
    </row>
    <row r="1708" customFormat="false" ht="12.8" hidden="true" customHeight="false" outlineLevel="0" collapsed="false">
      <c r="H1708" s="0"/>
      <c r="I1708" s="0"/>
      <c r="J1708" s="9"/>
    </row>
    <row r="1709" customFormat="false" ht="12.8" hidden="true" customHeight="false" outlineLevel="0" collapsed="false">
      <c r="A1709" s="0" t="n">
        <v>467884</v>
      </c>
      <c r="B1709" s="0" t="n">
        <v>467884</v>
      </c>
      <c r="C1709" s="0" t="n">
        <v>1</v>
      </c>
      <c r="D1709" s="0" t="n">
        <v>6</v>
      </c>
      <c r="E1709" s="0" t="n">
        <v>372</v>
      </c>
      <c r="F1709" s="0" t="n">
        <v>37</v>
      </c>
      <c r="G1709" s="0" t="n">
        <v>45</v>
      </c>
      <c r="H1709" s="0" t="s">
        <v>3228</v>
      </c>
      <c r="I1709" s="0" t="s">
        <v>3324</v>
      </c>
      <c r="J1709" s="9" t="n">
        <v>45906</v>
      </c>
      <c r="K1709" s="0" t="s">
        <v>3325</v>
      </c>
      <c r="L1709" s="0" t="n">
        <v>16</v>
      </c>
      <c r="M1709" s="10"/>
      <c r="N1709" s="10"/>
      <c r="O1709" s="0" t="str">
        <f aca="false">VLOOKUP(C1709,statusdetails!$A:$D,4,0)</f>
        <v>READY</v>
      </c>
    </row>
    <row r="1710" customFormat="false" ht="12.8" hidden="true" customHeight="false" outlineLevel="0" collapsed="false">
      <c r="A1710" s="0" t="n">
        <v>467885</v>
      </c>
      <c r="B1710" s="0" t="n">
        <v>467885</v>
      </c>
      <c r="C1710" s="0" t="n">
        <v>1</v>
      </c>
      <c r="D1710" s="0" t="n">
        <v>6</v>
      </c>
      <c r="E1710" s="0" t="n">
        <v>2518</v>
      </c>
      <c r="F1710" s="0" t="n">
        <v>82</v>
      </c>
      <c r="G1710" s="0" t="n">
        <v>88</v>
      </c>
      <c r="H1710" s="0" t="s">
        <v>3326</v>
      </c>
      <c r="I1710" s="0" t="s">
        <v>3327</v>
      </c>
      <c r="J1710" s="9" t="n">
        <v>45906</v>
      </c>
      <c r="K1710" s="0" t="s">
        <v>3328</v>
      </c>
      <c r="L1710" s="0" t="n">
        <v>16</v>
      </c>
      <c r="M1710" s="10"/>
      <c r="N1710" s="10"/>
      <c r="O1710" s="0" t="str">
        <f aca="false">VLOOKUP(C1710,statusdetails!$A:$D,4,0)</f>
        <v>READY</v>
      </c>
    </row>
    <row r="1711" customFormat="false" ht="12.8" hidden="true" customHeight="false" outlineLevel="0" collapsed="false">
      <c r="A1711" s="0" t="n">
        <v>467886</v>
      </c>
      <c r="B1711" s="0" t="n">
        <v>467886</v>
      </c>
      <c r="C1711" s="0" t="n">
        <v>1</v>
      </c>
      <c r="D1711" s="0" t="n">
        <v>6</v>
      </c>
      <c r="E1711" s="0" t="n">
        <v>260</v>
      </c>
      <c r="F1711" s="0" t="n">
        <v>35</v>
      </c>
      <c r="G1711" s="0" t="n">
        <v>15</v>
      </c>
      <c r="H1711" s="0" t="s">
        <v>3329</v>
      </c>
      <c r="I1711" s="0" t="s">
        <v>3330</v>
      </c>
      <c r="J1711" s="9" t="n">
        <v>45906</v>
      </c>
      <c r="K1711" s="0" t="s">
        <v>3331</v>
      </c>
      <c r="L1711" s="0" t="n">
        <v>16</v>
      </c>
      <c r="M1711" s="10"/>
      <c r="N1711" s="10"/>
      <c r="O1711" s="0" t="str">
        <f aca="false">VLOOKUP(C1711,statusdetails!$A:$D,4,0)</f>
        <v>READY</v>
      </c>
    </row>
    <row r="1712" customFormat="false" ht="12.8" hidden="true" customHeight="false" outlineLevel="0" collapsed="false">
      <c r="A1712" s="0" t="n">
        <v>467887</v>
      </c>
      <c r="B1712" s="0" t="n">
        <v>467887</v>
      </c>
      <c r="C1712" s="0" t="n">
        <v>1</v>
      </c>
      <c r="D1712" s="0" t="n">
        <v>6</v>
      </c>
      <c r="E1712" s="0" t="n">
        <v>260</v>
      </c>
      <c r="F1712" s="0" t="n">
        <v>32</v>
      </c>
      <c r="G1712" s="0" t="n">
        <v>23</v>
      </c>
      <c r="H1712" s="0" t="s">
        <v>3319</v>
      </c>
      <c r="I1712" s="0" t="s">
        <v>3332</v>
      </c>
      <c r="J1712" s="9" t="n">
        <v>45906</v>
      </c>
      <c r="K1712" s="0" t="s">
        <v>3333</v>
      </c>
      <c r="L1712" s="0" t="n">
        <v>16</v>
      </c>
      <c r="M1712" s="10"/>
      <c r="N1712" s="10"/>
      <c r="O1712" s="0" t="str">
        <f aca="false">VLOOKUP(C1712,statusdetails!$A:$D,4,0)</f>
        <v>READY</v>
      </c>
    </row>
    <row r="1713" customFormat="false" ht="12.8" hidden="true" customHeight="false" outlineLevel="0" collapsed="false">
      <c r="A1713" s="0" t="n">
        <v>467889</v>
      </c>
      <c r="B1713" s="0" t="n">
        <v>467889</v>
      </c>
      <c r="C1713" s="0" t="n">
        <v>1</v>
      </c>
      <c r="D1713" s="0" t="n">
        <v>6</v>
      </c>
      <c r="E1713" s="0" t="n">
        <v>2524</v>
      </c>
      <c r="F1713" s="0" t="n">
        <v>49</v>
      </c>
      <c r="G1713" s="0" t="n">
        <v>0</v>
      </c>
      <c r="H1713" s="0" t="s">
        <v>2718</v>
      </c>
      <c r="I1713" s="0" t="s">
        <v>3334</v>
      </c>
      <c r="J1713" s="9" t="n">
        <v>45906</v>
      </c>
      <c r="K1713" s="0" t="s">
        <v>3335</v>
      </c>
      <c r="L1713" s="0" t="n">
        <v>17</v>
      </c>
      <c r="M1713" s="10"/>
      <c r="N1713" s="10"/>
      <c r="O1713" s="0" t="str">
        <f aca="false">VLOOKUP(C1713,statusdetails!$A:$D,4,0)</f>
        <v>READY</v>
      </c>
    </row>
    <row r="1714" customFormat="false" ht="12.8" hidden="false" customHeight="false" outlineLevel="0" collapsed="false">
      <c r="A1714" s="0" t="n">
        <v>467890</v>
      </c>
      <c r="B1714" s="0" t="n">
        <v>467890</v>
      </c>
      <c r="C1714" s="0" t="n">
        <v>3</v>
      </c>
      <c r="D1714" s="0" t="n">
        <v>12</v>
      </c>
      <c r="E1714" s="0" t="n">
        <v>2574</v>
      </c>
      <c r="F1714" s="0" t="n">
        <v>85</v>
      </c>
      <c r="G1714" s="0" t="n">
        <v>153</v>
      </c>
      <c r="H1714" s="1" t="s">
        <v>3307</v>
      </c>
      <c r="I1714" s="1" t="s">
        <v>3336</v>
      </c>
      <c r="J1714" s="9" t="n">
        <v>45906</v>
      </c>
      <c r="K1714" s="0" t="s">
        <v>3337</v>
      </c>
      <c r="L1714" s="0" t="n">
        <v>17</v>
      </c>
      <c r="M1714" s="10"/>
      <c r="N1714" s="10"/>
      <c r="O1714" s="0" t="str">
        <f aca="false">VLOOKUP(C1714,statusdetails!$A:$D,4,0)</f>
        <v>STANDBY</v>
      </c>
      <c r="P1714" s="0" t="str">
        <f aca="false">VLOOKUP(F1714,equipment!$A:$E,4,0)</f>
        <v>CM02</v>
      </c>
      <c r="Q1714" s="0" t="str">
        <f aca="false">VLOOKUP(F1714,equipment!$A:$E,5,0)</f>
        <v>CM02 - 85</v>
      </c>
    </row>
    <row r="1715" customFormat="false" ht="12.8" hidden="true" customHeight="false" outlineLevel="0" collapsed="false">
      <c r="H1715" s="0"/>
      <c r="I1715" s="0"/>
      <c r="J1715" s="9"/>
    </row>
    <row r="1716" customFormat="false" ht="12.8" hidden="true" customHeight="false" outlineLevel="0" collapsed="false">
      <c r="A1716" s="0" t="n">
        <v>467892</v>
      </c>
      <c r="B1716" s="0" t="n">
        <v>467892</v>
      </c>
      <c r="C1716" s="0" t="n">
        <v>1</v>
      </c>
      <c r="D1716" s="0" t="n">
        <v>6</v>
      </c>
      <c r="E1716" s="0" t="n">
        <v>2404</v>
      </c>
      <c r="F1716" s="0" t="n">
        <v>84</v>
      </c>
      <c r="G1716" s="0" t="n">
        <v>152</v>
      </c>
      <c r="H1716" s="0" t="s">
        <v>3338</v>
      </c>
      <c r="I1716" s="0" t="s">
        <v>3339</v>
      </c>
      <c r="J1716" s="9" t="n">
        <v>45906</v>
      </c>
      <c r="K1716" s="0" t="s">
        <v>3340</v>
      </c>
      <c r="L1716" s="0" t="n">
        <v>17</v>
      </c>
      <c r="M1716" s="10"/>
      <c r="N1716" s="10"/>
      <c r="O1716" s="0" t="str">
        <f aca="false">VLOOKUP(C1716,statusdetails!$A:$D,4,0)</f>
        <v>READY</v>
      </c>
    </row>
    <row r="1717" customFormat="false" ht="12.8" hidden="true" customHeight="false" outlineLevel="0" collapsed="false">
      <c r="A1717" s="0" t="n">
        <v>467893</v>
      </c>
      <c r="B1717" s="0" t="n">
        <v>467893</v>
      </c>
      <c r="C1717" s="0" t="n">
        <v>1</v>
      </c>
      <c r="D1717" s="0" t="n">
        <v>6</v>
      </c>
      <c r="E1717" s="0" t="n">
        <v>2404</v>
      </c>
      <c r="F1717" s="0" t="n">
        <v>85</v>
      </c>
      <c r="G1717" s="0" t="n">
        <v>153</v>
      </c>
      <c r="H1717" s="0" t="s">
        <v>3336</v>
      </c>
      <c r="I1717" s="0" t="s">
        <v>3341</v>
      </c>
      <c r="J1717" s="9" t="n">
        <v>45906</v>
      </c>
      <c r="K1717" s="0" t="s">
        <v>3342</v>
      </c>
      <c r="L1717" s="0" t="n">
        <v>17</v>
      </c>
      <c r="M1717" s="10"/>
      <c r="N1717" s="10"/>
      <c r="O1717" s="0" t="str">
        <f aca="false">VLOOKUP(C1717,statusdetails!$A:$D,4,0)</f>
        <v>READY</v>
      </c>
    </row>
    <row r="1718" customFormat="false" ht="12.8" hidden="true" customHeight="false" outlineLevel="0" collapsed="false">
      <c r="H1718" s="0"/>
      <c r="I1718" s="0"/>
      <c r="J1718" s="9"/>
    </row>
    <row r="1719" customFormat="false" ht="12.8" hidden="true" customHeight="false" outlineLevel="0" collapsed="false">
      <c r="A1719" s="0" t="n">
        <v>467895</v>
      </c>
      <c r="B1719" s="0" t="n">
        <v>467895</v>
      </c>
      <c r="C1719" s="0" t="n">
        <v>1</v>
      </c>
      <c r="D1719" s="0" t="n">
        <v>6</v>
      </c>
      <c r="E1719" s="0" t="n">
        <v>811</v>
      </c>
      <c r="F1719" s="0" t="n">
        <v>43</v>
      </c>
      <c r="G1719" s="0" t="n">
        <v>36</v>
      </c>
      <c r="H1719" s="0" t="s">
        <v>3343</v>
      </c>
      <c r="I1719" s="0" t="s">
        <v>3344</v>
      </c>
      <c r="J1719" s="9" t="n">
        <v>45906</v>
      </c>
      <c r="K1719" s="0" t="s">
        <v>3345</v>
      </c>
      <c r="L1719" s="0" t="n">
        <v>18</v>
      </c>
      <c r="M1719" s="10"/>
      <c r="N1719" s="10"/>
      <c r="O1719" s="0" t="str">
        <f aca="false">VLOOKUP(C1719,statusdetails!$A:$D,4,0)</f>
        <v>READY</v>
      </c>
    </row>
    <row r="1720" customFormat="false" ht="12.8" hidden="true" customHeight="false" outlineLevel="0" collapsed="false">
      <c r="A1720" s="0" t="n">
        <v>467896</v>
      </c>
      <c r="B1720" s="0" t="n">
        <v>467888</v>
      </c>
      <c r="C1720" s="0" t="n">
        <v>4</v>
      </c>
      <c r="D1720" s="0" t="n">
        <v>16</v>
      </c>
      <c r="E1720" s="0" t="n">
        <v>2590</v>
      </c>
      <c r="F1720" s="0" t="n">
        <v>86</v>
      </c>
      <c r="G1720" s="0" t="n">
        <v>155</v>
      </c>
      <c r="H1720" s="11" t="n">
        <v>45906.6832060185</v>
      </c>
      <c r="I1720" s="0" t="s">
        <v>3346</v>
      </c>
      <c r="J1720" s="9" t="n">
        <v>45906</v>
      </c>
      <c r="K1720" s="0" t="s">
        <v>3347</v>
      </c>
      <c r="L1720" s="0" t="n">
        <v>16</v>
      </c>
      <c r="M1720" s="10"/>
      <c r="N1720" s="10"/>
      <c r="O1720" s="0" t="str">
        <f aca="false">VLOOKUP(C1720,statusdetails!$A:$D,4,0)</f>
        <v>MAINT</v>
      </c>
    </row>
    <row r="1721" customFormat="false" ht="12.8" hidden="true" customHeight="false" outlineLevel="0" collapsed="false">
      <c r="A1721" s="0" t="n">
        <v>467897</v>
      </c>
      <c r="B1721" s="0" t="n">
        <v>467897</v>
      </c>
      <c r="C1721" s="0" t="n">
        <v>1</v>
      </c>
      <c r="D1721" s="0" t="n">
        <v>6</v>
      </c>
      <c r="E1721" s="0" t="n">
        <v>2404</v>
      </c>
      <c r="F1721" s="0" t="n">
        <v>89</v>
      </c>
      <c r="G1721" s="0" t="n">
        <v>155</v>
      </c>
      <c r="H1721" s="0" t="s">
        <v>3282</v>
      </c>
      <c r="I1721" s="0" t="s">
        <v>3348</v>
      </c>
      <c r="J1721" s="9" t="n">
        <v>45906</v>
      </c>
      <c r="K1721" s="0" t="s">
        <v>3349</v>
      </c>
      <c r="L1721" s="0" t="n">
        <v>18</v>
      </c>
      <c r="M1721" s="10"/>
      <c r="N1721" s="10"/>
      <c r="O1721" s="0" t="str">
        <f aca="false">VLOOKUP(C1721,statusdetails!$A:$D,4,0)</f>
        <v>READY</v>
      </c>
    </row>
    <row r="1722" customFormat="false" ht="12.8" hidden="true" customHeight="false" outlineLevel="0" collapsed="false">
      <c r="A1722" s="0" t="n">
        <v>467899</v>
      </c>
      <c r="B1722" s="0" t="n">
        <v>467898</v>
      </c>
      <c r="C1722" s="0" t="n">
        <v>1</v>
      </c>
      <c r="D1722" s="0" t="n">
        <v>2303</v>
      </c>
      <c r="E1722" s="0" t="n">
        <v>1548</v>
      </c>
      <c r="F1722" s="0" t="n">
        <v>41</v>
      </c>
      <c r="G1722" s="0" t="n">
        <v>118</v>
      </c>
      <c r="H1722" s="11" t="n">
        <v>45906.6956018519</v>
      </c>
      <c r="I1722" s="0" t="s">
        <v>3350</v>
      </c>
      <c r="J1722" s="9" t="n">
        <v>45906</v>
      </c>
      <c r="K1722" s="0" t="s">
        <v>3351</v>
      </c>
      <c r="L1722" s="0" t="n">
        <v>16</v>
      </c>
      <c r="M1722" s="10"/>
      <c r="N1722" s="10"/>
      <c r="O1722" s="0" t="str">
        <f aca="false">VLOOKUP(C1722,statusdetails!$A:$D,4,0)</f>
        <v>READY</v>
      </c>
    </row>
    <row r="1723" customFormat="false" ht="12.8" hidden="false" customHeight="false" outlineLevel="0" collapsed="false">
      <c r="A1723" s="0" t="n">
        <v>467900</v>
      </c>
      <c r="B1723" s="0" t="n">
        <v>467900</v>
      </c>
      <c r="C1723" s="0" t="n">
        <v>3</v>
      </c>
      <c r="D1723" s="0" t="n">
        <v>12</v>
      </c>
      <c r="E1723" s="0" t="n">
        <v>1175</v>
      </c>
      <c r="F1723" s="0" t="n">
        <v>49</v>
      </c>
      <c r="G1723" s="0" t="n">
        <v>0</v>
      </c>
      <c r="H1723" s="1" t="s">
        <v>3334</v>
      </c>
      <c r="I1723" s="1" t="s">
        <v>3352</v>
      </c>
      <c r="J1723" s="9" t="n">
        <v>45906</v>
      </c>
      <c r="K1723" s="0" t="s">
        <v>3353</v>
      </c>
      <c r="L1723" s="0" t="n">
        <v>18</v>
      </c>
      <c r="M1723" s="10"/>
      <c r="N1723" s="10"/>
      <c r="O1723" s="0" t="str">
        <f aca="false">VLOOKUP(C1723,statusdetails!$A:$D,4,0)</f>
        <v>STANDBY</v>
      </c>
      <c r="P1723" s="0" t="str">
        <f aca="false">VLOOKUP(F1723,equipment!$A:$E,4,0)</f>
        <v>CR702</v>
      </c>
      <c r="Q1723" s="0" t="str">
        <f aca="false">VLOOKUP(F1723,equipment!$A:$E,5,0)</f>
        <v>CR702 - 49</v>
      </c>
    </row>
    <row r="1724" customFormat="false" ht="12.8" hidden="false" customHeight="false" outlineLevel="0" collapsed="false">
      <c r="A1724" s="0" t="n">
        <v>467901</v>
      </c>
      <c r="B1724" s="0" t="n">
        <v>467901</v>
      </c>
      <c r="C1724" s="0" t="n">
        <v>3</v>
      </c>
      <c r="D1724" s="0" t="n">
        <v>12</v>
      </c>
      <c r="E1724" s="0" t="n">
        <v>1175</v>
      </c>
      <c r="F1724" s="0" t="n">
        <v>74</v>
      </c>
      <c r="G1724" s="0" t="n">
        <v>0</v>
      </c>
      <c r="H1724" s="1" t="s">
        <v>3177</v>
      </c>
      <c r="I1724" s="1" t="s">
        <v>3354</v>
      </c>
      <c r="J1724" s="9" t="n">
        <v>45906</v>
      </c>
      <c r="K1724" s="0" t="s">
        <v>3355</v>
      </c>
      <c r="L1724" s="0" t="n">
        <v>18</v>
      </c>
      <c r="M1724" s="10"/>
      <c r="N1724" s="10"/>
      <c r="O1724" s="0" t="str">
        <f aca="false">VLOOKUP(C1724,statusdetails!$A:$D,4,0)</f>
        <v>STANDBY</v>
      </c>
      <c r="P1724" s="0" t="str">
        <f aca="false">VLOOKUP(F1724,equipment!$A:$E,4,0)</f>
        <v>CR701</v>
      </c>
      <c r="Q1724" s="0" t="str">
        <f aca="false">VLOOKUP(F1724,equipment!$A:$E,5,0)</f>
        <v>CR701 - 74</v>
      </c>
    </row>
    <row r="1725" customFormat="false" ht="12.8" hidden="false" customHeight="false" outlineLevel="0" collapsed="false">
      <c r="A1725" s="0" t="n">
        <v>467902</v>
      </c>
      <c r="B1725" s="0" t="n">
        <v>467902</v>
      </c>
      <c r="C1725" s="0" t="n">
        <v>3</v>
      </c>
      <c r="D1725" s="0" t="n">
        <v>12</v>
      </c>
      <c r="E1725" s="0" t="n">
        <v>394</v>
      </c>
      <c r="F1725" s="0" t="n">
        <v>91</v>
      </c>
      <c r="G1725" s="0" t="n">
        <v>0</v>
      </c>
      <c r="H1725" s="1" t="s">
        <v>3259</v>
      </c>
      <c r="I1725" s="1" t="s">
        <v>3356</v>
      </c>
      <c r="J1725" s="9" t="n">
        <v>45906</v>
      </c>
      <c r="K1725" s="0" t="s">
        <v>3357</v>
      </c>
      <c r="L1725" s="0" t="n">
        <v>18</v>
      </c>
      <c r="M1725" s="10"/>
      <c r="N1725" s="10"/>
      <c r="O1725" s="0" t="str">
        <f aca="false">VLOOKUP(C1725,statusdetails!$A:$D,4,0)</f>
        <v>STANDBY</v>
      </c>
      <c r="P1725" s="0" t="str">
        <f aca="false">VLOOKUP(F1725,equipment!$A:$E,4,0)</f>
        <v>DZ205</v>
      </c>
      <c r="Q1725" s="0" t="str">
        <f aca="false">VLOOKUP(F1725,equipment!$A:$E,5,0)</f>
        <v>DZ205 - 91</v>
      </c>
    </row>
    <row r="1726" customFormat="false" ht="12.8" hidden="false" customHeight="false" outlineLevel="0" collapsed="false">
      <c r="A1726" s="0" t="n">
        <v>467903</v>
      </c>
      <c r="B1726" s="0" t="n">
        <v>467903</v>
      </c>
      <c r="C1726" s="0" t="n">
        <v>3</v>
      </c>
      <c r="D1726" s="0" t="n">
        <v>12</v>
      </c>
      <c r="E1726" s="0" t="n">
        <v>394</v>
      </c>
      <c r="F1726" s="0" t="n">
        <v>37</v>
      </c>
      <c r="G1726" s="0" t="n">
        <v>45</v>
      </c>
      <c r="H1726" s="1" t="s">
        <v>3324</v>
      </c>
      <c r="I1726" s="1" t="s">
        <v>3358</v>
      </c>
      <c r="J1726" s="9" t="n">
        <v>45906</v>
      </c>
      <c r="K1726" s="0" t="s">
        <v>3359</v>
      </c>
      <c r="L1726" s="0" t="n">
        <v>18</v>
      </c>
      <c r="M1726" s="10"/>
      <c r="N1726" s="10"/>
      <c r="O1726" s="0" t="str">
        <f aca="false">VLOOKUP(C1726,statusdetails!$A:$D,4,0)</f>
        <v>STANDBY</v>
      </c>
      <c r="P1726" s="0" t="str">
        <f aca="false">VLOOKUP(F1726,equipment!$A:$E,4,0)</f>
        <v>DZ201</v>
      </c>
      <c r="Q1726" s="0" t="str">
        <f aca="false">VLOOKUP(F1726,equipment!$A:$E,5,0)</f>
        <v>DZ201 - 37</v>
      </c>
    </row>
    <row r="1727" customFormat="false" ht="12.8" hidden="false" customHeight="false" outlineLevel="0" collapsed="false">
      <c r="A1727" s="0" t="n">
        <v>467904</v>
      </c>
      <c r="B1727" s="0" t="n">
        <v>467904</v>
      </c>
      <c r="C1727" s="0" t="n">
        <v>3</v>
      </c>
      <c r="D1727" s="0" t="n">
        <v>12</v>
      </c>
      <c r="E1727" s="0" t="n">
        <v>608</v>
      </c>
      <c r="F1727" s="0" t="n">
        <v>41</v>
      </c>
      <c r="G1727" s="0" t="n">
        <v>31</v>
      </c>
      <c r="H1727" s="1" t="s">
        <v>3350</v>
      </c>
      <c r="I1727" s="1" t="s">
        <v>3360</v>
      </c>
      <c r="J1727" s="9" t="n">
        <v>45906</v>
      </c>
      <c r="K1727" s="0" t="s">
        <v>3361</v>
      </c>
      <c r="L1727" s="0" t="n">
        <v>18</v>
      </c>
      <c r="M1727" s="10"/>
      <c r="N1727" s="10"/>
      <c r="O1727" s="0" t="str">
        <f aca="false">VLOOKUP(C1727,statusdetails!$A:$D,4,0)</f>
        <v>STANDBY</v>
      </c>
      <c r="P1727" s="0" t="str">
        <f aca="false">VLOOKUP(F1727,equipment!$A:$E,4,0)</f>
        <v>MO102</v>
      </c>
      <c r="Q1727" s="0" t="str">
        <f aca="false">VLOOKUP(F1727,equipment!$A:$E,5,0)</f>
        <v>MO102 - 41</v>
      </c>
    </row>
    <row r="1728" customFormat="false" ht="12.8" hidden="false" customHeight="false" outlineLevel="0" collapsed="false">
      <c r="A1728" s="0" t="n">
        <v>467905</v>
      </c>
      <c r="B1728" s="0" t="n">
        <v>467905</v>
      </c>
      <c r="C1728" s="0" t="n">
        <v>3</v>
      </c>
      <c r="D1728" s="0" t="n">
        <v>14</v>
      </c>
      <c r="E1728" s="0" t="n">
        <v>1789</v>
      </c>
      <c r="F1728" s="0" t="n">
        <v>32</v>
      </c>
      <c r="G1728" s="0" t="n">
        <v>23</v>
      </c>
      <c r="H1728" s="1" t="s">
        <v>3332</v>
      </c>
      <c r="I1728" s="1" t="s">
        <v>3362</v>
      </c>
      <c r="J1728" s="9" t="n">
        <v>45906</v>
      </c>
      <c r="K1728" s="0" t="s">
        <v>3363</v>
      </c>
      <c r="L1728" s="0" t="n">
        <v>18</v>
      </c>
      <c r="M1728" s="10"/>
      <c r="N1728" s="10"/>
      <c r="O1728" s="0" t="str">
        <f aca="false">VLOOKUP(C1728,statusdetails!$A:$D,4,0)</f>
        <v>STANDBY</v>
      </c>
      <c r="P1728" s="0" t="str">
        <f aca="false">VLOOKUP(F1728,equipment!$A:$E,4,0)</f>
        <v>CM403</v>
      </c>
      <c r="Q1728" s="0" t="str">
        <f aca="false">VLOOKUP(F1728,equipment!$A:$E,5,0)</f>
        <v>CM403 - 32</v>
      </c>
    </row>
    <row r="1729" customFormat="false" ht="12.8" hidden="false" customHeight="false" outlineLevel="0" collapsed="false">
      <c r="A1729" s="0" t="n">
        <v>467906</v>
      </c>
      <c r="B1729" s="0" t="n">
        <v>467906</v>
      </c>
      <c r="C1729" s="0" t="n">
        <v>3</v>
      </c>
      <c r="D1729" s="0" t="n">
        <v>14</v>
      </c>
      <c r="E1729" s="0" t="n">
        <v>1789</v>
      </c>
      <c r="F1729" s="0" t="n">
        <v>66</v>
      </c>
      <c r="G1729" s="0" t="n">
        <v>47</v>
      </c>
      <c r="H1729" s="1" t="s">
        <v>3315</v>
      </c>
      <c r="I1729" s="1" t="s">
        <v>3364</v>
      </c>
      <c r="J1729" s="9" t="n">
        <v>45906</v>
      </c>
      <c r="K1729" s="0" t="s">
        <v>3365</v>
      </c>
      <c r="L1729" s="0" t="n">
        <v>18</v>
      </c>
      <c r="M1729" s="10"/>
      <c r="N1729" s="10"/>
      <c r="O1729" s="0" t="str">
        <f aca="false">VLOOKUP(C1729,statusdetails!$A:$D,4,0)</f>
        <v>STANDBY</v>
      </c>
      <c r="P1729" s="0" t="str">
        <f aca="false">VLOOKUP(F1729,equipment!$A:$E,4,0)</f>
        <v>CM407</v>
      </c>
      <c r="Q1729" s="0" t="str">
        <f aca="false">VLOOKUP(F1729,equipment!$A:$E,5,0)</f>
        <v>CM407 - 66</v>
      </c>
    </row>
    <row r="1730" customFormat="false" ht="12.8" hidden="false" customHeight="false" outlineLevel="0" collapsed="false">
      <c r="A1730" s="0" t="n">
        <v>467907</v>
      </c>
      <c r="B1730" s="0" t="n">
        <v>467907</v>
      </c>
      <c r="C1730" s="0" t="n">
        <v>3</v>
      </c>
      <c r="D1730" s="0" t="n">
        <v>14</v>
      </c>
      <c r="E1730" s="0" t="n">
        <v>2392</v>
      </c>
      <c r="F1730" s="0" t="n">
        <v>82</v>
      </c>
      <c r="G1730" s="0" t="n">
        <v>88</v>
      </c>
      <c r="H1730" s="1" t="s">
        <v>3327</v>
      </c>
      <c r="I1730" s="1" t="s">
        <v>3366</v>
      </c>
      <c r="J1730" s="9" t="n">
        <v>45906</v>
      </c>
      <c r="K1730" s="0" t="s">
        <v>3367</v>
      </c>
      <c r="L1730" s="0" t="n">
        <v>18</v>
      </c>
      <c r="M1730" s="10"/>
      <c r="N1730" s="10"/>
      <c r="O1730" s="0" t="str">
        <f aca="false">VLOOKUP(C1730,statusdetails!$A:$D,4,0)</f>
        <v>STANDBY</v>
      </c>
      <c r="P1730" s="0" t="str">
        <f aca="false">VLOOKUP(F1730,equipment!$A:$E,4,0)</f>
        <v>EX502</v>
      </c>
      <c r="Q1730" s="0" t="str">
        <f aca="false">VLOOKUP(F1730,equipment!$A:$E,5,0)</f>
        <v>EX502 - 82</v>
      </c>
    </row>
    <row r="1731" customFormat="false" ht="12.8" hidden="false" customHeight="false" outlineLevel="0" collapsed="false">
      <c r="A1731" s="0" t="n">
        <v>467908</v>
      </c>
      <c r="B1731" s="0" t="n">
        <v>467908</v>
      </c>
      <c r="C1731" s="0" t="n">
        <v>3</v>
      </c>
      <c r="D1731" s="0" t="n">
        <v>14</v>
      </c>
      <c r="E1731" s="0" t="n">
        <v>1789</v>
      </c>
      <c r="F1731" s="0" t="n">
        <v>35</v>
      </c>
      <c r="G1731" s="0" t="n">
        <v>15</v>
      </c>
      <c r="H1731" s="1" t="s">
        <v>3330</v>
      </c>
      <c r="I1731" s="1" t="s">
        <v>3368</v>
      </c>
      <c r="J1731" s="9" t="n">
        <v>45906</v>
      </c>
      <c r="K1731" s="0" t="s">
        <v>3369</v>
      </c>
      <c r="L1731" s="0" t="n">
        <v>18</v>
      </c>
      <c r="M1731" s="10"/>
      <c r="N1731" s="10"/>
      <c r="O1731" s="0" t="str">
        <f aca="false">VLOOKUP(C1731,statusdetails!$A:$D,4,0)</f>
        <v>STANDBY</v>
      </c>
      <c r="P1731" s="0" t="str">
        <f aca="false">VLOOKUP(F1731,equipment!$A:$E,4,0)</f>
        <v>CM405</v>
      </c>
      <c r="Q1731" s="0" t="str">
        <f aca="false">VLOOKUP(F1731,equipment!$A:$E,5,0)</f>
        <v>CM405 - 35</v>
      </c>
    </row>
    <row r="1732" customFormat="false" ht="12.8" hidden="false" customHeight="false" outlineLevel="0" collapsed="false">
      <c r="A1732" s="0" t="n">
        <v>467909</v>
      </c>
      <c r="B1732" s="0" t="n">
        <v>467909</v>
      </c>
      <c r="C1732" s="0" t="n">
        <v>3</v>
      </c>
      <c r="D1732" s="0" t="n">
        <v>14</v>
      </c>
      <c r="E1732" s="0" t="n">
        <v>1789</v>
      </c>
      <c r="F1732" s="0" t="n">
        <v>32</v>
      </c>
      <c r="G1732" s="0" t="n">
        <v>23</v>
      </c>
      <c r="H1732" s="1" t="s">
        <v>3362</v>
      </c>
      <c r="I1732" s="1" t="s">
        <v>3370</v>
      </c>
      <c r="J1732" s="9" t="n">
        <v>45906</v>
      </c>
      <c r="K1732" s="0" t="s">
        <v>3371</v>
      </c>
      <c r="L1732" s="0" t="n">
        <v>18</v>
      </c>
      <c r="M1732" s="10"/>
      <c r="N1732" s="10"/>
      <c r="O1732" s="0" t="str">
        <f aca="false">VLOOKUP(C1732,statusdetails!$A:$D,4,0)</f>
        <v>STANDBY</v>
      </c>
      <c r="P1732" s="0" t="str">
        <f aca="false">VLOOKUP(F1732,equipment!$A:$E,4,0)</f>
        <v>CM403</v>
      </c>
      <c r="Q1732" s="0" t="str">
        <f aca="false">VLOOKUP(F1732,equipment!$A:$E,5,0)</f>
        <v>CM403 - 32</v>
      </c>
    </row>
    <row r="1733" customFormat="false" ht="12.8" hidden="false" customHeight="false" outlineLevel="0" collapsed="false">
      <c r="A1733" s="0" t="n">
        <v>467910</v>
      </c>
      <c r="B1733" s="0" t="n">
        <v>467910</v>
      </c>
      <c r="C1733" s="0" t="n">
        <v>3</v>
      </c>
      <c r="D1733" s="0" t="n">
        <v>14</v>
      </c>
      <c r="E1733" s="0" t="n">
        <v>1790</v>
      </c>
      <c r="F1733" s="0" t="n">
        <v>45</v>
      </c>
      <c r="G1733" s="0" t="n">
        <v>156</v>
      </c>
      <c r="H1733" s="1" t="s">
        <v>3317</v>
      </c>
      <c r="I1733" s="1" t="s">
        <v>3372</v>
      </c>
      <c r="J1733" s="9" t="n">
        <v>45906</v>
      </c>
      <c r="K1733" s="0" t="s">
        <v>3373</v>
      </c>
      <c r="L1733" s="0" t="n">
        <v>18</v>
      </c>
      <c r="M1733" s="10"/>
      <c r="N1733" s="10"/>
      <c r="O1733" s="0" t="str">
        <f aca="false">VLOOKUP(C1733,statusdetails!$A:$D,4,0)</f>
        <v>STANDBY</v>
      </c>
      <c r="P1733" s="0" t="str">
        <f aca="false">VLOOKUP(F1733,equipment!$A:$E,4,0)</f>
        <v>EX501</v>
      </c>
      <c r="Q1733" s="0" t="str">
        <f aca="false">VLOOKUP(F1733,equipment!$A:$E,5,0)</f>
        <v>EX501 - 45</v>
      </c>
    </row>
    <row r="1734" customFormat="false" ht="12.8" hidden="false" customHeight="false" outlineLevel="0" collapsed="false">
      <c r="A1734" s="0" t="n">
        <v>467911</v>
      </c>
      <c r="B1734" s="0" t="n">
        <v>467911</v>
      </c>
      <c r="C1734" s="0" t="n">
        <v>3</v>
      </c>
      <c r="D1734" s="0" t="n">
        <v>14</v>
      </c>
      <c r="E1734" s="0" t="n">
        <v>2406</v>
      </c>
      <c r="F1734" s="0" t="n">
        <v>89</v>
      </c>
      <c r="G1734" s="0" t="n">
        <v>155</v>
      </c>
      <c r="H1734" s="1" t="s">
        <v>3348</v>
      </c>
      <c r="I1734" s="1" t="s">
        <v>3374</v>
      </c>
      <c r="J1734" s="9" t="n">
        <v>45906</v>
      </c>
      <c r="K1734" s="0" t="s">
        <v>3375</v>
      </c>
      <c r="L1734" s="0" t="n">
        <v>18</v>
      </c>
      <c r="M1734" s="10"/>
      <c r="N1734" s="10"/>
      <c r="O1734" s="0" t="str">
        <f aca="false">VLOOKUP(C1734,statusdetails!$A:$D,4,0)</f>
        <v>STANDBY</v>
      </c>
      <c r="P1734" s="0" t="str">
        <f aca="false">VLOOKUP(F1734,equipment!$A:$E,4,0)</f>
        <v>CM06</v>
      </c>
      <c r="Q1734" s="0" t="str">
        <f aca="false">VLOOKUP(F1734,equipment!$A:$E,5,0)</f>
        <v>CM06 - 89</v>
      </c>
    </row>
    <row r="1735" customFormat="false" ht="12.8" hidden="true" customHeight="false" outlineLevel="0" collapsed="false">
      <c r="A1735" s="0" t="n">
        <v>467912</v>
      </c>
      <c r="B1735" s="0" t="n">
        <v>467912</v>
      </c>
      <c r="C1735" s="0" t="n">
        <v>1</v>
      </c>
      <c r="D1735" s="0" t="n">
        <v>6</v>
      </c>
      <c r="E1735" s="0" t="n">
        <v>372</v>
      </c>
      <c r="F1735" s="0" t="n">
        <v>91</v>
      </c>
      <c r="G1735" s="0" t="n">
        <v>54</v>
      </c>
      <c r="H1735" s="0" t="s">
        <v>3356</v>
      </c>
      <c r="I1735" s="0" t="s">
        <v>3376</v>
      </c>
      <c r="J1735" s="9" t="n">
        <v>45906</v>
      </c>
      <c r="K1735" s="0" t="s">
        <v>3377</v>
      </c>
      <c r="L1735" s="0" t="n">
        <v>18</v>
      </c>
      <c r="M1735" s="10"/>
      <c r="N1735" s="10"/>
      <c r="O1735" s="0" t="str">
        <f aca="false">VLOOKUP(C1735,statusdetails!$A:$D,4,0)</f>
        <v>READY</v>
      </c>
    </row>
    <row r="1736" customFormat="false" ht="12.8" hidden="false" customHeight="false" outlineLevel="0" collapsed="false">
      <c r="A1736" s="0" t="n">
        <v>467913</v>
      </c>
      <c r="B1736" s="0" t="n">
        <v>467913</v>
      </c>
      <c r="C1736" s="0" t="n">
        <v>3</v>
      </c>
      <c r="D1736" s="0" t="n">
        <v>14</v>
      </c>
      <c r="E1736" s="0" t="n">
        <v>2083</v>
      </c>
      <c r="F1736" s="0" t="n">
        <v>43</v>
      </c>
      <c r="G1736" s="0" t="n">
        <v>36</v>
      </c>
      <c r="H1736" s="1" t="s">
        <v>3344</v>
      </c>
      <c r="I1736" s="1" t="s">
        <v>3378</v>
      </c>
      <c r="J1736" s="9" t="n">
        <v>45906</v>
      </c>
      <c r="K1736" s="0" t="s">
        <v>3379</v>
      </c>
      <c r="L1736" s="0" t="n">
        <v>18</v>
      </c>
      <c r="M1736" s="10"/>
      <c r="N1736" s="10"/>
      <c r="O1736" s="0" t="str">
        <f aca="false">VLOOKUP(C1736,statusdetails!$A:$D,4,0)</f>
        <v>STANDBY</v>
      </c>
      <c r="P1736" s="0" t="str">
        <f aca="false">VLOOKUP(F1736,equipment!$A:$E,4,0)</f>
        <v>PE302</v>
      </c>
      <c r="Q1736" s="0" t="str">
        <f aca="false">VLOOKUP(F1736,equipment!$A:$E,5,0)</f>
        <v>PE302 - 43</v>
      </c>
    </row>
    <row r="1737" customFormat="false" ht="12.8" hidden="false" customHeight="false" outlineLevel="0" collapsed="false">
      <c r="A1737" s="0" t="n">
        <v>467914</v>
      </c>
      <c r="B1737" s="0" t="n">
        <v>467914</v>
      </c>
      <c r="C1737" s="0" t="n">
        <v>3</v>
      </c>
      <c r="D1737" s="0" t="n">
        <v>14</v>
      </c>
      <c r="E1737" s="0" t="n">
        <v>2406</v>
      </c>
      <c r="F1737" s="0" t="n">
        <v>88</v>
      </c>
      <c r="G1737" s="0" t="n">
        <v>151</v>
      </c>
      <c r="H1737" s="1" t="s">
        <v>3291</v>
      </c>
      <c r="I1737" s="1" t="s">
        <v>3380</v>
      </c>
      <c r="J1737" s="9" t="n">
        <v>45906</v>
      </c>
      <c r="K1737" s="0" t="s">
        <v>3381</v>
      </c>
      <c r="L1737" s="0" t="n">
        <v>18</v>
      </c>
      <c r="M1737" s="10"/>
      <c r="N1737" s="10"/>
      <c r="O1737" s="0" t="str">
        <f aca="false">VLOOKUP(C1737,statusdetails!$A:$D,4,0)</f>
        <v>STANDBY</v>
      </c>
      <c r="P1737" s="0" t="str">
        <f aca="false">VLOOKUP(F1737,equipment!$A:$E,4,0)</f>
        <v>CM05</v>
      </c>
      <c r="Q1737" s="0" t="str">
        <f aca="false">VLOOKUP(F1737,equipment!$A:$E,5,0)</f>
        <v>CM05 - 88</v>
      </c>
    </row>
    <row r="1738" customFormat="false" ht="12.8" hidden="true" customHeight="false" outlineLevel="0" collapsed="false">
      <c r="A1738" s="0" t="n">
        <v>467915</v>
      </c>
      <c r="B1738" s="0" t="n">
        <v>467915</v>
      </c>
      <c r="C1738" s="0" t="n">
        <v>1</v>
      </c>
      <c r="D1738" s="0" t="n">
        <v>6</v>
      </c>
      <c r="E1738" s="0" t="n">
        <v>260</v>
      </c>
      <c r="F1738" s="0" t="n">
        <v>32</v>
      </c>
      <c r="G1738" s="0" t="n">
        <v>67</v>
      </c>
      <c r="H1738" s="0" t="s">
        <v>3370</v>
      </c>
      <c r="I1738" s="0" t="s">
        <v>3382</v>
      </c>
      <c r="J1738" s="9" t="n">
        <v>45906</v>
      </c>
      <c r="K1738" s="0" t="s">
        <v>3383</v>
      </c>
      <c r="L1738" s="0" t="n">
        <v>18</v>
      </c>
      <c r="M1738" s="10"/>
      <c r="N1738" s="10"/>
      <c r="O1738" s="0" t="str">
        <f aca="false">VLOOKUP(C1738,statusdetails!$A:$D,4,0)</f>
        <v>READY</v>
      </c>
    </row>
    <row r="1739" customFormat="false" ht="12.8" hidden="false" customHeight="false" outlineLevel="0" collapsed="false">
      <c r="A1739" s="0" t="n">
        <v>467916</v>
      </c>
      <c r="B1739" s="0" t="n">
        <v>467916</v>
      </c>
      <c r="C1739" s="0" t="n">
        <v>3</v>
      </c>
      <c r="D1739" s="0" t="n">
        <v>14</v>
      </c>
      <c r="E1739" s="0" t="n">
        <v>2406</v>
      </c>
      <c r="F1739" s="0" t="n">
        <v>84</v>
      </c>
      <c r="G1739" s="0" t="n">
        <v>82</v>
      </c>
      <c r="H1739" s="1" t="s">
        <v>3339</v>
      </c>
      <c r="I1739" s="1" t="s">
        <v>3384</v>
      </c>
      <c r="J1739" s="9" t="n">
        <v>45906</v>
      </c>
      <c r="K1739" s="0" t="s">
        <v>3385</v>
      </c>
      <c r="L1739" s="0" t="n">
        <v>18</v>
      </c>
      <c r="M1739" s="10"/>
      <c r="N1739" s="10"/>
      <c r="O1739" s="0" t="str">
        <f aca="false">VLOOKUP(C1739,statusdetails!$A:$D,4,0)</f>
        <v>STANDBY</v>
      </c>
      <c r="P1739" s="0" t="str">
        <f aca="false">VLOOKUP(F1739,equipment!$A:$E,4,0)</f>
        <v>CM01</v>
      </c>
      <c r="Q1739" s="0" t="str">
        <f aca="false">VLOOKUP(F1739,equipment!$A:$E,5,0)</f>
        <v>CM01 - 84</v>
      </c>
    </row>
    <row r="1740" customFormat="false" ht="12.8" hidden="false" customHeight="false" outlineLevel="0" collapsed="false">
      <c r="A1740" s="0" t="n">
        <v>467917</v>
      </c>
      <c r="B1740" s="0" t="n">
        <v>467917</v>
      </c>
      <c r="C1740" s="0" t="n">
        <v>3</v>
      </c>
      <c r="D1740" s="0" t="n">
        <v>14</v>
      </c>
      <c r="E1740" s="0" t="n">
        <v>2392</v>
      </c>
      <c r="F1740" s="0" t="n">
        <v>96</v>
      </c>
      <c r="G1740" s="0" t="n">
        <v>89</v>
      </c>
      <c r="H1740" s="1" t="s">
        <v>3293</v>
      </c>
      <c r="I1740" s="1" t="s">
        <v>3386</v>
      </c>
      <c r="J1740" s="9" t="n">
        <v>45906</v>
      </c>
      <c r="K1740" s="0" t="s">
        <v>3387</v>
      </c>
      <c r="L1740" s="0" t="n">
        <v>18</v>
      </c>
      <c r="M1740" s="10"/>
      <c r="N1740" s="10"/>
      <c r="O1740" s="0" t="str">
        <f aca="false">VLOOKUP(C1740,statusdetails!$A:$D,4,0)</f>
        <v>STANDBY</v>
      </c>
      <c r="P1740" s="0" t="str">
        <f aca="false">VLOOKUP(F1740,equipment!$A:$E,4,0)</f>
        <v>EX503</v>
      </c>
      <c r="Q1740" s="0" t="str">
        <f aca="false">VLOOKUP(F1740,equipment!$A:$E,5,0)</f>
        <v>EX503 - 96</v>
      </c>
    </row>
    <row r="1741" customFormat="false" ht="12.8" hidden="false" customHeight="false" outlineLevel="0" collapsed="false">
      <c r="A1741" s="0" t="n">
        <v>467918</v>
      </c>
      <c r="B1741" s="0" t="n">
        <v>467918</v>
      </c>
      <c r="C1741" s="0" t="n">
        <v>3</v>
      </c>
      <c r="D1741" s="0" t="n">
        <v>14</v>
      </c>
      <c r="E1741" s="0" t="n">
        <v>1789</v>
      </c>
      <c r="F1741" s="0" t="n">
        <v>33</v>
      </c>
      <c r="G1741" s="0" t="n">
        <v>98</v>
      </c>
      <c r="H1741" s="1" t="s">
        <v>3280</v>
      </c>
      <c r="I1741" s="1" t="s">
        <v>3388</v>
      </c>
      <c r="J1741" s="9" t="n">
        <v>45906</v>
      </c>
      <c r="K1741" s="0" t="s">
        <v>3389</v>
      </c>
      <c r="L1741" s="0" t="n">
        <v>18</v>
      </c>
      <c r="M1741" s="10"/>
      <c r="N1741" s="10"/>
      <c r="O1741" s="0" t="str">
        <f aca="false">VLOOKUP(C1741,statusdetails!$A:$D,4,0)</f>
        <v>STANDBY</v>
      </c>
      <c r="P1741" s="0" t="str">
        <f aca="false">VLOOKUP(F1741,equipment!$A:$E,4,0)</f>
        <v>CM406</v>
      </c>
      <c r="Q1741" s="0" t="str">
        <f aca="false">VLOOKUP(F1741,equipment!$A:$E,5,0)</f>
        <v>CM406 - 33</v>
      </c>
    </row>
    <row r="1742" customFormat="false" ht="12.8" hidden="false" customHeight="false" outlineLevel="0" collapsed="false">
      <c r="A1742" s="0" t="n">
        <v>467919</v>
      </c>
      <c r="B1742" s="0" t="n">
        <v>467919</v>
      </c>
      <c r="C1742" s="0" t="n">
        <v>3</v>
      </c>
      <c r="D1742" s="0" t="n">
        <v>14</v>
      </c>
      <c r="E1742" s="0" t="n">
        <v>2406</v>
      </c>
      <c r="F1742" s="0" t="n">
        <v>88</v>
      </c>
      <c r="G1742" s="0" t="n">
        <v>151</v>
      </c>
      <c r="H1742" s="1" t="s">
        <v>3380</v>
      </c>
      <c r="I1742" s="1" t="s">
        <v>3390</v>
      </c>
      <c r="J1742" s="9" t="n">
        <v>45906</v>
      </c>
      <c r="K1742" s="0" t="s">
        <v>3391</v>
      </c>
      <c r="L1742" s="0" t="n">
        <v>18</v>
      </c>
      <c r="M1742" s="10"/>
      <c r="N1742" s="10"/>
      <c r="O1742" s="0" t="str">
        <f aca="false">VLOOKUP(C1742,statusdetails!$A:$D,4,0)</f>
        <v>STANDBY</v>
      </c>
      <c r="P1742" s="0" t="str">
        <f aca="false">VLOOKUP(F1742,equipment!$A:$E,4,0)</f>
        <v>CM05</v>
      </c>
      <c r="Q1742" s="0" t="str">
        <f aca="false">VLOOKUP(F1742,equipment!$A:$E,5,0)</f>
        <v>CM05 - 88</v>
      </c>
    </row>
    <row r="1743" customFormat="false" ht="12.8" hidden="true" customHeight="false" outlineLevel="0" collapsed="false">
      <c r="A1743" s="0" t="n">
        <v>467920</v>
      </c>
      <c r="B1743" s="0" t="n">
        <v>467920</v>
      </c>
      <c r="C1743" s="0" t="n">
        <v>1</v>
      </c>
      <c r="D1743" s="0" t="n">
        <v>6</v>
      </c>
      <c r="E1743" s="0" t="n">
        <v>2404</v>
      </c>
      <c r="F1743" s="0" t="n">
        <v>84</v>
      </c>
      <c r="G1743" s="0" t="n">
        <v>82</v>
      </c>
      <c r="H1743" s="0" t="s">
        <v>3384</v>
      </c>
      <c r="I1743" s="0" t="s">
        <v>3392</v>
      </c>
      <c r="J1743" s="9" t="n">
        <v>45906</v>
      </c>
      <c r="K1743" s="0" t="s">
        <v>3393</v>
      </c>
      <c r="L1743" s="0" t="n">
        <v>18</v>
      </c>
      <c r="M1743" s="10"/>
      <c r="N1743" s="10"/>
      <c r="O1743" s="0" t="str">
        <f aca="false">VLOOKUP(C1743,statusdetails!$A:$D,4,0)</f>
        <v>READY</v>
      </c>
    </row>
    <row r="1744" customFormat="false" ht="12.8" hidden="true" customHeight="false" outlineLevel="0" collapsed="false">
      <c r="A1744" s="0" t="n">
        <v>467921</v>
      </c>
      <c r="B1744" s="0" t="n">
        <v>467921</v>
      </c>
      <c r="C1744" s="0" t="n">
        <v>1</v>
      </c>
      <c r="D1744" s="0" t="n">
        <v>6</v>
      </c>
      <c r="E1744" s="0" t="n">
        <v>2404</v>
      </c>
      <c r="F1744" s="0" t="n">
        <v>88</v>
      </c>
      <c r="G1744" s="0" t="n">
        <v>151</v>
      </c>
      <c r="H1744" s="0" t="s">
        <v>3390</v>
      </c>
      <c r="I1744" s="0" t="s">
        <v>3394</v>
      </c>
      <c r="J1744" s="9" t="n">
        <v>45906</v>
      </c>
      <c r="K1744" s="0" t="s">
        <v>3395</v>
      </c>
      <c r="L1744" s="0" t="n">
        <v>18</v>
      </c>
      <c r="M1744" s="10"/>
      <c r="N1744" s="10"/>
      <c r="O1744" s="0" t="str">
        <f aca="false">VLOOKUP(C1744,statusdetails!$A:$D,4,0)</f>
        <v>READY</v>
      </c>
    </row>
    <row r="1745" customFormat="false" ht="12.8" hidden="true" customHeight="false" outlineLevel="0" collapsed="false">
      <c r="A1745" s="0" t="n">
        <v>467922</v>
      </c>
      <c r="B1745" s="0" t="n">
        <v>467922</v>
      </c>
      <c r="C1745" s="0" t="n">
        <v>1</v>
      </c>
      <c r="D1745" s="0" t="n">
        <v>6</v>
      </c>
      <c r="E1745" s="0" t="n">
        <v>2518</v>
      </c>
      <c r="F1745" s="0" t="n">
        <v>96</v>
      </c>
      <c r="G1745" s="0" t="n">
        <v>89</v>
      </c>
      <c r="H1745" s="0" t="s">
        <v>3386</v>
      </c>
      <c r="I1745" s="0" t="s">
        <v>3396</v>
      </c>
      <c r="J1745" s="9" t="n">
        <v>45906</v>
      </c>
      <c r="K1745" s="0" t="s">
        <v>3397</v>
      </c>
      <c r="L1745" s="0" t="n">
        <v>18</v>
      </c>
      <c r="M1745" s="10"/>
      <c r="N1745" s="10"/>
      <c r="O1745" s="0" t="str">
        <f aca="false">VLOOKUP(C1745,statusdetails!$A:$D,4,0)</f>
        <v>READY</v>
      </c>
    </row>
    <row r="1746" customFormat="false" ht="12.8" hidden="true" customHeight="false" outlineLevel="0" collapsed="false">
      <c r="A1746" s="0" t="n">
        <v>467923</v>
      </c>
      <c r="B1746" s="0" t="n">
        <v>467923</v>
      </c>
      <c r="C1746" s="0" t="n">
        <v>1</v>
      </c>
      <c r="D1746" s="0" t="n">
        <v>6</v>
      </c>
      <c r="E1746" s="0" t="n">
        <v>260</v>
      </c>
      <c r="F1746" s="0" t="n">
        <v>66</v>
      </c>
      <c r="G1746" s="0" t="n">
        <v>66</v>
      </c>
      <c r="H1746" s="0" t="s">
        <v>3364</v>
      </c>
      <c r="I1746" s="0" t="s">
        <v>3398</v>
      </c>
      <c r="J1746" s="9" t="n">
        <v>45906</v>
      </c>
      <c r="K1746" s="0" t="s">
        <v>3399</v>
      </c>
      <c r="L1746" s="0" t="n">
        <v>18</v>
      </c>
      <c r="M1746" s="10"/>
      <c r="N1746" s="10"/>
      <c r="O1746" s="0" t="str">
        <f aca="false">VLOOKUP(C1746,statusdetails!$A:$D,4,0)</f>
        <v>READY</v>
      </c>
    </row>
    <row r="1747" customFormat="false" ht="12.8" hidden="true" customHeight="false" outlineLevel="0" collapsed="false">
      <c r="A1747" s="0" t="n">
        <v>467924</v>
      </c>
      <c r="B1747" s="0" t="n">
        <v>467924</v>
      </c>
      <c r="C1747" s="0" t="n">
        <v>1</v>
      </c>
      <c r="D1747" s="0" t="n">
        <v>6</v>
      </c>
      <c r="E1747" s="0" t="n">
        <v>260</v>
      </c>
      <c r="F1747" s="0" t="n">
        <v>35</v>
      </c>
      <c r="G1747" s="0" t="n">
        <v>62</v>
      </c>
      <c r="H1747" s="0" t="s">
        <v>3368</v>
      </c>
      <c r="I1747" s="0" t="s">
        <v>3400</v>
      </c>
      <c r="J1747" s="9" t="n">
        <v>45906</v>
      </c>
      <c r="K1747" s="0" t="s">
        <v>3401</v>
      </c>
      <c r="L1747" s="0" t="n">
        <v>18</v>
      </c>
      <c r="M1747" s="10"/>
      <c r="N1747" s="10"/>
      <c r="O1747" s="0" t="str">
        <f aca="false">VLOOKUP(C1747,statusdetails!$A:$D,4,0)</f>
        <v>READY</v>
      </c>
    </row>
    <row r="1748" customFormat="false" ht="12.8" hidden="true" customHeight="false" outlineLevel="0" collapsed="false">
      <c r="A1748" s="0" t="n">
        <v>467925</v>
      </c>
      <c r="B1748" s="0" t="n">
        <v>467925</v>
      </c>
      <c r="C1748" s="0" t="n">
        <v>1</v>
      </c>
      <c r="D1748" s="0" t="n">
        <v>6</v>
      </c>
      <c r="E1748" s="0" t="n">
        <v>2518</v>
      </c>
      <c r="F1748" s="0" t="n">
        <v>82</v>
      </c>
      <c r="G1748" s="0" t="n">
        <v>107</v>
      </c>
      <c r="H1748" s="0" t="s">
        <v>3366</v>
      </c>
      <c r="I1748" s="0" t="s">
        <v>3402</v>
      </c>
      <c r="J1748" s="9" t="n">
        <v>45906</v>
      </c>
      <c r="K1748" s="0" t="s">
        <v>3403</v>
      </c>
      <c r="L1748" s="0" t="n">
        <v>18</v>
      </c>
      <c r="M1748" s="10"/>
      <c r="N1748" s="10"/>
      <c r="O1748" s="0" t="str">
        <f aca="false">VLOOKUP(C1748,statusdetails!$A:$D,4,0)</f>
        <v>READY</v>
      </c>
    </row>
    <row r="1749" customFormat="false" ht="12.8" hidden="true" customHeight="false" outlineLevel="0" collapsed="false">
      <c r="A1749" s="0" t="n">
        <v>467926</v>
      </c>
      <c r="B1749" s="0" t="n">
        <v>467926</v>
      </c>
      <c r="C1749" s="0" t="n">
        <v>1</v>
      </c>
      <c r="D1749" s="0" t="n">
        <v>6</v>
      </c>
      <c r="E1749" s="0" t="n">
        <v>811</v>
      </c>
      <c r="F1749" s="0" t="n">
        <v>43</v>
      </c>
      <c r="G1749" s="0" t="n">
        <v>16</v>
      </c>
      <c r="H1749" s="0" t="s">
        <v>3378</v>
      </c>
      <c r="I1749" s="0" t="s">
        <v>3404</v>
      </c>
      <c r="J1749" s="9" t="n">
        <v>45906</v>
      </c>
      <c r="K1749" s="0" t="s">
        <v>3405</v>
      </c>
      <c r="L1749" s="0" t="n">
        <v>18</v>
      </c>
      <c r="M1749" s="10"/>
      <c r="N1749" s="10"/>
      <c r="O1749" s="0" t="str">
        <f aca="false">VLOOKUP(C1749,statusdetails!$A:$D,4,0)</f>
        <v>READY</v>
      </c>
    </row>
    <row r="1750" customFormat="false" ht="12.8" hidden="true" customHeight="false" outlineLevel="0" collapsed="false">
      <c r="A1750" s="0" t="n">
        <v>467927</v>
      </c>
      <c r="B1750" s="0" t="n">
        <v>467927</v>
      </c>
      <c r="C1750" s="0" t="n">
        <v>1</v>
      </c>
      <c r="D1750" s="0" t="n">
        <v>6</v>
      </c>
      <c r="E1750" s="0" t="n">
        <v>260</v>
      </c>
      <c r="F1750" s="0" t="n">
        <v>33</v>
      </c>
      <c r="G1750" s="0" t="n">
        <v>42</v>
      </c>
      <c r="H1750" s="0" t="s">
        <v>3388</v>
      </c>
      <c r="I1750" s="0" t="s">
        <v>3406</v>
      </c>
      <c r="J1750" s="9" t="n">
        <v>45906</v>
      </c>
      <c r="K1750" s="0" t="s">
        <v>3407</v>
      </c>
      <c r="L1750" s="0" t="n">
        <v>18</v>
      </c>
      <c r="M1750" s="10"/>
      <c r="N1750" s="10"/>
      <c r="O1750" s="0" t="str">
        <f aca="false">VLOOKUP(C1750,statusdetails!$A:$D,4,0)</f>
        <v>READY</v>
      </c>
    </row>
    <row r="1751" customFormat="false" ht="12.8" hidden="true" customHeight="false" outlineLevel="0" collapsed="false">
      <c r="A1751" s="0" t="n">
        <v>467928</v>
      </c>
      <c r="B1751" s="0" t="n">
        <v>467928</v>
      </c>
      <c r="C1751" s="0" t="n">
        <v>1</v>
      </c>
      <c r="D1751" s="0" t="n">
        <v>6</v>
      </c>
      <c r="E1751" s="0" t="n">
        <v>138</v>
      </c>
      <c r="F1751" s="0" t="n">
        <v>45</v>
      </c>
      <c r="G1751" s="0" t="n">
        <v>133</v>
      </c>
      <c r="H1751" s="0" t="s">
        <v>3372</v>
      </c>
      <c r="I1751" s="0" t="s">
        <v>3408</v>
      </c>
      <c r="J1751" s="9" t="n">
        <v>45906</v>
      </c>
      <c r="K1751" s="0" t="s">
        <v>3409</v>
      </c>
      <c r="L1751" s="0" t="n">
        <v>18</v>
      </c>
      <c r="M1751" s="10"/>
      <c r="N1751" s="10"/>
      <c r="O1751" s="0" t="str">
        <f aca="false">VLOOKUP(C1751,statusdetails!$A:$D,4,0)</f>
        <v>READY</v>
      </c>
    </row>
    <row r="1752" customFormat="false" ht="12.8" hidden="true" customHeight="false" outlineLevel="0" collapsed="false">
      <c r="A1752" s="0" t="n">
        <v>467929</v>
      </c>
      <c r="B1752" s="0" t="n">
        <v>467929</v>
      </c>
      <c r="C1752" s="0" t="n">
        <v>1</v>
      </c>
      <c r="D1752" s="0" t="n">
        <v>6</v>
      </c>
      <c r="E1752" s="0" t="n">
        <v>2404</v>
      </c>
      <c r="F1752" s="0" t="n">
        <v>89</v>
      </c>
      <c r="G1752" s="0" t="n">
        <v>155</v>
      </c>
      <c r="H1752" s="0" t="s">
        <v>3374</v>
      </c>
      <c r="I1752" s="0" t="s">
        <v>3410</v>
      </c>
      <c r="J1752" s="9" t="n">
        <v>45906</v>
      </c>
      <c r="K1752" s="0" t="s">
        <v>3411</v>
      </c>
      <c r="L1752" s="0" t="n">
        <v>18</v>
      </c>
      <c r="M1752" s="10"/>
      <c r="N1752" s="10"/>
      <c r="O1752" s="0" t="str">
        <f aca="false">VLOOKUP(C1752,statusdetails!$A:$D,4,0)</f>
        <v>READY</v>
      </c>
    </row>
    <row r="1753" customFormat="false" ht="12.8" hidden="false" customHeight="false" outlineLevel="0" collapsed="false">
      <c r="A1753" s="0" t="n">
        <v>467930</v>
      </c>
      <c r="B1753" s="0" t="n">
        <v>467930</v>
      </c>
      <c r="C1753" s="0" t="n">
        <v>3</v>
      </c>
      <c r="D1753" s="0" t="n">
        <v>14</v>
      </c>
      <c r="E1753" s="0" t="n">
        <v>2406</v>
      </c>
      <c r="F1753" s="0" t="n">
        <v>85</v>
      </c>
      <c r="G1753" s="0" t="n">
        <v>153</v>
      </c>
      <c r="H1753" s="1" t="s">
        <v>3341</v>
      </c>
      <c r="I1753" s="1" t="s">
        <v>3412</v>
      </c>
      <c r="J1753" s="9" t="n">
        <v>45906</v>
      </c>
      <c r="K1753" s="0" t="s">
        <v>3413</v>
      </c>
      <c r="L1753" s="0" t="n">
        <v>18</v>
      </c>
      <c r="M1753" s="10"/>
      <c r="N1753" s="10"/>
      <c r="O1753" s="0" t="str">
        <f aca="false">VLOOKUP(C1753,statusdetails!$A:$D,4,0)</f>
        <v>STANDBY</v>
      </c>
      <c r="P1753" s="0" t="str">
        <f aca="false">VLOOKUP(F1753,equipment!$A:$E,4,0)</f>
        <v>CM02</v>
      </c>
      <c r="Q1753" s="0" t="str">
        <f aca="false">VLOOKUP(F1753,equipment!$A:$E,5,0)</f>
        <v>CM02 - 85</v>
      </c>
    </row>
    <row r="1754" customFormat="false" ht="12.8" hidden="true" customHeight="false" outlineLevel="0" collapsed="false">
      <c r="A1754" s="0" t="n">
        <v>467931</v>
      </c>
      <c r="B1754" s="0" t="n">
        <v>467931</v>
      </c>
      <c r="C1754" s="0" t="n">
        <v>1</v>
      </c>
      <c r="D1754" s="0" t="n">
        <v>6</v>
      </c>
      <c r="E1754" s="0" t="n">
        <v>2404</v>
      </c>
      <c r="F1754" s="0" t="n">
        <v>85</v>
      </c>
      <c r="G1754" s="0" t="n">
        <v>147</v>
      </c>
      <c r="H1754" s="0" t="s">
        <v>3412</v>
      </c>
      <c r="I1754" s="0" t="s">
        <v>3414</v>
      </c>
      <c r="J1754" s="9" t="n">
        <v>45906</v>
      </c>
      <c r="K1754" s="0" t="s">
        <v>3415</v>
      </c>
      <c r="L1754" s="0" t="n">
        <v>19</v>
      </c>
      <c r="M1754" s="10"/>
      <c r="N1754" s="10"/>
      <c r="O1754" s="0" t="str">
        <f aca="false">VLOOKUP(C1754,statusdetails!$A:$D,4,0)</f>
        <v>READY</v>
      </c>
    </row>
    <row r="1755" customFormat="false" ht="12.8" hidden="true" customHeight="false" outlineLevel="0" collapsed="false">
      <c r="A1755" s="0" t="n">
        <v>467932</v>
      </c>
      <c r="B1755" s="0" t="n">
        <v>467932</v>
      </c>
      <c r="C1755" s="0" t="n">
        <v>1</v>
      </c>
      <c r="D1755" s="0" t="n">
        <v>6</v>
      </c>
      <c r="E1755" s="0" t="n">
        <v>372</v>
      </c>
      <c r="F1755" s="0" t="n">
        <v>37</v>
      </c>
      <c r="G1755" s="0" t="n">
        <v>61</v>
      </c>
      <c r="H1755" s="0" t="s">
        <v>3358</v>
      </c>
      <c r="I1755" s="0" t="s">
        <v>3416</v>
      </c>
      <c r="J1755" s="9" t="n">
        <v>45906</v>
      </c>
      <c r="K1755" s="0" t="s">
        <v>3417</v>
      </c>
      <c r="L1755" s="0" t="n">
        <v>19</v>
      </c>
      <c r="M1755" s="10"/>
      <c r="N1755" s="10"/>
      <c r="O1755" s="0" t="str">
        <f aca="false">VLOOKUP(C1755,statusdetails!$A:$D,4,0)</f>
        <v>READY</v>
      </c>
    </row>
    <row r="1756" customFormat="false" ht="12.8" hidden="true" customHeight="false" outlineLevel="0" collapsed="false">
      <c r="A1756" s="0" t="n">
        <v>467933</v>
      </c>
      <c r="B1756" s="0" t="n">
        <v>467933</v>
      </c>
      <c r="C1756" s="0" t="n">
        <v>1</v>
      </c>
      <c r="D1756" s="0" t="n">
        <v>6</v>
      </c>
      <c r="E1756" s="0" t="n">
        <v>586</v>
      </c>
      <c r="F1756" s="0" t="n">
        <v>41</v>
      </c>
      <c r="G1756" s="0" t="n">
        <v>118</v>
      </c>
      <c r="H1756" s="0" t="s">
        <v>3360</v>
      </c>
      <c r="I1756" s="0" t="s">
        <v>3418</v>
      </c>
      <c r="J1756" s="9" t="n">
        <v>45906</v>
      </c>
      <c r="K1756" s="0" t="s">
        <v>3419</v>
      </c>
      <c r="L1756" s="0" t="n">
        <v>19</v>
      </c>
      <c r="M1756" s="10"/>
      <c r="N1756" s="10"/>
      <c r="O1756" s="0" t="str">
        <f aca="false">VLOOKUP(C1756,statusdetails!$A:$D,4,0)</f>
        <v>READY</v>
      </c>
    </row>
    <row r="1757" customFormat="false" ht="12.8" hidden="true" customHeight="false" outlineLevel="0" collapsed="false">
      <c r="A1757" s="0" t="n">
        <v>467934</v>
      </c>
      <c r="B1757" s="0" t="n">
        <v>467934</v>
      </c>
      <c r="C1757" s="0" t="n">
        <v>1</v>
      </c>
      <c r="D1757" s="0" t="n">
        <v>6</v>
      </c>
      <c r="E1757" s="0" t="n">
        <v>2524</v>
      </c>
      <c r="F1757" s="0" t="n">
        <v>74</v>
      </c>
      <c r="G1757" s="0" t="n">
        <v>0</v>
      </c>
      <c r="H1757" s="0" t="s">
        <v>3354</v>
      </c>
      <c r="I1757" s="0" t="s">
        <v>3420</v>
      </c>
      <c r="J1757" s="9" t="n">
        <v>45906</v>
      </c>
      <c r="K1757" s="0" t="s">
        <v>3421</v>
      </c>
      <c r="L1757" s="0" t="n">
        <v>19</v>
      </c>
      <c r="M1757" s="10"/>
      <c r="N1757" s="10"/>
      <c r="O1757" s="0" t="str">
        <f aca="false">VLOOKUP(C1757,statusdetails!$A:$D,4,0)</f>
        <v>READY</v>
      </c>
    </row>
    <row r="1758" customFormat="false" ht="12.8" hidden="false" customHeight="false" outlineLevel="0" collapsed="false">
      <c r="A1758" s="0" t="n">
        <v>467935</v>
      </c>
      <c r="B1758" s="0" t="n">
        <v>467935</v>
      </c>
      <c r="C1758" s="0" t="n">
        <v>3</v>
      </c>
      <c r="D1758" s="0" t="n">
        <v>12</v>
      </c>
      <c r="E1758" s="0" t="n">
        <v>2504</v>
      </c>
      <c r="F1758" s="0" t="n">
        <v>86</v>
      </c>
      <c r="G1758" s="0" t="n">
        <v>0</v>
      </c>
      <c r="H1758" s="1" t="s">
        <v>3346</v>
      </c>
      <c r="I1758" s="1" t="s">
        <v>3422</v>
      </c>
      <c r="J1758" s="9" t="n">
        <v>45906</v>
      </c>
      <c r="K1758" s="0" t="s">
        <v>3423</v>
      </c>
      <c r="L1758" s="0" t="n">
        <v>20</v>
      </c>
      <c r="M1758" s="10"/>
      <c r="N1758" s="10"/>
      <c r="O1758" s="0" t="str">
        <f aca="false">VLOOKUP(C1758,statusdetails!$A:$D,4,0)</f>
        <v>STANDBY</v>
      </c>
      <c r="P1758" s="0" t="str">
        <f aca="false">VLOOKUP(F1758,equipment!$A:$E,4,0)</f>
        <v>CM03</v>
      </c>
      <c r="Q1758" s="0" t="str">
        <f aca="false">VLOOKUP(F1758,equipment!$A:$E,5,0)</f>
        <v>CM03 - 86</v>
      </c>
    </row>
    <row r="1759" customFormat="false" ht="12.8" hidden="false" customHeight="false" outlineLevel="0" collapsed="false">
      <c r="A1759" s="0" t="n">
        <v>467936</v>
      </c>
      <c r="B1759" s="0" t="n">
        <v>467936</v>
      </c>
      <c r="C1759" s="0" t="n">
        <v>3</v>
      </c>
      <c r="D1759" s="0" t="n">
        <v>12</v>
      </c>
      <c r="E1759" s="0" t="n">
        <v>1509</v>
      </c>
      <c r="F1759" s="0" t="n">
        <v>60</v>
      </c>
      <c r="G1759" s="0" t="n">
        <v>0</v>
      </c>
      <c r="H1759" s="1" t="s">
        <v>3134</v>
      </c>
      <c r="I1759" s="1" t="s">
        <v>3424</v>
      </c>
      <c r="J1759" s="9" t="n">
        <v>45906</v>
      </c>
      <c r="K1759" s="0" t="s">
        <v>3425</v>
      </c>
      <c r="L1759" s="0" t="n">
        <v>20</v>
      </c>
      <c r="M1759" s="10"/>
      <c r="N1759" s="10"/>
      <c r="O1759" s="0" t="str">
        <f aca="false">VLOOKUP(C1759,statusdetails!$A:$D,4,0)</f>
        <v>STANDBY</v>
      </c>
      <c r="P1759" s="0" t="str">
        <f aca="false">VLOOKUP(F1759,equipment!$A:$E,4,0)</f>
        <v>EX802</v>
      </c>
      <c r="Q1759" s="0" t="str">
        <f aca="false">VLOOKUP(F1759,equipment!$A:$E,5,0)</f>
        <v>EX802 - 60</v>
      </c>
    </row>
    <row r="1760" customFormat="false" ht="12.8" hidden="false" customHeight="false" outlineLevel="0" collapsed="false">
      <c r="A1760" s="0" t="n">
        <v>467937</v>
      </c>
      <c r="B1760" s="0" t="n">
        <v>467937</v>
      </c>
      <c r="C1760" s="0" t="n">
        <v>3</v>
      </c>
      <c r="D1760" s="0" t="n">
        <v>14</v>
      </c>
      <c r="E1760" s="0" t="n">
        <v>1157</v>
      </c>
      <c r="F1760" s="0" t="n">
        <v>91</v>
      </c>
      <c r="G1760" s="0" t="n">
        <v>54</v>
      </c>
      <c r="H1760" s="1" t="s">
        <v>3376</v>
      </c>
      <c r="I1760" s="1" t="s">
        <v>3426</v>
      </c>
      <c r="J1760" s="9" t="n">
        <v>45906</v>
      </c>
      <c r="K1760" s="0" t="s">
        <v>3427</v>
      </c>
      <c r="L1760" s="0" t="n">
        <v>20</v>
      </c>
      <c r="M1760" s="10"/>
      <c r="N1760" s="10"/>
      <c r="O1760" s="0" t="str">
        <f aca="false">VLOOKUP(C1760,statusdetails!$A:$D,4,0)</f>
        <v>STANDBY</v>
      </c>
      <c r="P1760" s="0" t="str">
        <f aca="false">VLOOKUP(F1760,equipment!$A:$E,4,0)</f>
        <v>DZ205</v>
      </c>
      <c r="Q1760" s="0" t="str">
        <f aca="false">VLOOKUP(F1760,equipment!$A:$E,5,0)</f>
        <v>DZ205 - 91</v>
      </c>
    </row>
    <row r="1761" customFormat="false" ht="12.8" hidden="true" customHeight="false" outlineLevel="0" collapsed="false">
      <c r="A1761" s="0" t="n">
        <v>467938</v>
      </c>
      <c r="B1761" s="0" t="n">
        <v>467938</v>
      </c>
      <c r="C1761" s="0" t="n">
        <v>1</v>
      </c>
      <c r="D1761" s="0" t="n">
        <v>6</v>
      </c>
      <c r="E1761" s="0" t="n">
        <v>372</v>
      </c>
      <c r="F1761" s="0" t="n">
        <v>91</v>
      </c>
      <c r="G1761" s="0" t="n">
        <v>54</v>
      </c>
      <c r="H1761" s="0" t="s">
        <v>3426</v>
      </c>
      <c r="I1761" s="0" t="s">
        <v>3428</v>
      </c>
      <c r="J1761" s="9" t="n">
        <v>45906</v>
      </c>
      <c r="K1761" s="0" t="s">
        <v>3429</v>
      </c>
      <c r="L1761" s="0" t="n">
        <v>20</v>
      </c>
      <c r="M1761" s="10"/>
      <c r="N1761" s="10"/>
      <c r="O1761" s="0" t="str">
        <f aca="false">VLOOKUP(C1761,statusdetails!$A:$D,4,0)</f>
        <v>READY</v>
      </c>
    </row>
    <row r="1762" customFormat="false" ht="12.8" hidden="true" customHeight="false" outlineLevel="0" collapsed="false">
      <c r="A1762" s="0" t="n">
        <v>467939</v>
      </c>
      <c r="B1762" s="0" t="n">
        <v>467939</v>
      </c>
      <c r="C1762" s="0" t="n">
        <v>1</v>
      </c>
      <c r="D1762" s="0" t="n">
        <v>6</v>
      </c>
      <c r="E1762" s="0" t="n">
        <v>2404</v>
      </c>
      <c r="F1762" s="0" t="n">
        <v>86</v>
      </c>
      <c r="G1762" s="0" t="n">
        <v>7</v>
      </c>
      <c r="H1762" s="0" t="s">
        <v>3422</v>
      </c>
      <c r="I1762" s="0" t="s">
        <v>3430</v>
      </c>
      <c r="J1762" s="9" t="n">
        <v>45906</v>
      </c>
      <c r="K1762" s="0" t="s">
        <v>3431</v>
      </c>
      <c r="L1762" s="0" t="n">
        <v>21</v>
      </c>
      <c r="M1762" s="10"/>
      <c r="N1762" s="10"/>
      <c r="O1762" s="0" t="str">
        <f aca="false">VLOOKUP(C1762,statusdetails!$A:$D,4,0)</f>
        <v>READY</v>
      </c>
    </row>
    <row r="1763" customFormat="false" ht="12.8" hidden="false" customHeight="false" outlineLevel="0" collapsed="false">
      <c r="A1763" s="0" t="n">
        <v>467940</v>
      </c>
      <c r="B1763" s="0" t="n">
        <v>467940</v>
      </c>
      <c r="C1763" s="0" t="n">
        <v>3</v>
      </c>
      <c r="D1763" s="0" t="n">
        <v>12</v>
      </c>
      <c r="E1763" s="0" t="n">
        <v>1175</v>
      </c>
      <c r="F1763" s="0" t="n">
        <v>74</v>
      </c>
      <c r="G1763" s="0" t="n">
        <v>157</v>
      </c>
      <c r="H1763" s="1" t="s">
        <v>3420</v>
      </c>
      <c r="I1763" s="1" t="s">
        <v>3432</v>
      </c>
      <c r="J1763" s="9" t="n">
        <v>45906</v>
      </c>
      <c r="K1763" s="0" t="s">
        <v>3433</v>
      </c>
      <c r="L1763" s="0" t="n">
        <v>21</v>
      </c>
      <c r="M1763" s="10"/>
      <c r="N1763" s="10"/>
      <c r="O1763" s="0" t="str">
        <f aca="false">VLOOKUP(C1763,statusdetails!$A:$D,4,0)</f>
        <v>STANDBY</v>
      </c>
      <c r="P1763" s="0" t="str">
        <f aca="false">VLOOKUP(F1763,equipment!$A:$E,4,0)</f>
        <v>CR701</v>
      </c>
      <c r="Q1763" s="0" t="str">
        <f aca="false">VLOOKUP(F1763,equipment!$A:$E,5,0)</f>
        <v>CR701 - 74</v>
      </c>
    </row>
    <row r="1764" customFormat="false" ht="12.8" hidden="true" customHeight="false" outlineLevel="0" collapsed="false">
      <c r="H1764" s="0"/>
      <c r="I1764" s="0"/>
      <c r="J1764" s="9"/>
    </row>
    <row r="1765" customFormat="false" ht="12.8" hidden="true" customHeight="false" outlineLevel="0" collapsed="false">
      <c r="H1765" s="0"/>
      <c r="I1765" s="0"/>
      <c r="J1765" s="9"/>
    </row>
    <row r="1766" customFormat="false" ht="12.8" hidden="true" customHeight="false" outlineLevel="0" collapsed="false">
      <c r="H1766" s="0"/>
      <c r="I1766" s="0"/>
      <c r="J1766" s="9"/>
    </row>
    <row r="1767" customFormat="false" ht="12.8" hidden="false" customHeight="false" outlineLevel="0" collapsed="false">
      <c r="A1767" s="0" t="n">
        <v>467944</v>
      </c>
      <c r="B1767" s="0" t="n">
        <v>467944</v>
      </c>
      <c r="C1767" s="0" t="n">
        <v>3</v>
      </c>
      <c r="D1767" s="0" t="n">
        <v>14</v>
      </c>
      <c r="E1767" s="0" t="n">
        <v>1163</v>
      </c>
      <c r="F1767" s="0" t="n">
        <v>45</v>
      </c>
      <c r="G1767" s="0" t="n">
        <v>133</v>
      </c>
      <c r="H1767" s="1" t="s">
        <v>3408</v>
      </c>
      <c r="I1767" s="1" t="s">
        <v>3434</v>
      </c>
      <c r="J1767" s="9" t="n">
        <v>45906</v>
      </c>
      <c r="K1767" s="0" t="s">
        <v>3435</v>
      </c>
      <c r="L1767" s="0" t="n">
        <v>21</v>
      </c>
      <c r="M1767" s="10"/>
      <c r="N1767" s="10"/>
      <c r="O1767" s="0" t="str">
        <f aca="false">VLOOKUP(C1767,statusdetails!$A:$D,4,0)</f>
        <v>STANDBY</v>
      </c>
      <c r="P1767" s="0" t="str">
        <f aca="false">VLOOKUP(F1767,equipment!$A:$E,4,0)</f>
        <v>EX501</v>
      </c>
      <c r="Q1767" s="0" t="str">
        <f aca="false">VLOOKUP(F1767,equipment!$A:$E,5,0)</f>
        <v>EX501 - 45</v>
      </c>
    </row>
    <row r="1768" customFormat="false" ht="12.8" hidden="false" customHeight="false" outlineLevel="0" collapsed="false">
      <c r="A1768" s="0" t="n">
        <v>467945</v>
      </c>
      <c r="B1768" s="0" t="n">
        <v>467945</v>
      </c>
      <c r="C1768" s="0" t="n">
        <v>3</v>
      </c>
      <c r="D1768" s="0" t="n">
        <v>14</v>
      </c>
      <c r="E1768" s="0" t="n">
        <v>1162</v>
      </c>
      <c r="F1768" s="0" t="n">
        <v>33</v>
      </c>
      <c r="G1768" s="0" t="n">
        <v>42</v>
      </c>
      <c r="H1768" s="1" t="s">
        <v>3436</v>
      </c>
      <c r="I1768" s="1" t="s">
        <v>3437</v>
      </c>
      <c r="J1768" s="9" t="n">
        <v>45906</v>
      </c>
      <c r="K1768" s="0" t="s">
        <v>3438</v>
      </c>
      <c r="L1768" s="0" t="n">
        <v>21</v>
      </c>
      <c r="M1768" s="10"/>
      <c r="N1768" s="10"/>
      <c r="O1768" s="0" t="str">
        <f aca="false">VLOOKUP(C1768,statusdetails!$A:$D,4,0)</f>
        <v>STANDBY</v>
      </c>
      <c r="P1768" s="0" t="str">
        <f aca="false">VLOOKUP(F1768,equipment!$A:$E,4,0)</f>
        <v>CM406</v>
      </c>
      <c r="Q1768" s="0" t="str">
        <f aca="false">VLOOKUP(F1768,equipment!$A:$E,5,0)</f>
        <v>CM406 - 33</v>
      </c>
    </row>
    <row r="1769" customFormat="false" ht="12.8" hidden="true" customHeight="false" outlineLevel="0" collapsed="false">
      <c r="A1769" s="0" t="n">
        <v>467946</v>
      </c>
      <c r="B1769" s="0" t="n">
        <v>467946</v>
      </c>
      <c r="C1769" s="0" t="n">
        <v>1</v>
      </c>
      <c r="D1769" s="0" t="n">
        <v>6</v>
      </c>
      <c r="E1769" s="0" t="n">
        <v>2404</v>
      </c>
      <c r="F1769" s="0" t="n">
        <v>86</v>
      </c>
      <c r="G1769" s="0" t="n">
        <v>7</v>
      </c>
      <c r="H1769" s="0" t="s">
        <v>3439</v>
      </c>
      <c r="I1769" s="0" t="s">
        <v>3440</v>
      </c>
      <c r="J1769" s="9" t="n">
        <v>45906</v>
      </c>
      <c r="K1769" s="0" t="s">
        <v>3441</v>
      </c>
      <c r="L1769" s="0" t="n">
        <v>21</v>
      </c>
      <c r="M1769" s="10"/>
      <c r="N1769" s="10"/>
      <c r="O1769" s="0" t="str">
        <f aca="false">VLOOKUP(C1769,statusdetails!$A:$D,4,0)</f>
        <v>READY</v>
      </c>
    </row>
    <row r="1770" customFormat="false" ht="12.8" hidden="true" customHeight="false" outlineLevel="0" collapsed="false">
      <c r="A1770" s="0" t="n">
        <v>467947</v>
      </c>
      <c r="B1770" s="0" t="n">
        <v>467947</v>
      </c>
      <c r="C1770" s="0" t="n">
        <v>1</v>
      </c>
      <c r="D1770" s="0" t="n">
        <v>6</v>
      </c>
      <c r="E1770" s="0" t="n">
        <v>138</v>
      </c>
      <c r="F1770" s="0" t="n">
        <v>45</v>
      </c>
      <c r="G1770" s="0" t="n">
        <v>133</v>
      </c>
      <c r="H1770" s="0" t="s">
        <v>3434</v>
      </c>
      <c r="I1770" s="0" t="s">
        <v>3442</v>
      </c>
      <c r="J1770" s="9" t="n">
        <v>45906</v>
      </c>
      <c r="K1770" s="0" t="s">
        <v>3443</v>
      </c>
      <c r="L1770" s="0" t="n">
        <v>21</v>
      </c>
      <c r="M1770" s="10"/>
      <c r="N1770" s="10"/>
      <c r="O1770" s="0" t="str">
        <f aca="false">VLOOKUP(C1770,statusdetails!$A:$D,4,0)</f>
        <v>READY</v>
      </c>
    </row>
    <row r="1771" customFormat="false" ht="12.8" hidden="true" customHeight="false" outlineLevel="0" collapsed="false">
      <c r="A1771" s="0" t="n">
        <v>467948</v>
      </c>
      <c r="B1771" s="0" t="n">
        <v>467948</v>
      </c>
      <c r="C1771" s="0" t="n">
        <v>1</v>
      </c>
      <c r="D1771" s="0" t="n">
        <v>6</v>
      </c>
      <c r="E1771" s="0" t="n">
        <v>2404</v>
      </c>
      <c r="F1771" s="0" t="n">
        <v>89</v>
      </c>
      <c r="G1771" s="0" t="n">
        <v>150</v>
      </c>
      <c r="H1771" s="0" t="s">
        <v>3444</v>
      </c>
      <c r="I1771" s="0" t="s">
        <v>3445</v>
      </c>
      <c r="J1771" s="9" t="n">
        <v>45906</v>
      </c>
      <c r="K1771" s="0" t="s">
        <v>3446</v>
      </c>
      <c r="L1771" s="0" t="n">
        <v>21</v>
      </c>
      <c r="M1771" s="10"/>
      <c r="N1771" s="10"/>
      <c r="O1771" s="0" t="str">
        <f aca="false">VLOOKUP(C1771,statusdetails!$A:$D,4,0)</f>
        <v>READY</v>
      </c>
    </row>
    <row r="1772" customFormat="false" ht="12.8" hidden="true" customHeight="false" outlineLevel="0" collapsed="false">
      <c r="A1772" s="0" t="n">
        <v>467949</v>
      </c>
      <c r="B1772" s="0" t="n">
        <v>467949</v>
      </c>
      <c r="C1772" s="0" t="n">
        <v>1</v>
      </c>
      <c r="D1772" s="0" t="n">
        <v>6</v>
      </c>
      <c r="E1772" s="0" t="n">
        <v>260</v>
      </c>
      <c r="F1772" s="0" t="n">
        <v>33</v>
      </c>
      <c r="G1772" s="0" t="n">
        <v>42</v>
      </c>
      <c r="H1772" s="0" t="s">
        <v>3437</v>
      </c>
      <c r="I1772" s="11" t="n">
        <v>45906.9637731482</v>
      </c>
      <c r="J1772" s="9" t="n">
        <v>45906</v>
      </c>
      <c r="K1772" s="0" t="s">
        <v>3447</v>
      </c>
      <c r="L1772" s="0" t="n">
        <v>21</v>
      </c>
      <c r="M1772" s="10"/>
      <c r="N1772" s="10"/>
      <c r="O1772" s="0" t="str">
        <f aca="false">VLOOKUP(C1772,statusdetails!$A:$D,4,0)</f>
        <v>READY</v>
      </c>
    </row>
    <row r="1773" customFormat="false" ht="12.8" hidden="false" customHeight="false" outlineLevel="0" collapsed="false">
      <c r="A1773" s="0" t="n">
        <v>467950</v>
      </c>
      <c r="B1773" s="0" t="n">
        <v>467950</v>
      </c>
      <c r="C1773" s="0" t="n">
        <v>3</v>
      </c>
      <c r="D1773" s="0" t="n">
        <v>14</v>
      </c>
      <c r="E1773" s="0" t="n">
        <v>2503</v>
      </c>
      <c r="F1773" s="0" t="n">
        <v>84</v>
      </c>
      <c r="G1773" s="0" t="n">
        <v>82</v>
      </c>
      <c r="H1773" s="1" t="s">
        <v>3392</v>
      </c>
      <c r="I1773" s="1" t="s">
        <v>3448</v>
      </c>
      <c r="J1773" s="9" t="n">
        <v>45906</v>
      </c>
      <c r="K1773" s="0" t="s">
        <v>3449</v>
      </c>
      <c r="L1773" s="0" t="n">
        <v>21</v>
      </c>
      <c r="M1773" s="10"/>
      <c r="N1773" s="10"/>
      <c r="O1773" s="0" t="str">
        <f aca="false">VLOOKUP(C1773,statusdetails!$A:$D,4,0)</f>
        <v>STANDBY</v>
      </c>
      <c r="P1773" s="0" t="str">
        <f aca="false">VLOOKUP(F1773,equipment!$A:$E,4,0)</f>
        <v>CM01</v>
      </c>
      <c r="Q1773" s="0" t="str">
        <f aca="false">VLOOKUP(F1773,equipment!$A:$E,5,0)</f>
        <v>CM01 - 84</v>
      </c>
    </row>
    <row r="1774" customFormat="false" ht="12.8" hidden="true" customHeight="false" outlineLevel="0" collapsed="false">
      <c r="A1774" s="0" t="n">
        <v>467951</v>
      </c>
      <c r="B1774" s="0" t="n">
        <v>467951</v>
      </c>
      <c r="C1774" s="0" t="n">
        <v>1</v>
      </c>
      <c r="D1774" s="0" t="n">
        <v>6</v>
      </c>
      <c r="E1774" s="0" t="n">
        <v>2404</v>
      </c>
      <c r="F1774" s="0" t="n">
        <v>84</v>
      </c>
      <c r="G1774" s="0" t="n">
        <v>82</v>
      </c>
      <c r="H1774" s="0" t="s">
        <v>3448</v>
      </c>
      <c r="I1774" s="0" t="s">
        <v>3450</v>
      </c>
      <c r="J1774" s="9" t="n">
        <v>45906</v>
      </c>
      <c r="K1774" s="0" t="s">
        <v>3451</v>
      </c>
      <c r="L1774" s="0" t="n">
        <v>21</v>
      </c>
      <c r="M1774" s="10"/>
      <c r="N1774" s="10"/>
      <c r="O1774" s="0" t="str">
        <f aca="false">VLOOKUP(C1774,statusdetails!$A:$D,4,0)</f>
        <v>READY</v>
      </c>
    </row>
    <row r="1775" customFormat="false" ht="12.8" hidden="false" customHeight="false" outlineLevel="0" collapsed="false">
      <c r="A1775" s="0" t="n">
        <v>467952</v>
      </c>
      <c r="B1775" s="0" t="n">
        <v>467952</v>
      </c>
      <c r="C1775" s="0" t="n">
        <v>3</v>
      </c>
      <c r="D1775" s="0" t="n">
        <v>14</v>
      </c>
      <c r="E1775" s="0" t="n">
        <v>2503</v>
      </c>
      <c r="F1775" s="0" t="n">
        <v>88</v>
      </c>
      <c r="G1775" s="0" t="n">
        <v>148</v>
      </c>
      <c r="H1775" s="1" t="s">
        <v>3394</v>
      </c>
      <c r="I1775" s="1" t="s">
        <v>3452</v>
      </c>
      <c r="J1775" s="9" t="n">
        <v>45906</v>
      </c>
      <c r="K1775" s="0" t="s">
        <v>3453</v>
      </c>
      <c r="L1775" s="0" t="n">
        <v>22</v>
      </c>
      <c r="M1775" s="10"/>
      <c r="N1775" s="10"/>
      <c r="O1775" s="0" t="str">
        <f aca="false">VLOOKUP(C1775,statusdetails!$A:$D,4,0)</f>
        <v>STANDBY</v>
      </c>
      <c r="P1775" s="0" t="str">
        <f aca="false">VLOOKUP(F1775,equipment!$A:$E,4,0)</f>
        <v>CM05</v>
      </c>
      <c r="Q1775" s="0" t="str">
        <f aca="false">VLOOKUP(F1775,equipment!$A:$E,5,0)</f>
        <v>CM05 - 88</v>
      </c>
    </row>
    <row r="1776" customFormat="false" ht="12.8" hidden="true" customHeight="false" outlineLevel="0" collapsed="false">
      <c r="A1776" s="0" t="n">
        <v>467953</v>
      </c>
      <c r="B1776" s="0" t="n">
        <v>467953</v>
      </c>
      <c r="C1776" s="0" t="n">
        <v>1</v>
      </c>
      <c r="D1776" s="0" t="n">
        <v>6</v>
      </c>
      <c r="E1776" s="0" t="n">
        <v>2404</v>
      </c>
      <c r="F1776" s="0" t="n">
        <v>88</v>
      </c>
      <c r="G1776" s="0" t="n">
        <v>148</v>
      </c>
      <c r="H1776" s="0" t="s">
        <v>3452</v>
      </c>
      <c r="I1776" s="0" t="s">
        <v>3454</v>
      </c>
      <c r="J1776" s="9" t="n">
        <v>45906</v>
      </c>
      <c r="K1776" s="0" t="s">
        <v>3455</v>
      </c>
      <c r="L1776" s="0" t="n">
        <v>22</v>
      </c>
      <c r="M1776" s="10"/>
      <c r="N1776" s="10"/>
      <c r="O1776" s="0" t="str">
        <f aca="false">VLOOKUP(C1776,statusdetails!$A:$D,4,0)</f>
        <v>READY</v>
      </c>
    </row>
    <row r="1777" customFormat="false" ht="12.8" hidden="false" customHeight="false" outlineLevel="0" collapsed="false">
      <c r="A1777" s="0" t="n">
        <v>467954</v>
      </c>
      <c r="B1777" s="0" t="n">
        <v>467954</v>
      </c>
      <c r="C1777" s="0" t="n">
        <v>3</v>
      </c>
      <c r="D1777" s="0" t="n">
        <v>14</v>
      </c>
      <c r="E1777" s="0" t="n">
        <v>2392</v>
      </c>
      <c r="F1777" s="0" t="n">
        <v>82</v>
      </c>
      <c r="G1777" s="0" t="n">
        <v>107</v>
      </c>
      <c r="H1777" s="1" t="s">
        <v>3402</v>
      </c>
      <c r="I1777" s="1" t="s">
        <v>3456</v>
      </c>
      <c r="J1777" s="9" t="n">
        <v>45906</v>
      </c>
      <c r="K1777" s="0" t="s">
        <v>3457</v>
      </c>
      <c r="L1777" s="0" t="n">
        <v>22</v>
      </c>
      <c r="M1777" s="10"/>
      <c r="N1777" s="10"/>
      <c r="O1777" s="0" t="str">
        <f aca="false">VLOOKUP(C1777,statusdetails!$A:$D,4,0)</f>
        <v>STANDBY</v>
      </c>
      <c r="P1777" s="0" t="str">
        <f aca="false">VLOOKUP(F1777,equipment!$A:$E,4,0)</f>
        <v>EX502</v>
      </c>
      <c r="Q1777" s="0" t="str">
        <f aca="false">VLOOKUP(F1777,equipment!$A:$E,5,0)</f>
        <v>EX502 - 82</v>
      </c>
    </row>
    <row r="1778" customFormat="false" ht="12.8" hidden="false" customHeight="false" outlineLevel="0" collapsed="false">
      <c r="A1778" s="0" t="n">
        <v>467955</v>
      </c>
      <c r="B1778" s="0" t="n">
        <v>467955</v>
      </c>
      <c r="C1778" s="0" t="n">
        <v>3</v>
      </c>
      <c r="D1778" s="0" t="n">
        <v>14</v>
      </c>
      <c r="E1778" s="0" t="n">
        <v>2387</v>
      </c>
      <c r="F1778" s="0" t="n">
        <v>82</v>
      </c>
      <c r="G1778" s="0" t="n">
        <v>107</v>
      </c>
      <c r="H1778" s="1" t="s">
        <v>3456</v>
      </c>
      <c r="I1778" s="1" t="s">
        <v>3458</v>
      </c>
      <c r="J1778" s="9" t="n">
        <v>45906</v>
      </c>
      <c r="K1778" s="0" t="s">
        <v>3459</v>
      </c>
      <c r="L1778" s="0" t="n">
        <v>22</v>
      </c>
      <c r="M1778" s="10"/>
      <c r="N1778" s="10"/>
      <c r="O1778" s="0" t="str">
        <f aca="false">VLOOKUP(C1778,statusdetails!$A:$D,4,0)</f>
        <v>STANDBY</v>
      </c>
      <c r="P1778" s="0" t="str">
        <f aca="false">VLOOKUP(F1778,equipment!$A:$E,4,0)</f>
        <v>EX502</v>
      </c>
      <c r="Q1778" s="0" t="str">
        <f aca="false">VLOOKUP(F1778,equipment!$A:$E,5,0)</f>
        <v>EX502 - 82</v>
      </c>
    </row>
    <row r="1779" customFormat="false" ht="12.8" hidden="true" customHeight="false" outlineLevel="0" collapsed="false">
      <c r="H1779" s="0"/>
      <c r="I1779" s="0"/>
      <c r="J1779" s="9"/>
    </row>
    <row r="1780" customFormat="false" ht="12.8" hidden="true" customHeight="false" outlineLevel="0" collapsed="false">
      <c r="H1780" s="0"/>
      <c r="I1780" s="0"/>
      <c r="J1780" s="9"/>
    </row>
    <row r="1781" customFormat="false" ht="12.8" hidden="true" customHeight="false" outlineLevel="0" collapsed="false">
      <c r="A1781" s="0" t="n">
        <v>467958</v>
      </c>
      <c r="B1781" s="0" t="n">
        <v>467958</v>
      </c>
      <c r="C1781" s="0" t="n">
        <v>1</v>
      </c>
      <c r="D1781" s="0" t="n">
        <v>6</v>
      </c>
      <c r="E1781" s="0" t="n">
        <v>2518</v>
      </c>
      <c r="F1781" s="0" t="n">
        <v>82</v>
      </c>
      <c r="G1781" s="0" t="n">
        <v>107</v>
      </c>
      <c r="H1781" s="0" t="s">
        <v>3458</v>
      </c>
      <c r="I1781" s="0" t="s">
        <v>3460</v>
      </c>
      <c r="J1781" s="9" t="n">
        <v>45906</v>
      </c>
      <c r="K1781" s="0" t="s">
        <v>3461</v>
      </c>
      <c r="L1781" s="0" t="n">
        <v>22</v>
      </c>
      <c r="M1781" s="10"/>
      <c r="N1781" s="10"/>
      <c r="O1781" s="0" t="str">
        <f aca="false">VLOOKUP(C1781,statusdetails!$A:$D,4,0)</f>
        <v>READY</v>
      </c>
    </row>
    <row r="1782" customFormat="false" ht="12.8" hidden="true" customHeight="false" outlineLevel="0" collapsed="false">
      <c r="A1782" s="0" t="n">
        <v>467959</v>
      </c>
      <c r="B1782" s="0" t="n">
        <v>467959</v>
      </c>
      <c r="C1782" s="0" t="n">
        <v>1</v>
      </c>
      <c r="D1782" s="0" t="n">
        <v>6</v>
      </c>
      <c r="E1782" s="0" t="n">
        <v>260</v>
      </c>
      <c r="F1782" s="0" t="n">
        <v>35</v>
      </c>
      <c r="G1782" s="0" t="n">
        <v>62</v>
      </c>
      <c r="H1782" s="0" t="s">
        <v>3462</v>
      </c>
      <c r="I1782" s="0" t="s">
        <v>3463</v>
      </c>
      <c r="J1782" s="9" t="n">
        <v>45906</v>
      </c>
      <c r="K1782" s="0" t="s">
        <v>3464</v>
      </c>
      <c r="L1782" s="0" t="n">
        <v>22</v>
      </c>
      <c r="M1782" s="10"/>
      <c r="N1782" s="10"/>
      <c r="O1782" s="0" t="str">
        <f aca="false">VLOOKUP(C1782,statusdetails!$A:$D,4,0)</f>
        <v>READY</v>
      </c>
    </row>
    <row r="1783" customFormat="false" ht="12.8" hidden="true" customHeight="false" outlineLevel="0" collapsed="false">
      <c r="A1783" s="0" t="n">
        <v>467960</v>
      </c>
      <c r="B1783" s="0" t="n">
        <v>467960</v>
      </c>
      <c r="C1783" s="0" t="n">
        <v>1</v>
      </c>
      <c r="D1783" s="0" t="n">
        <v>6</v>
      </c>
      <c r="E1783" s="0" t="n">
        <v>260</v>
      </c>
      <c r="F1783" s="0" t="n">
        <v>66</v>
      </c>
      <c r="G1783" s="0" t="n">
        <v>66</v>
      </c>
      <c r="H1783" s="0" t="s">
        <v>3465</v>
      </c>
      <c r="I1783" s="0" t="s">
        <v>3466</v>
      </c>
      <c r="J1783" s="9" t="n">
        <v>45906</v>
      </c>
      <c r="K1783" s="0" t="s">
        <v>3467</v>
      </c>
      <c r="L1783" s="0" t="n">
        <v>22</v>
      </c>
      <c r="M1783" s="10"/>
      <c r="N1783" s="10"/>
      <c r="O1783" s="0" t="str">
        <f aca="false">VLOOKUP(C1783,statusdetails!$A:$D,4,0)</f>
        <v>READY</v>
      </c>
    </row>
    <row r="1784" customFormat="false" ht="12.8" hidden="false" customHeight="false" outlineLevel="0" collapsed="false">
      <c r="A1784" s="0" t="n">
        <v>467961</v>
      </c>
      <c r="B1784" s="0" t="n">
        <v>467961</v>
      </c>
      <c r="C1784" s="0" t="n">
        <v>3</v>
      </c>
      <c r="D1784" s="0" t="n">
        <v>12</v>
      </c>
      <c r="E1784" s="0" t="n">
        <v>394</v>
      </c>
      <c r="F1784" s="0" t="n">
        <v>37</v>
      </c>
      <c r="G1784" s="0" t="n">
        <v>61</v>
      </c>
      <c r="H1784" s="1" t="s">
        <v>3416</v>
      </c>
      <c r="I1784" s="1" t="s">
        <v>3468</v>
      </c>
      <c r="J1784" s="9" t="n">
        <v>45906</v>
      </c>
      <c r="K1784" s="0" t="s">
        <v>3469</v>
      </c>
      <c r="L1784" s="0" t="n">
        <v>22</v>
      </c>
      <c r="M1784" s="10"/>
      <c r="N1784" s="10"/>
      <c r="O1784" s="0" t="str">
        <f aca="false">VLOOKUP(C1784,statusdetails!$A:$D,4,0)</f>
        <v>STANDBY</v>
      </c>
      <c r="P1784" s="0" t="str">
        <f aca="false">VLOOKUP(F1784,equipment!$A:$E,4,0)</f>
        <v>DZ201</v>
      </c>
      <c r="Q1784" s="0" t="str">
        <f aca="false">VLOOKUP(F1784,equipment!$A:$E,5,0)</f>
        <v>DZ201 - 37</v>
      </c>
    </row>
    <row r="1785" customFormat="false" ht="12.8" hidden="true" customHeight="false" outlineLevel="0" collapsed="false">
      <c r="H1785" s="0"/>
      <c r="I1785" s="0"/>
      <c r="J1785" s="9"/>
    </row>
    <row r="1786" customFormat="false" ht="12.8" hidden="true" customHeight="false" outlineLevel="0" collapsed="false">
      <c r="H1786" s="0"/>
      <c r="I1786" s="0"/>
      <c r="J1786" s="9"/>
    </row>
    <row r="1787" customFormat="false" ht="12.8" hidden="true" customHeight="false" outlineLevel="0" collapsed="false">
      <c r="H1787" s="0"/>
      <c r="I1787" s="0"/>
      <c r="J1787" s="9"/>
    </row>
    <row r="1788" customFormat="false" ht="12.8" hidden="true" customHeight="false" outlineLevel="0" collapsed="false">
      <c r="H1788" s="0"/>
      <c r="I1788" s="0"/>
      <c r="J1788" s="9"/>
    </row>
    <row r="1789" customFormat="false" ht="12.8" hidden="true" customHeight="false" outlineLevel="0" collapsed="false">
      <c r="H1789" s="0"/>
      <c r="I1789" s="0"/>
      <c r="J1789" s="9"/>
    </row>
    <row r="1790" customFormat="false" ht="12.8" hidden="true" customHeight="false" outlineLevel="0" collapsed="false">
      <c r="A1790" s="0" t="n">
        <v>467967</v>
      </c>
      <c r="B1790" s="0" t="n">
        <v>467967</v>
      </c>
      <c r="C1790" s="0" t="n">
        <v>1</v>
      </c>
      <c r="D1790" s="0" t="n">
        <v>6</v>
      </c>
      <c r="E1790" s="0" t="n">
        <v>2404</v>
      </c>
      <c r="F1790" s="0" t="n">
        <v>84</v>
      </c>
      <c r="G1790" s="0" t="n">
        <v>82</v>
      </c>
      <c r="H1790" s="0" t="s">
        <v>3470</v>
      </c>
      <c r="I1790" s="0" t="s">
        <v>3471</v>
      </c>
      <c r="J1790" s="9" t="n">
        <v>45906</v>
      </c>
      <c r="K1790" s="0" t="s">
        <v>3472</v>
      </c>
      <c r="L1790" s="0" t="n">
        <v>22</v>
      </c>
      <c r="M1790" s="10"/>
      <c r="N1790" s="10"/>
      <c r="O1790" s="0" t="str">
        <f aca="false">VLOOKUP(C1790,statusdetails!$A:$D,4,0)</f>
        <v>READY</v>
      </c>
    </row>
    <row r="1791" customFormat="false" ht="12.8" hidden="true" customHeight="false" outlineLevel="0" collapsed="false">
      <c r="A1791" s="0" t="n">
        <v>467968</v>
      </c>
      <c r="B1791" s="0" t="n">
        <v>467968</v>
      </c>
      <c r="C1791" s="0" t="n">
        <v>1</v>
      </c>
      <c r="D1791" s="0" t="n">
        <v>6</v>
      </c>
      <c r="E1791" s="0" t="n">
        <v>2404</v>
      </c>
      <c r="F1791" s="0" t="n">
        <v>88</v>
      </c>
      <c r="G1791" s="0" t="n">
        <v>148</v>
      </c>
      <c r="H1791" s="0" t="s">
        <v>3473</v>
      </c>
      <c r="I1791" s="0" t="s">
        <v>3474</v>
      </c>
      <c r="J1791" s="9" t="n">
        <v>45906</v>
      </c>
      <c r="K1791" s="0" t="s">
        <v>3475</v>
      </c>
      <c r="L1791" s="0" t="n">
        <v>22</v>
      </c>
      <c r="M1791" s="10"/>
      <c r="N1791" s="10"/>
      <c r="O1791" s="0" t="str">
        <f aca="false">VLOOKUP(C1791,statusdetails!$A:$D,4,0)</f>
        <v>READY</v>
      </c>
    </row>
    <row r="1792" customFormat="false" ht="12.8" hidden="true" customHeight="false" outlineLevel="0" collapsed="false">
      <c r="A1792" s="0" t="n">
        <v>467969</v>
      </c>
      <c r="B1792" s="0" t="n">
        <v>467969</v>
      </c>
      <c r="C1792" s="0" t="n">
        <v>1</v>
      </c>
      <c r="D1792" s="0" t="n">
        <v>6</v>
      </c>
      <c r="E1792" s="0" t="n">
        <v>2518</v>
      </c>
      <c r="F1792" s="0" t="n">
        <v>96</v>
      </c>
      <c r="G1792" s="0" t="n">
        <v>89</v>
      </c>
      <c r="H1792" s="0" t="s">
        <v>3476</v>
      </c>
      <c r="I1792" s="0" t="s">
        <v>3477</v>
      </c>
      <c r="J1792" s="9" t="n">
        <v>45906</v>
      </c>
      <c r="K1792" s="0" t="s">
        <v>3478</v>
      </c>
      <c r="L1792" s="0" t="n">
        <v>22</v>
      </c>
      <c r="M1792" s="10"/>
      <c r="N1792" s="10"/>
      <c r="O1792" s="0" t="str">
        <f aca="false">VLOOKUP(C1792,statusdetails!$A:$D,4,0)</f>
        <v>READY</v>
      </c>
    </row>
    <row r="1793" customFormat="false" ht="12.8" hidden="true" customHeight="false" outlineLevel="0" collapsed="false">
      <c r="A1793" s="0" t="n">
        <v>467970</v>
      </c>
      <c r="B1793" s="0" t="n">
        <v>467970</v>
      </c>
      <c r="C1793" s="0" t="n">
        <v>1</v>
      </c>
      <c r="D1793" s="0" t="n">
        <v>6</v>
      </c>
      <c r="E1793" s="0" t="n">
        <v>2404</v>
      </c>
      <c r="F1793" s="0" t="n">
        <v>85</v>
      </c>
      <c r="G1793" s="0" t="n">
        <v>147</v>
      </c>
      <c r="H1793" s="0" t="s">
        <v>3479</v>
      </c>
      <c r="I1793" s="0" t="s">
        <v>3480</v>
      </c>
      <c r="J1793" s="9" t="n">
        <v>45906</v>
      </c>
      <c r="K1793" s="0" t="s">
        <v>3481</v>
      </c>
      <c r="L1793" s="0" t="n">
        <v>22</v>
      </c>
      <c r="M1793" s="10"/>
      <c r="N1793" s="10"/>
      <c r="O1793" s="0" t="str">
        <f aca="false">VLOOKUP(C1793,statusdetails!$A:$D,4,0)</f>
        <v>READY</v>
      </c>
    </row>
    <row r="1794" customFormat="false" ht="12.8" hidden="true" customHeight="false" outlineLevel="0" collapsed="false">
      <c r="A1794" s="0" t="n">
        <v>467971</v>
      </c>
      <c r="B1794" s="0" t="n">
        <v>467971</v>
      </c>
      <c r="C1794" s="0" t="n">
        <v>1</v>
      </c>
      <c r="D1794" s="0" t="n">
        <v>6</v>
      </c>
      <c r="E1794" s="0" t="n">
        <v>2404</v>
      </c>
      <c r="F1794" s="0" t="n">
        <v>87</v>
      </c>
      <c r="G1794" s="0" t="n">
        <v>149</v>
      </c>
      <c r="H1794" s="0" t="s">
        <v>3482</v>
      </c>
      <c r="I1794" s="0" t="s">
        <v>3483</v>
      </c>
      <c r="J1794" s="9" t="n">
        <v>45906</v>
      </c>
      <c r="K1794" s="0" t="s">
        <v>3484</v>
      </c>
      <c r="L1794" s="0" t="n">
        <v>22</v>
      </c>
      <c r="M1794" s="10"/>
      <c r="N1794" s="10"/>
      <c r="O1794" s="0" t="str">
        <f aca="false">VLOOKUP(C1794,statusdetails!$A:$D,4,0)</f>
        <v>READY</v>
      </c>
    </row>
    <row r="1795" customFormat="false" ht="12.8" hidden="false" customHeight="false" outlineLevel="0" collapsed="false">
      <c r="A1795" s="0" t="n">
        <v>467972</v>
      </c>
      <c r="B1795" s="0" t="n">
        <v>467972</v>
      </c>
      <c r="C1795" s="0" t="n">
        <v>3</v>
      </c>
      <c r="D1795" s="0" t="n">
        <v>14</v>
      </c>
      <c r="E1795" s="0" t="n">
        <v>2555</v>
      </c>
      <c r="F1795" s="0" t="n">
        <v>85</v>
      </c>
      <c r="G1795" s="0" t="n">
        <v>147</v>
      </c>
      <c r="H1795" s="1" t="s">
        <v>3480</v>
      </c>
      <c r="I1795" s="1" t="s">
        <v>3485</v>
      </c>
      <c r="J1795" s="9" t="n">
        <v>45906</v>
      </c>
      <c r="K1795" s="0" t="s">
        <v>3486</v>
      </c>
      <c r="L1795" s="0" t="n">
        <v>22</v>
      </c>
      <c r="M1795" s="10"/>
      <c r="N1795" s="10"/>
      <c r="O1795" s="0" t="str">
        <f aca="false">VLOOKUP(C1795,statusdetails!$A:$D,4,0)</f>
        <v>STANDBY</v>
      </c>
      <c r="P1795" s="0" t="str">
        <f aca="false">VLOOKUP(F1795,equipment!$A:$E,4,0)</f>
        <v>CM02</v>
      </c>
      <c r="Q1795" s="0" t="str">
        <f aca="false">VLOOKUP(F1795,equipment!$A:$E,5,0)</f>
        <v>CM02 - 85</v>
      </c>
    </row>
    <row r="1796" customFormat="false" ht="12.8" hidden="true" customHeight="false" outlineLevel="0" collapsed="false">
      <c r="A1796" s="0" t="n">
        <v>467973</v>
      </c>
      <c r="B1796" s="0" t="n">
        <v>467973</v>
      </c>
      <c r="C1796" s="0" t="n">
        <v>1</v>
      </c>
      <c r="D1796" s="0" t="n">
        <v>6</v>
      </c>
      <c r="E1796" s="0" t="n">
        <v>2404</v>
      </c>
      <c r="F1796" s="0" t="n">
        <v>85</v>
      </c>
      <c r="G1796" s="0" t="n">
        <v>147</v>
      </c>
      <c r="H1796" s="0" t="s">
        <v>3485</v>
      </c>
      <c r="I1796" s="0" t="s">
        <v>3487</v>
      </c>
      <c r="J1796" s="9" t="n">
        <v>45906</v>
      </c>
      <c r="K1796" s="0" t="s">
        <v>3488</v>
      </c>
      <c r="L1796" s="0" t="n">
        <v>22</v>
      </c>
      <c r="M1796" s="10"/>
      <c r="N1796" s="10"/>
      <c r="O1796" s="0" t="str">
        <f aca="false">VLOOKUP(C1796,statusdetails!$A:$D,4,0)</f>
        <v>READY</v>
      </c>
    </row>
    <row r="1797" customFormat="false" ht="12.8" hidden="false" customHeight="false" outlineLevel="0" collapsed="false">
      <c r="A1797" s="0" t="n">
        <v>467974</v>
      </c>
      <c r="B1797" s="0" t="n">
        <v>467974</v>
      </c>
      <c r="C1797" s="0" t="n">
        <v>3</v>
      </c>
      <c r="D1797" s="0" t="n">
        <v>12</v>
      </c>
      <c r="E1797" s="0" t="n">
        <v>2422</v>
      </c>
      <c r="F1797" s="0" t="n">
        <v>86</v>
      </c>
      <c r="G1797" s="0" t="n">
        <v>7</v>
      </c>
      <c r="H1797" s="1" t="s">
        <v>3440</v>
      </c>
      <c r="I1797" s="1" t="s">
        <v>3489</v>
      </c>
      <c r="J1797" s="9" t="n">
        <v>45906</v>
      </c>
      <c r="K1797" s="0" t="s">
        <v>3490</v>
      </c>
      <c r="L1797" s="0" t="n">
        <v>22</v>
      </c>
      <c r="M1797" s="10"/>
      <c r="N1797" s="10"/>
      <c r="O1797" s="0" t="str">
        <f aca="false">VLOOKUP(C1797,statusdetails!$A:$D,4,0)</f>
        <v>STANDBY</v>
      </c>
      <c r="P1797" s="0" t="str">
        <f aca="false">VLOOKUP(F1797,equipment!$A:$E,4,0)</f>
        <v>CM03</v>
      </c>
      <c r="Q1797" s="0" t="str">
        <f aca="false">VLOOKUP(F1797,equipment!$A:$E,5,0)</f>
        <v>CM03 - 86</v>
      </c>
    </row>
    <row r="1798" customFormat="false" ht="12.8" hidden="false" customHeight="false" outlineLevel="0" collapsed="false">
      <c r="A1798" s="0" t="n">
        <v>467975</v>
      </c>
      <c r="B1798" s="0" t="n">
        <v>467975</v>
      </c>
      <c r="C1798" s="0" t="n">
        <v>3</v>
      </c>
      <c r="D1798" s="0" t="n">
        <v>12</v>
      </c>
      <c r="E1798" s="0" t="n">
        <v>608</v>
      </c>
      <c r="F1798" s="0" t="n">
        <v>41</v>
      </c>
      <c r="G1798" s="0" t="n">
        <v>118</v>
      </c>
      <c r="H1798" s="1" t="s">
        <v>3418</v>
      </c>
      <c r="I1798" s="1" t="s">
        <v>3491</v>
      </c>
      <c r="J1798" s="9" t="n">
        <v>45906</v>
      </c>
      <c r="K1798" s="0" t="s">
        <v>3492</v>
      </c>
      <c r="L1798" s="0" t="n">
        <v>23</v>
      </c>
      <c r="M1798" s="10"/>
      <c r="N1798" s="10"/>
      <c r="O1798" s="0" t="str">
        <f aca="false">VLOOKUP(C1798,statusdetails!$A:$D,4,0)</f>
        <v>STANDBY</v>
      </c>
      <c r="P1798" s="0" t="str">
        <f aca="false">VLOOKUP(F1798,equipment!$A:$E,4,0)</f>
        <v>MO102</v>
      </c>
      <c r="Q1798" s="0" t="str">
        <f aca="false">VLOOKUP(F1798,equipment!$A:$E,5,0)</f>
        <v>MO102 - 41</v>
      </c>
    </row>
    <row r="1799" customFormat="false" ht="12.8" hidden="false" customHeight="false" outlineLevel="0" collapsed="false">
      <c r="A1799" s="0" t="n">
        <v>467976</v>
      </c>
      <c r="B1799" s="0" t="n">
        <v>467976</v>
      </c>
      <c r="C1799" s="0" t="n">
        <v>3</v>
      </c>
      <c r="D1799" s="0" t="n">
        <v>12</v>
      </c>
      <c r="E1799" s="0" t="n">
        <v>2422</v>
      </c>
      <c r="F1799" s="0" t="n">
        <v>84</v>
      </c>
      <c r="G1799" s="0" t="n">
        <v>82</v>
      </c>
      <c r="H1799" s="1" t="s">
        <v>3471</v>
      </c>
      <c r="I1799" s="1" t="s">
        <v>3493</v>
      </c>
      <c r="J1799" s="9" t="n">
        <v>45906</v>
      </c>
      <c r="K1799" s="0" t="s">
        <v>3494</v>
      </c>
      <c r="L1799" s="0" t="n">
        <v>23</v>
      </c>
      <c r="M1799" s="10"/>
      <c r="N1799" s="10"/>
      <c r="O1799" s="0" t="str">
        <f aca="false">VLOOKUP(C1799,statusdetails!$A:$D,4,0)</f>
        <v>STANDBY</v>
      </c>
      <c r="P1799" s="0" t="str">
        <f aca="false">VLOOKUP(F1799,equipment!$A:$E,4,0)</f>
        <v>CM01</v>
      </c>
      <c r="Q1799" s="0" t="str">
        <f aca="false">VLOOKUP(F1799,equipment!$A:$E,5,0)</f>
        <v>CM01 - 84</v>
      </c>
    </row>
    <row r="1800" customFormat="false" ht="12.8" hidden="true" customHeight="false" outlineLevel="0" collapsed="false">
      <c r="A1800" s="0" t="n">
        <v>467977</v>
      </c>
      <c r="B1800" s="0" t="n">
        <v>467977</v>
      </c>
      <c r="C1800" s="0" t="n">
        <v>4</v>
      </c>
      <c r="D1800" s="0" t="n">
        <v>16</v>
      </c>
      <c r="E1800" s="0" t="n">
        <v>2188</v>
      </c>
      <c r="F1800" s="0" t="n">
        <v>45</v>
      </c>
      <c r="G1800" s="0" t="n">
        <v>133</v>
      </c>
      <c r="H1800" s="0" t="s">
        <v>3442</v>
      </c>
      <c r="I1800" s="0" t="s">
        <v>3495</v>
      </c>
      <c r="J1800" s="9" t="n">
        <v>45906</v>
      </c>
      <c r="K1800" s="0" t="s">
        <v>3496</v>
      </c>
      <c r="L1800" s="0" t="n">
        <v>23</v>
      </c>
      <c r="M1800" s="10"/>
      <c r="N1800" s="10"/>
      <c r="O1800" s="0" t="str">
        <f aca="false">VLOOKUP(C1800,statusdetails!$A:$D,4,0)</f>
        <v>MAINT</v>
      </c>
    </row>
    <row r="1801" customFormat="false" ht="12.8" hidden="false" customHeight="false" outlineLevel="0" collapsed="false">
      <c r="A1801" s="0" t="n">
        <v>467979</v>
      </c>
      <c r="B1801" s="0" t="n">
        <v>467978</v>
      </c>
      <c r="C1801" s="0" t="n">
        <v>3</v>
      </c>
      <c r="D1801" s="0" t="n">
        <v>12</v>
      </c>
      <c r="E1801" s="0" t="n">
        <v>1011</v>
      </c>
      <c r="F1801" s="0" t="n">
        <v>33</v>
      </c>
      <c r="G1801" s="0" t="n">
        <v>42</v>
      </c>
      <c r="H1801" s="12" t="n">
        <v>45906.9637731482</v>
      </c>
      <c r="I1801" s="1" t="s">
        <v>3497</v>
      </c>
      <c r="J1801" s="9" t="n">
        <v>45906</v>
      </c>
      <c r="K1801" s="0" t="s">
        <v>3498</v>
      </c>
      <c r="L1801" s="0" t="n">
        <v>23</v>
      </c>
      <c r="M1801" s="10"/>
      <c r="N1801" s="10"/>
      <c r="O1801" s="0" t="str">
        <f aca="false">VLOOKUP(C1801,statusdetails!$A:$D,4,0)</f>
        <v>STANDBY</v>
      </c>
      <c r="P1801" s="0" t="str">
        <f aca="false">VLOOKUP(F1801,equipment!$A:$E,4,0)</f>
        <v>CM406</v>
      </c>
      <c r="Q1801" s="0" t="str">
        <f aca="false">VLOOKUP(F1801,equipment!$A:$E,5,0)</f>
        <v>CM406 - 33</v>
      </c>
    </row>
    <row r="1802" customFormat="false" ht="12.8" hidden="true" customHeight="false" outlineLevel="0" collapsed="false">
      <c r="H1802" s="0"/>
      <c r="I1802" s="0"/>
      <c r="J1802" s="9"/>
    </row>
    <row r="1803" customFormat="false" ht="12.8" hidden="true" customHeight="false" outlineLevel="0" collapsed="false">
      <c r="H1803" s="0"/>
      <c r="I1803" s="0"/>
      <c r="J1803" s="9"/>
    </row>
    <row r="1804" customFormat="false" ht="12.8" hidden="true" customHeight="false" outlineLevel="0" collapsed="false">
      <c r="H1804" s="0"/>
      <c r="I1804" s="0"/>
      <c r="J1804" s="9"/>
    </row>
    <row r="1805" customFormat="false" ht="12.8" hidden="true" customHeight="false" outlineLevel="0" collapsed="false">
      <c r="A1805" s="0" t="n">
        <v>467983</v>
      </c>
      <c r="B1805" s="0" t="n">
        <v>467983</v>
      </c>
      <c r="C1805" s="0" t="n">
        <v>1</v>
      </c>
      <c r="D1805" s="0" t="n">
        <v>6</v>
      </c>
      <c r="E1805" s="0" t="n">
        <v>2404</v>
      </c>
      <c r="F1805" s="0" t="n">
        <v>89</v>
      </c>
      <c r="G1805" s="0" t="n">
        <v>150</v>
      </c>
      <c r="H1805" s="0" t="s">
        <v>3499</v>
      </c>
      <c r="I1805" s="0" t="s">
        <v>3500</v>
      </c>
      <c r="J1805" s="9" t="n">
        <v>45906</v>
      </c>
      <c r="K1805" s="0" t="s">
        <v>3501</v>
      </c>
      <c r="L1805" s="0" t="n">
        <v>0</v>
      </c>
      <c r="M1805" s="10"/>
      <c r="N1805" s="10"/>
      <c r="O1805" s="0" t="str">
        <f aca="false">VLOOKUP(C1805,statusdetails!$A:$D,4,0)</f>
        <v>READY</v>
      </c>
    </row>
    <row r="1806" customFormat="false" ht="12.8" hidden="true" customHeight="false" outlineLevel="0" collapsed="false">
      <c r="A1806" s="0" t="n">
        <v>467984</v>
      </c>
      <c r="B1806" s="0" t="n">
        <v>467984</v>
      </c>
      <c r="C1806" s="0" t="n">
        <v>1</v>
      </c>
      <c r="D1806" s="0" t="n">
        <v>6</v>
      </c>
      <c r="E1806" s="0" t="n">
        <v>2518</v>
      </c>
      <c r="F1806" s="0" t="n">
        <v>96</v>
      </c>
      <c r="G1806" s="0" t="n">
        <v>89</v>
      </c>
      <c r="H1806" s="0" t="s">
        <v>3502</v>
      </c>
      <c r="I1806" s="0" t="s">
        <v>3503</v>
      </c>
      <c r="J1806" s="9" t="n">
        <v>45906</v>
      </c>
      <c r="K1806" s="0" t="s">
        <v>3504</v>
      </c>
      <c r="L1806" s="0" t="n">
        <v>0</v>
      </c>
      <c r="M1806" s="10"/>
      <c r="N1806" s="10"/>
      <c r="O1806" s="0" t="str">
        <f aca="false">VLOOKUP(C1806,statusdetails!$A:$D,4,0)</f>
        <v>READY</v>
      </c>
    </row>
    <row r="1807" customFormat="false" ht="12.8" hidden="true" customHeight="false" outlineLevel="0" collapsed="false">
      <c r="A1807" s="0" t="n">
        <v>467985</v>
      </c>
      <c r="B1807" s="0" t="n">
        <v>467985</v>
      </c>
      <c r="C1807" s="0" t="n">
        <v>1</v>
      </c>
      <c r="D1807" s="0" t="n">
        <v>6</v>
      </c>
      <c r="E1807" s="0" t="n">
        <v>2404</v>
      </c>
      <c r="F1807" s="0" t="n">
        <v>87</v>
      </c>
      <c r="G1807" s="0" t="n">
        <v>149</v>
      </c>
      <c r="H1807" s="0" t="s">
        <v>3505</v>
      </c>
      <c r="I1807" s="0" t="s">
        <v>3506</v>
      </c>
      <c r="J1807" s="9" t="n">
        <v>45906</v>
      </c>
      <c r="K1807" s="0" t="s">
        <v>3507</v>
      </c>
      <c r="L1807" s="0" t="n">
        <v>0</v>
      </c>
      <c r="M1807" s="10"/>
      <c r="N1807" s="10"/>
      <c r="O1807" s="0" t="str">
        <f aca="false">VLOOKUP(C1807,statusdetails!$A:$D,4,0)</f>
        <v>READY</v>
      </c>
    </row>
    <row r="1808" customFormat="false" ht="12.8" hidden="true" customHeight="false" outlineLevel="0" collapsed="false">
      <c r="H1808" s="0"/>
      <c r="I1808" s="0"/>
      <c r="J1808" s="9"/>
    </row>
    <row r="1809" customFormat="false" ht="12.8" hidden="false" customHeight="false" outlineLevel="0" collapsed="false">
      <c r="A1809" s="0" t="n">
        <v>467987</v>
      </c>
      <c r="B1809" s="0" t="n">
        <v>467987</v>
      </c>
      <c r="C1809" s="0" t="n">
        <v>3</v>
      </c>
      <c r="D1809" s="0" t="n">
        <v>12</v>
      </c>
      <c r="E1809" s="0" t="n">
        <v>1509</v>
      </c>
      <c r="F1809" s="0" t="n">
        <v>90</v>
      </c>
      <c r="G1809" s="0" t="n">
        <v>163</v>
      </c>
      <c r="H1809" s="1" t="s">
        <v>3132</v>
      </c>
      <c r="I1809" s="1" t="s">
        <v>3508</v>
      </c>
      <c r="J1809" s="9" t="n">
        <v>45906</v>
      </c>
      <c r="K1809" s="0" t="s">
        <v>3509</v>
      </c>
      <c r="L1809" s="0" t="n">
        <v>0</v>
      </c>
      <c r="M1809" s="10"/>
      <c r="N1809" s="10"/>
      <c r="O1809" s="0" t="str">
        <f aca="false">VLOOKUP(C1809,statusdetails!$A:$D,4,0)</f>
        <v>STANDBY</v>
      </c>
      <c r="P1809" s="0" t="str">
        <f aca="false">VLOOKUP(F1809,equipment!$A:$E,4,0)</f>
        <v>EX803</v>
      </c>
      <c r="Q1809" s="0" t="str">
        <f aca="false">VLOOKUP(F1809,equipment!$A:$E,5,0)</f>
        <v>EX803 - 90</v>
      </c>
    </row>
    <row r="1810" customFormat="false" ht="12.8" hidden="true" customHeight="false" outlineLevel="0" collapsed="false">
      <c r="A1810" s="0" t="n">
        <v>467988</v>
      </c>
      <c r="B1810" s="0" t="n">
        <v>467988</v>
      </c>
      <c r="C1810" s="0" t="n">
        <v>1</v>
      </c>
      <c r="D1810" s="0" t="n">
        <v>6</v>
      </c>
      <c r="E1810" s="0" t="n">
        <v>811</v>
      </c>
      <c r="F1810" s="0" t="n">
        <v>43</v>
      </c>
      <c r="G1810" s="0" t="n">
        <v>16</v>
      </c>
      <c r="H1810" s="0" t="s">
        <v>3510</v>
      </c>
      <c r="I1810" s="0" t="s">
        <v>3511</v>
      </c>
      <c r="J1810" s="9" t="n">
        <v>45906</v>
      </c>
      <c r="K1810" s="0" t="s">
        <v>3512</v>
      </c>
      <c r="L1810" s="0" t="n">
        <v>0</v>
      </c>
      <c r="M1810" s="10"/>
      <c r="N1810" s="10"/>
      <c r="O1810" s="0" t="str">
        <f aca="false">VLOOKUP(C1810,statusdetails!$A:$D,4,0)</f>
        <v>READY</v>
      </c>
    </row>
    <row r="1811" customFormat="false" ht="12.8" hidden="false" customHeight="false" outlineLevel="0" collapsed="false">
      <c r="A1811" s="0" t="n">
        <v>467989</v>
      </c>
      <c r="B1811" s="0" t="n">
        <v>467989</v>
      </c>
      <c r="C1811" s="0" t="n">
        <v>3</v>
      </c>
      <c r="D1811" s="0" t="n">
        <v>14</v>
      </c>
      <c r="E1811" s="0" t="n">
        <v>1139</v>
      </c>
      <c r="F1811" s="0" t="n">
        <v>43</v>
      </c>
      <c r="G1811" s="0" t="n">
        <v>16</v>
      </c>
      <c r="H1811" s="1" t="s">
        <v>3511</v>
      </c>
      <c r="I1811" s="1" t="s">
        <v>3513</v>
      </c>
      <c r="J1811" s="9" t="n">
        <v>45906</v>
      </c>
      <c r="K1811" s="0" t="s">
        <v>3514</v>
      </c>
      <c r="L1811" s="0" t="n">
        <v>1</v>
      </c>
      <c r="M1811" s="10"/>
      <c r="N1811" s="10"/>
      <c r="O1811" s="0" t="str">
        <f aca="false">VLOOKUP(C1811,statusdetails!$A:$D,4,0)</f>
        <v>STANDBY</v>
      </c>
      <c r="P1811" s="0" t="str">
        <f aca="false">VLOOKUP(F1811,equipment!$A:$E,4,0)</f>
        <v>PE302</v>
      </c>
      <c r="Q1811" s="0" t="str">
        <f aca="false">VLOOKUP(F1811,equipment!$A:$E,5,0)</f>
        <v>PE302 - 43</v>
      </c>
    </row>
    <row r="1812" customFormat="false" ht="12.8" hidden="true" customHeight="false" outlineLevel="0" collapsed="false">
      <c r="A1812" s="0" t="n">
        <v>467990</v>
      </c>
      <c r="B1812" s="0" t="n">
        <v>467990</v>
      </c>
      <c r="C1812" s="0" t="n">
        <v>1</v>
      </c>
      <c r="D1812" s="0" t="n">
        <v>6</v>
      </c>
      <c r="E1812" s="0" t="n">
        <v>372</v>
      </c>
      <c r="F1812" s="0" t="n">
        <v>37</v>
      </c>
      <c r="G1812" s="0" t="n">
        <v>61</v>
      </c>
      <c r="H1812" s="0" t="s">
        <v>3468</v>
      </c>
      <c r="I1812" s="0" t="s">
        <v>3515</v>
      </c>
      <c r="J1812" s="9" t="n">
        <v>45906</v>
      </c>
      <c r="K1812" s="0" t="s">
        <v>3516</v>
      </c>
      <c r="L1812" s="0" t="n">
        <v>2</v>
      </c>
      <c r="M1812" s="10"/>
      <c r="N1812" s="10"/>
      <c r="O1812" s="0" t="str">
        <f aca="false">VLOOKUP(C1812,statusdetails!$A:$D,4,0)</f>
        <v>READY</v>
      </c>
    </row>
    <row r="1813" customFormat="false" ht="12.8" hidden="true" customHeight="false" outlineLevel="0" collapsed="false">
      <c r="A1813" s="0" t="n">
        <v>467991</v>
      </c>
      <c r="B1813" s="0" t="n">
        <v>467991</v>
      </c>
      <c r="C1813" s="0" t="n">
        <v>1</v>
      </c>
      <c r="D1813" s="0" t="n">
        <v>2303</v>
      </c>
      <c r="E1813" s="0" t="n">
        <v>2149</v>
      </c>
      <c r="F1813" s="0" t="n">
        <v>90</v>
      </c>
      <c r="G1813" s="0" t="n">
        <v>163</v>
      </c>
      <c r="H1813" s="0" t="s">
        <v>3508</v>
      </c>
      <c r="I1813" s="0" t="s">
        <v>3517</v>
      </c>
      <c r="J1813" s="9" t="n">
        <v>45906</v>
      </c>
      <c r="K1813" s="0" t="s">
        <v>3518</v>
      </c>
      <c r="L1813" s="0" t="n">
        <v>2</v>
      </c>
      <c r="M1813" s="10"/>
      <c r="N1813" s="10"/>
      <c r="O1813" s="0" t="str">
        <f aca="false">VLOOKUP(C1813,statusdetails!$A:$D,4,0)</f>
        <v>READY</v>
      </c>
    </row>
    <row r="1814" customFormat="false" ht="12.8" hidden="false" customHeight="false" outlineLevel="0" collapsed="false">
      <c r="A1814" s="0" t="n">
        <v>467992</v>
      </c>
      <c r="B1814" s="0" t="n">
        <v>467992</v>
      </c>
      <c r="C1814" s="0" t="n">
        <v>3</v>
      </c>
      <c r="D1814" s="0" t="n">
        <v>12</v>
      </c>
      <c r="E1814" s="0" t="n">
        <v>167</v>
      </c>
      <c r="F1814" s="0" t="n">
        <v>45</v>
      </c>
      <c r="G1814" s="0" t="n">
        <v>0</v>
      </c>
      <c r="H1814" s="1" t="s">
        <v>3495</v>
      </c>
      <c r="I1814" s="1" t="s">
        <v>3519</v>
      </c>
      <c r="J1814" s="9" t="n">
        <v>45906</v>
      </c>
      <c r="K1814" s="0" t="s">
        <v>3520</v>
      </c>
      <c r="L1814" s="0" t="n">
        <v>2</v>
      </c>
      <c r="M1814" s="10"/>
      <c r="N1814" s="10"/>
      <c r="O1814" s="0" t="str">
        <f aca="false">VLOOKUP(C1814,statusdetails!$A:$D,4,0)</f>
        <v>STANDBY</v>
      </c>
      <c r="P1814" s="0" t="str">
        <f aca="false">VLOOKUP(F1814,equipment!$A:$E,4,0)</f>
        <v>EX501</v>
      </c>
      <c r="Q1814" s="0" t="str">
        <f aca="false">VLOOKUP(F1814,equipment!$A:$E,5,0)</f>
        <v>EX501 - 45</v>
      </c>
    </row>
    <row r="1815" customFormat="false" ht="12.8" hidden="true" customHeight="false" outlineLevel="0" collapsed="false">
      <c r="H1815" s="0"/>
      <c r="I1815" s="0"/>
      <c r="J1815" s="9"/>
    </row>
    <row r="1816" customFormat="false" ht="12.8" hidden="true" customHeight="false" outlineLevel="0" collapsed="false">
      <c r="H1816" s="0"/>
      <c r="I1816" s="0"/>
      <c r="J1816" s="9"/>
    </row>
    <row r="1817" customFormat="false" ht="12.8" hidden="true" customHeight="false" outlineLevel="0" collapsed="false">
      <c r="H1817" s="0"/>
      <c r="I1817" s="0"/>
      <c r="J1817" s="9"/>
    </row>
    <row r="1818" customFormat="false" ht="12.8" hidden="false" customHeight="false" outlineLevel="0" collapsed="false">
      <c r="A1818" s="0" t="n">
        <v>467996</v>
      </c>
      <c r="B1818" s="0" t="n">
        <v>467996</v>
      </c>
      <c r="C1818" s="0" t="n">
        <v>3</v>
      </c>
      <c r="D1818" s="0" t="n">
        <v>14</v>
      </c>
      <c r="E1818" s="0" t="n">
        <v>2387</v>
      </c>
      <c r="F1818" s="0" t="n">
        <v>96</v>
      </c>
      <c r="G1818" s="0" t="n">
        <v>89</v>
      </c>
      <c r="H1818" s="1" t="s">
        <v>3503</v>
      </c>
      <c r="I1818" s="1" t="s">
        <v>3521</v>
      </c>
      <c r="J1818" s="9" t="n">
        <v>45906</v>
      </c>
      <c r="K1818" s="0" t="s">
        <v>3522</v>
      </c>
      <c r="L1818" s="0" t="n">
        <v>2</v>
      </c>
      <c r="M1818" s="10"/>
      <c r="N1818" s="10"/>
      <c r="O1818" s="0" t="str">
        <f aca="false">VLOOKUP(C1818,statusdetails!$A:$D,4,0)</f>
        <v>STANDBY</v>
      </c>
      <c r="P1818" s="0" t="str">
        <f aca="false">VLOOKUP(F1818,equipment!$A:$E,4,0)</f>
        <v>EX503</v>
      </c>
      <c r="Q1818" s="0" t="str">
        <f aca="false">VLOOKUP(F1818,equipment!$A:$E,5,0)</f>
        <v>EX503 - 96</v>
      </c>
    </row>
    <row r="1819" customFormat="false" ht="12.8" hidden="true" customHeight="false" outlineLevel="0" collapsed="false">
      <c r="H1819" s="0"/>
      <c r="I1819" s="0"/>
      <c r="J1819" s="9"/>
    </row>
    <row r="1820" customFormat="false" ht="12.8" hidden="true" customHeight="false" outlineLevel="0" collapsed="false">
      <c r="A1820" s="0" t="n">
        <v>467998</v>
      </c>
      <c r="B1820" s="0" t="n">
        <v>467998</v>
      </c>
      <c r="C1820" s="0" t="n">
        <v>4</v>
      </c>
      <c r="D1820" s="0" t="n">
        <v>16</v>
      </c>
      <c r="E1820" s="0" t="n">
        <v>2532</v>
      </c>
      <c r="F1820" s="0" t="n">
        <v>96</v>
      </c>
      <c r="G1820" s="0" t="n">
        <v>89</v>
      </c>
      <c r="H1820" s="0" t="s">
        <v>3521</v>
      </c>
      <c r="I1820" s="11" t="n">
        <v>45907.1464930556</v>
      </c>
      <c r="J1820" s="9" t="n">
        <v>45906</v>
      </c>
      <c r="K1820" s="0" t="s">
        <v>3523</v>
      </c>
      <c r="L1820" s="0" t="n">
        <v>2</v>
      </c>
      <c r="M1820" s="10"/>
      <c r="N1820" s="10"/>
      <c r="O1820" s="0" t="str">
        <f aca="false">VLOOKUP(C1820,statusdetails!$A:$D,4,0)</f>
        <v>MAINT</v>
      </c>
    </row>
    <row r="1821" customFormat="false" ht="12.8" hidden="false" customHeight="false" outlineLevel="0" collapsed="false">
      <c r="A1821" s="0" t="n">
        <v>467999</v>
      </c>
      <c r="B1821" s="0" t="n">
        <v>467999</v>
      </c>
      <c r="C1821" s="0" t="n">
        <v>3</v>
      </c>
      <c r="D1821" s="0" t="n">
        <v>12</v>
      </c>
      <c r="E1821" s="0" t="n">
        <v>2422</v>
      </c>
      <c r="F1821" s="0" t="n">
        <v>88</v>
      </c>
      <c r="G1821" s="0" t="n">
        <v>148</v>
      </c>
      <c r="H1821" s="1" t="s">
        <v>3524</v>
      </c>
      <c r="I1821" s="1" t="s">
        <v>3525</v>
      </c>
      <c r="J1821" s="9" t="n">
        <v>45906</v>
      </c>
      <c r="K1821" s="0" t="s">
        <v>3526</v>
      </c>
      <c r="L1821" s="0" t="n">
        <v>2</v>
      </c>
      <c r="M1821" s="10"/>
      <c r="N1821" s="10"/>
      <c r="O1821" s="0" t="str">
        <f aca="false">VLOOKUP(C1821,statusdetails!$A:$D,4,0)</f>
        <v>STANDBY</v>
      </c>
      <c r="P1821" s="0" t="str">
        <f aca="false">VLOOKUP(F1821,equipment!$A:$E,4,0)</f>
        <v>CM05</v>
      </c>
      <c r="Q1821" s="0" t="str">
        <f aca="false">VLOOKUP(F1821,equipment!$A:$E,5,0)</f>
        <v>CM05 - 88</v>
      </c>
    </row>
    <row r="1822" customFormat="false" ht="12.8" hidden="false" customHeight="false" outlineLevel="0" collapsed="false">
      <c r="A1822" s="0" t="n">
        <v>468000</v>
      </c>
      <c r="B1822" s="0" t="n">
        <v>468000</v>
      </c>
      <c r="C1822" s="0" t="n">
        <v>3</v>
      </c>
      <c r="D1822" s="0" t="n">
        <v>12</v>
      </c>
      <c r="E1822" s="0" t="n">
        <v>2422</v>
      </c>
      <c r="F1822" s="0" t="n">
        <v>85</v>
      </c>
      <c r="G1822" s="0" t="n">
        <v>147</v>
      </c>
      <c r="H1822" s="1" t="s">
        <v>3527</v>
      </c>
      <c r="I1822" s="1" t="s">
        <v>3528</v>
      </c>
      <c r="J1822" s="9" t="n">
        <v>45906</v>
      </c>
      <c r="K1822" s="0" t="s">
        <v>3529</v>
      </c>
      <c r="L1822" s="0" t="n">
        <v>2</v>
      </c>
      <c r="M1822" s="10"/>
      <c r="N1822" s="10"/>
      <c r="O1822" s="0" t="str">
        <f aca="false">VLOOKUP(C1822,statusdetails!$A:$D,4,0)</f>
        <v>STANDBY</v>
      </c>
      <c r="P1822" s="0" t="str">
        <f aca="false">VLOOKUP(F1822,equipment!$A:$E,4,0)</f>
        <v>CM02</v>
      </c>
      <c r="Q1822" s="0" t="str">
        <f aca="false">VLOOKUP(F1822,equipment!$A:$E,5,0)</f>
        <v>CM02 - 85</v>
      </c>
    </row>
    <row r="1823" customFormat="false" ht="12.8" hidden="false" customHeight="false" outlineLevel="0" collapsed="false">
      <c r="A1823" s="0" t="n">
        <v>468001</v>
      </c>
      <c r="B1823" s="0" t="n">
        <v>468001</v>
      </c>
      <c r="C1823" s="0" t="n">
        <v>3</v>
      </c>
      <c r="D1823" s="0" t="n">
        <v>12</v>
      </c>
      <c r="E1823" s="0" t="n">
        <v>2422</v>
      </c>
      <c r="F1823" s="0" t="n">
        <v>89</v>
      </c>
      <c r="G1823" s="0" t="n">
        <v>150</v>
      </c>
      <c r="H1823" s="1" t="s">
        <v>3530</v>
      </c>
      <c r="I1823" s="1" t="s">
        <v>3531</v>
      </c>
      <c r="J1823" s="9" t="n">
        <v>45906</v>
      </c>
      <c r="K1823" s="0" t="s">
        <v>3532</v>
      </c>
      <c r="L1823" s="0" t="n">
        <v>2</v>
      </c>
      <c r="M1823" s="10"/>
      <c r="N1823" s="10"/>
      <c r="O1823" s="0" t="str">
        <f aca="false">VLOOKUP(C1823,statusdetails!$A:$D,4,0)</f>
        <v>STANDBY</v>
      </c>
      <c r="P1823" s="0" t="str">
        <f aca="false">VLOOKUP(F1823,equipment!$A:$E,4,0)</f>
        <v>CM06</v>
      </c>
      <c r="Q1823" s="0" t="str">
        <f aca="false">VLOOKUP(F1823,equipment!$A:$E,5,0)</f>
        <v>CM06 - 89</v>
      </c>
    </row>
    <row r="1824" customFormat="false" ht="12.8" hidden="false" customHeight="false" outlineLevel="0" collapsed="false">
      <c r="A1824" s="0" t="n">
        <v>468002</v>
      </c>
      <c r="B1824" s="0" t="n">
        <v>468002</v>
      </c>
      <c r="C1824" s="0" t="n">
        <v>3</v>
      </c>
      <c r="D1824" s="0" t="n">
        <v>12</v>
      </c>
      <c r="E1824" s="0" t="n">
        <v>2422</v>
      </c>
      <c r="F1824" s="0" t="n">
        <v>87</v>
      </c>
      <c r="G1824" s="0" t="n">
        <v>149</v>
      </c>
      <c r="H1824" s="1" t="s">
        <v>3533</v>
      </c>
      <c r="I1824" s="1" t="s">
        <v>3534</v>
      </c>
      <c r="J1824" s="9" t="n">
        <v>45906</v>
      </c>
      <c r="K1824" s="0" t="s">
        <v>3535</v>
      </c>
      <c r="L1824" s="0" t="n">
        <v>2</v>
      </c>
      <c r="M1824" s="10"/>
      <c r="N1824" s="10"/>
      <c r="O1824" s="0" t="str">
        <f aca="false">VLOOKUP(C1824,statusdetails!$A:$D,4,0)</f>
        <v>STANDBY</v>
      </c>
      <c r="P1824" s="0" t="str">
        <f aca="false">VLOOKUP(F1824,equipment!$A:$E,4,0)</f>
        <v>CM04</v>
      </c>
      <c r="Q1824" s="0" t="str">
        <f aca="false">VLOOKUP(F1824,equipment!$A:$E,5,0)</f>
        <v>CM04 - 87</v>
      </c>
    </row>
    <row r="1825" customFormat="false" ht="12.8" hidden="true" customHeight="false" outlineLevel="0" collapsed="false">
      <c r="A1825" s="0" t="n">
        <v>468003</v>
      </c>
      <c r="B1825" s="0" t="n">
        <v>468003</v>
      </c>
      <c r="C1825" s="0" t="n">
        <v>1</v>
      </c>
      <c r="D1825" s="0" t="n">
        <v>6</v>
      </c>
      <c r="E1825" s="0" t="n">
        <v>138</v>
      </c>
      <c r="F1825" s="0" t="n">
        <v>45</v>
      </c>
      <c r="G1825" s="0" t="n">
        <v>0</v>
      </c>
      <c r="H1825" s="0" t="s">
        <v>3519</v>
      </c>
      <c r="I1825" s="0" t="s">
        <v>3536</v>
      </c>
      <c r="J1825" s="9" t="n">
        <v>45906</v>
      </c>
      <c r="K1825" s="0" t="s">
        <v>3537</v>
      </c>
      <c r="L1825" s="0" t="n">
        <v>2</v>
      </c>
      <c r="M1825" s="10"/>
      <c r="N1825" s="10"/>
      <c r="O1825" s="0" t="str">
        <f aca="false">VLOOKUP(C1825,statusdetails!$A:$D,4,0)</f>
        <v>READY</v>
      </c>
    </row>
    <row r="1826" customFormat="false" ht="12.8" hidden="true" customHeight="false" outlineLevel="0" collapsed="false">
      <c r="H1826" s="0"/>
      <c r="I1826" s="11"/>
      <c r="J1826" s="9"/>
    </row>
    <row r="1827" customFormat="false" ht="12.8" hidden="false" customHeight="false" outlineLevel="0" collapsed="false">
      <c r="A1827" s="0" t="n">
        <v>468006</v>
      </c>
      <c r="B1827" s="0" t="n">
        <v>468006</v>
      </c>
      <c r="C1827" s="0" t="n">
        <v>3</v>
      </c>
      <c r="D1827" s="0" t="n">
        <v>14</v>
      </c>
      <c r="E1827" s="0" t="n">
        <v>1162</v>
      </c>
      <c r="F1827" s="0" t="n">
        <v>66</v>
      </c>
      <c r="G1827" s="0" t="n">
        <v>66</v>
      </c>
      <c r="H1827" s="1" t="s">
        <v>3466</v>
      </c>
      <c r="I1827" s="1" t="s">
        <v>3538</v>
      </c>
      <c r="J1827" s="9" t="n">
        <v>45906</v>
      </c>
      <c r="K1827" s="0" t="s">
        <v>3539</v>
      </c>
      <c r="L1827" s="0" t="n">
        <v>2</v>
      </c>
      <c r="M1827" s="10"/>
      <c r="N1827" s="10"/>
      <c r="O1827" s="0" t="str">
        <f aca="false">VLOOKUP(C1827,statusdetails!$A:$D,4,0)</f>
        <v>STANDBY</v>
      </c>
      <c r="P1827" s="0" t="str">
        <f aca="false">VLOOKUP(F1827,equipment!$A:$E,4,0)</f>
        <v>CM407</v>
      </c>
      <c r="Q1827" s="0" t="str">
        <f aca="false">VLOOKUP(F1827,equipment!$A:$E,5,0)</f>
        <v>CM407 - 66</v>
      </c>
    </row>
    <row r="1828" customFormat="false" ht="12.8" hidden="true" customHeight="false" outlineLevel="0" collapsed="false">
      <c r="H1828" s="0"/>
      <c r="I1828" s="0"/>
      <c r="J1828" s="9"/>
    </row>
    <row r="1829" customFormat="false" ht="12.8" hidden="true" customHeight="false" outlineLevel="0" collapsed="false">
      <c r="A1829" s="0" t="n">
        <v>468009</v>
      </c>
      <c r="B1829" s="0" t="n">
        <v>468009</v>
      </c>
      <c r="C1829" s="0" t="n">
        <v>1</v>
      </c>
      <c r="D1829" s="0" t="n">
        <v>6</v>
      </c>
      <c r="E1829" s="0" t="n">
        <v>2404</v>
      </c>
      <c r="F1829" s="0" t="n">
        <v>85</v>
      </c>
      <c r="G1829" s="0" t="n">
        <v>147</v>
      </c>
      <c r="H1829" s="0" t="s">
        <v>3528</v>
      </c>
      <c r="I1829" s="0" t="s">
        <v>3540</v>
      </c>
      <c r="J1829" s="9" t="n">
        <v>45906</v>
      </c>
      <c r="K1829" s="0" t="s">
        <v>3541</v>
      </c>
      <c r="L1829" s="0" t="n">
        <v>2</v>
      </c>
      <c r="M1829" s="10"/>
      <c r="N1829" s="10"/>
      <c r="O1829" s="0" t="str">
        <f aca="false">VLOOKUP(C1829,statusdetails!$A:$D,4,0)</f>
        <v>READY</v>
      </c>
    </row>
    <row r="1830" customFormat="false" ht="12.8" hidden="true" customHeight="false" outlineLevel="0" collapsed="false">
      <c r="A1830" s="0" t="n">
        <v>468010</v>
      </c>
      <c r="B1830" s="0" t="n">
        <v>468010</v>
      </c>
      <c r="C1830" s="0" t="n">
        <v>1</v>
      </c>
      <c r="D1830" s="0" t="n">
        <v>6</v>
      </c>
      <c r="E1830" s="0" t="n">
        <v>2404</v>
      </c>
      <c r="F1830" s="0" t="n">
        <v>88</v>
      </c>
      <c r="G1830" s="0" t="n">
        <v>148</v>
      </c>
      <c r="H1830" s="0" t="s">
        <v>3525</v>
      </c>
      <c r="I1830" s="0" t="s">
        <v>3542</v>
      </c>
      <c r="J1830" s="9" t="n">
        <v>45906</v>
      </c>
      <c r="K1830" s="0" t="s">
        <v>3543</v>
      </c>
      <c r="L1830" s="0" t="n">
        <v>2</v>
      </c>
      <c r="M1830" s="10"/>
      <c r="N1830" s="10"/>
      <c r="O1830" s="0" t="str">
        <f aca="false">VLOOKUP(C1830,statusdetails!$A:$D,4,0)</f>
        <v>READY</v>
      </c>
    </row>
    <row r="1831" customFormat="false" ht="12.8" hidden="true" customHeight="false" outlineLevel="0" collapsed="false">
      <c r="A1831" s="0" t="n">
        <v>468011</v>
      </c>
      <c r="B1831" s="0" t="n">
        <v>468011</v>
      </c>
      <c r="C1831" s="0" t="n">
        <v>1</v>
      </c>
      <c r="D1831" s="0" t="n">
        <v>6</v>
      </c>
      <c r="E1831" s="0" t="n">
        <v>2404</v>
      </c>
      <c r="F1831" s="0" t="n">
        <v>89</v>
      </c>
      <c r="G1831" s="0" t="n">
        <v>150</v>
      </c>
      <c r="H1831" s="0" t="s">
        <v>3531</v>
      </c>
      <c r="I1831" s="0" t="s">
        <v>3544</v>
      </c>
      <c r="J1831" s="9" t="n">
        <v>45906</v>
      </c>
      <c r="K1831" s="0" t="s">
        <v>3545</v>
      </c>
      <c r="L1831" s="0" t="n">
        <v>2</v>
      </c>
      <c r="M1831" s="10"/>
      <c r="N1831" s="10"/>
      <c r="O1831" s="0" t="str">
        <f aca="false">VLOOKUP(C1831,statusdetails!$A:$D,4,0)</f>
        <v>READY</v>
      </c>
    </row>
    <row r="1832" customFormat="false" ht="12.8" hidden="true" customHeight="false" outlineLevel="0" collapsed="false">
      <c r="A1832" s="0" t="n">
        <v>468012</v>
      </c>
      <c r="B1832" s="0" t="n">
        <v>468012</v>
      </c>
      <c r="C1832" s="0" t="n">
        <v>1</v>
      </c>
      <c r="D1832" s="0" t="n">
        <v>6</v>
      </c>
      <c r="E1832" s="0" t="n">
        <v>2404</v>
      </c>
      <c r="F1832" s="0" t="n">
        <v>87</v>
      </c>
      <c r="G1832" s="0" t="n">
        <v>149</v>
      </c>
      <c r="H1832" s="0" t="s">
        <v>3534</v>
      </c>
      <c r="I1832" s="0" t="s">
        <v>3546</v>
      </c>
      <c r="J1832" s="9" t="n">
        <v>45906</v>
      </c>
      <c r="K1832" s="0" t="s">
        <v>3547</v>
      </c>
      <c r="L1832" s="0" t="n">
        <v>2</v>
      </c>
      <c r="M1832" s="10"/>
      <c r="N1832" s="10"/>
      <c r="O1832" s="0" t="str">
        <f aca="false">VLOOKUP(C1832,statusdetails!$A:$D,4,0)</f>
        <v>READY</v>
      </c>
    </row>
    <row r="1833" customFormat="false" ht="12.8" hidden="false" customHeight="false" outlineLevel="0" collapsed="false">
      <c r="A1833" s="0" t="n">
        <v>468013</v>
      </c>
      <c r="B1833" s="0" t="n">
        <v>468013</v>
      </c>
      <c r="C1833" s="0" t="n">
        <v>3</v>
      </c>
      <c r="D1833" s="0" t="n">
        <v>14</v>
      </c>
      <c r="E1833" s="0" t="n">
        <v>1162</v>
      </c>
      <c r="F1833" s="0" t="n">
        <v>35</v>
      </c>
      <c r="G1833" s="0" t="n">
        <v>62</v>
      </c>
      <c r="H1833" s="1" t="s">
        <v>3548</v>
      </c>
      <c r="I1833" s="1" t="s">
        <v>3549</v>
      </c>
      <c r="J1833" s="9" t="n">
        <v>45906</v>
      </c>
      <c r="K1833" s="0" t="s">
        <v>3550</v>
      </c>
      <c r="L1833" s="0" t="n">
        <v>2</v>
      </c>
      <c r="M1833" s="10"/>
      <c r="N1833" s="10"/>
      <c r="O1833" s="0" t="str">
        <f aca="false">VLOOKUP(C1833,statusdetails!$A:$D,4,0)</f>
        <v>STANDBY</v>
      </c>
      <c r="P1833" s="0" t="str">
        <f aca="false">VLOOKUP(F1833,equipment!$A:$E,4,0)</f>
        <v>CM405</v>
      </c>
      <c r="Q1833" s="0" t="str">
        <f aca="false">VLOOKUP(F1833,equipment!$A:$E,5,0)</f>
        <v>CM405 - 35</v>
      </c>
    </row>
    <row r="1834" customFormat="false" ht="12.8" hidden="true" customHeight="false" outlineLevel="0" collapsed="false">
      <c r="H1834" s="0"/>
      <c r="I1834" s="0"/>
      <c r="J1834" s="9"/>
    </row>
    <row r="1835" customFormat="false" ht="12.8" hidden="true" customHeight="false" outlineLevel="0" collapsed="false">
      <c r="A1835" s="0" t="n">
        <v>468017</v>
      </c>
      <c r="B1835" s="0" t="n">
        <v>468017</v>
      </c>
      <c r="C1835" s="0" t="n">
        <v>1</v>
      </c>
      <c r="D1835" s="0" t="n">
        <v>6</v>
      </c>
      <c r="E1835" s="0" t="n">
        <v>260</v>
      </c>
      <c r="F1835" s="0" t="n">
        <v>66</v>
      </c>
      <c r="G1835" s="0" t="n">
        <v>66</v>
      </c>
      <c r="H1835" s="0" t="s">
        <v>3538</v>
      </c>
      <c r="I1835" s="0" t="s">
        <v>3551</v>
      </c>
      <c r="J1835" s="9" t="n">
        <v>45906</v>
      </c>
      <c r="K1835" s="0" t="s">
        <v>3552</v>
      </c>
      <c r="L1835" s="0" t="n">
        <v>2</v>
      </c>
      <c r="M1835" s="10"/>
      <c r="N1835" s="10"/>
      <c r="O1835" s="0" t="str">
        <f aca="false">VLOOKUP(C1835,statusdetails!$A:$D,4,0)</f>
        <v>READY</v>
      </c>
    </row>
    <row r="1836" customFormat="false" ht="12.8" hidden="true" customHeight="false" outlineLevel="0" collapsed="false">
      <c r="A1836" s="0" t="n">
        <v>468019</v>
      </c>
      <c r="B1836" s="0" t="n">
        <v>468018</v>
      </c>
      <c r="C1836" s="0" t="n">
        <v>1</v>
      </c>
      <c r="D1836" s="0" t="n">
        <v>6</v>
      </c>
      <c r="E1836" s="0" t="n">
        <v>2518</v>
      </c>
      <c r="F1836" s="0" t="n">
        <v>82</v>
      </c>
      <c r="G1836" s="0" t="n">
        <v>107</v>
      </c>
      <c r="H1836" s="11" t="n">
        <v>45907.1206134259</v>
      </c>
      <c r="I1836" s="0" t="s">
        <v>3553</v>
      </c>
      <c r="J1836" s="9" t="n">
        <v>45906</v>
      </c>
      <c r="K1836" s="0" t="s">
        <v>3554</v>
      </c>
      <c r="L1836" s="0" t="n">
        <v>2</v>
      </c>
      <c r="M1836" s="10"/>
      <c r="N1836" s="10"/>
      <c r="O1836" s="0" t="str">
        <f aca="false">VLOOKUP(C1836,statusdetails!$A:$D,4,0)</f>
        <v>READY</v>
      </c>
    </row>
    <row r="1837" customFormat="false" ht="12.8" hidden="false" customHeight="false" outlineLevel="0" collapsed="false">
      <c r="A1837" s="0" t="n">
        <v>468020</v>
      </c>
      <c r="B1837" s="0" t="n">
        <v>468020</v>
      </c>
      <c r="C1837" s="0" t="n">
        <v>3</v>
      </c>
      <c r="D1837" s="0" t="n">
        <v>12</v>
      </c>
      <c r="E1837" s="0" t="n">
        <v>394</v>
      </c>
      <c r="F1837" s="0" t="n">
        <v>37</v>
      </c>
      <c r="G1837" s="0" t="n">
        <v>61</v>
      </c>
      <c r="H1837" s="1" t="s">
        <v>3515</v>
      </c>
      <c r="I1837" s="1" t="s">
        <v>3555</v>
      </c>
      <c r="J1837" s="9" t="n">
        <v>45906</v>
      </c>
      <c r="K1837" s="0" t="s">
        <v>3556</v>
      </c>
      <c r="L1837" s="0" t="n">
        <v>2</v>
      </c>
      <c r="M1837" s="10"/>
      <c r="N1837" s="10"/>
      <c r="O1837" s="0" t="str">
        <f aca="false">VLOOKUP(C1837,statusdetails!$A:$D,4,0)</f>
        <v>STANDBY</v>
      </c>
      <c r="P1837" s="0" t="str">
        <f aca="false">VLOOKUP(F1837,equipment!$A:$E,4,0)</f>
        <v>DZ201</v>
      </c>
      <c r="Q1837" s="0" t="str">
        <f aca="false">VLOOKUP(F1837,equipment!$A:$E,5,0)</f>
        <v>DZ201 - 37</v>
      </c>
    </row>
    <row r="1838" customFormat="false" ht="12.8" hidden="true" customHeight="false" outlineLevel="0" collapsed="false">
      <c r="A1838" s="0" t="n">
        <v>468021</v>
      </c>
      <c r="B1838" s="0" t="n">
        <v>468021</v>
      </c>
      <c r="C1838" s="0" t="n">
        <v>1</v>
      </c>
      <c r="D1838" s="0" t="n">
        <v>6</v>
      </c>
      <c r="E1838" s="0" t="n">
        <v>260</v>
      </c>
      <c r="F1838" s="0" t="n">
        <v>32</v>
      </c>
      <c r="G1838" s="0" t="n">
        <v>67</v>
      </c>
      <c r="H1838" s="0" t="s">
        <v>3557</v>
      </c>
      <c r="I1838" s="0" t="s">
        <v>3558</v>
      </c>
      <c r="J1838" s="9" t="n">
        <v>45906</v>
      </c>
      <c r="K1838" s="0" t="s">
        <v>3559</v>
      </c>
      <c r="L1838" s="0" t="n">
        <v>2</v>
      </c>
      <c r="M1838" s="10"/>
      <c r="N1838" s="10"/>
      <c r="O1838" s="0" t="str">
        <f aca="false">VLOOKUP(C1838,statusdetails!$A:$D,4,0)</f>
        <v>READY</v>
      </c>
    </row>
    <row r="1839" customFormat="false" ht="12.8" hidden="true" customHeight="false" outlineLevel="0" collapsed="false">
      <c r="A1839" s="0" t="n">
        <v>468022</v>
      </c>
      <c r="B1839" s="0" t="n">
        <v>468022</v>
      </c>
      <c r="C1839" s="0" t="n">
        <v>1</v>
      </c>
      <c r="D1839" s="0" t="n">
        <v>6</v>
      </c>
      <c r="E1839" s="0" t="n">
        <v>2404</v>
      </c>
      <c r="F1839" s="0" t="n">
        <v>86</v>
      </c>
      <c r="G1839" s="0" t="n">
        <v>0</v>
      </c>
      <c r="H1839" s="0" t="s">
        <v>3489</v>
      </c>
      <c r="I1839" s="0" t="s">
        <v>3560</v>
      </c>
      <c r="J1839" s="9" t="n">
        <v>45906</v>
      </c>
      <c r="K1839" s="0" t="s">
        <v>3561</v>
      </c>
      <c r="L1839" s="0" t="n">
        <v>2</v>
      </c>
      <c r="M1839" s="10"/>
      <c r="N1839" s="10"/>
      <c r="O1839" s="0" t="str">
        <f aca="false">VLOOKUP(C1839,statusdetails!$A:$D,4,0)</f>
        <v>READY</v>
      </c>
    </row>
    <row r="1840" customFormat="false" ht="12.8" hidden="true" customHeight="false" outlineLevel="0" collapsed="false">
      <c r="A1840" s="0" t="n">
        <v>468023</v>
      </c>
      <c r="B1840" s="0" t="n">
        <v>468023</v>
      </c>
      <c r="C1840" s="0" t="n">
        <v>1</v>
      </c>
      <c r="D1840" s="0" t="n">
        <v>6</v>
      </c>
      <c r="E1840" s="0" t="n">
        <v>260</v>
      </c>
      <c r="F1840" s="0" t="n">
        <v>35</v>
      </c>
      <c r="G1840" s="0" t="n">
        <v>62</v>
      </c>
      <c r="H1840" s="0" t="s">
        <v>3549</v>
      </c>
      <c r="I1840" s="0" t="s">
        <v>3562</v>
      </c>
      <c r="J1840" s="9" t="n">
        <v>45906</v>
      </c>
      <c r="K1840" s="0" t="s">
        <v>3563</v>
      </c>
      <c r="L1840" s="0" t="n">
        <v>2</v>
      </c>
      <c r="M1840" s="10"/>
      <c r="N1840" s="10"/>
      <c r="O1840" s="0" t="str">
        <f aca="false">VLOOKUP(C1840,statusdetails!$A:$D,4,0)</f>
        <v>READY</v>
      </c>
    </row>
    <row r="1841" customFormat="false" ht="12.8" hidden="true" customHeight="false" outlineLevel="0" collapsed="false">
      <c r="A1841" s="0" t="n">
        <v>468024</v>
      </c>
      <c r="B1841" s="0" t="n">
        <v>468024</v>
      </c>
      <c r="C1841" s="0" t="n">
        <v>1</v>
      </c>
      <c r="D1841" s="0" t="n">
        <v>6</v>
      </c>
      <c r="E1841" s="0" t="n">
        <v>586</v>
      </c>
      <c r="F1841" s="0" t="n">
        <v>41</v>
      </c>
      <c r="G1841" s="0" t="n">
        <v>0</v>
      </c>
      <c r="H1841" s="0" t="s">
        <v>3491</v>
      </c>
      <c r="I1841" s="0" t="s">
        <v>3564</v>
      </c>
      <c r="J1841" s="9" t="n">
        <v>45906</v>
      </c>
      <c r="K1841" s="0" t="s">
        <v>3565</v>
      </c>
      <c r="L1841" s="0" t="n">
        <v>3</v>
      </c>
      <c r="M1841" s="10"/>
      <c r="N1841" s="10"/>
      <c r="O1841" s="0" t="str">
        <f aca="false">VLOOKUP(C1841,statusdetails!$A:$D,4,0)</f>
        <v>READY</v>
      </c>
    </row>
    <row r="1842" customFormat="false" ht="12.8" hidden="true" customHeight="false" outlineLevel="0" collapsed="false">
      <c r="A1842" s="0" t="n">
        <v>468025</v>
      </c>
      <c r="B1842" s="0" t="n">
        <v>468025</v>
      </c>
      <c r="C1842" s="0" t="n">
        <v>1</v>
      </c>
      <c r="D1842" s="0" t="n">
        <v>6</v>
      </c>
      <c r="E1842" s="0" t="n">
        <v>811</v>
      </c>
      <c r="F1842" s="0" t="n">
        <v>43</v>
      </c>
      <c r="G1842" s="0" t="n">
        <v>16</v>
      </c>
      <c r="H1842" s="0" t="s">
        <v>3513</v>
      </c>
      <c r="I1842" s="0" t="s">
        <v>3566</v>
      </c>
      <c r="J1842" s="9" t="n">
        <v>45906</v>
      </c>
      <c r="K1842" s="0" t="s">
        <v>3567</v>
      </c>
      <c r="L1842" s="0" t="n">
        <v>3</v>
      </c>
      <c r="M1842" s="10"/>
      <c r="N1842" s="10"/>
      <c r="O1842" s="0" t="str">
        <f aca="false">VLOOKUP(C1842,statusdetails!$A:$D,4,0)</f>
        <v>READY</v>
      </c>
    </row>
    <row r="1843" customFormat="false" ht="12.8" hidden="false" customHeight="false" outlineLevel="0" collapsed="false">
      <c r="A1843" s="0" t="n">
        <v>468026</v>
      </c>
      <c r="B1843" s="0" t="n">
        <v>468026</v>
      </c>
      <c r="C1843" s="0" t="n">
        <v>3</v>
      </c>
      <c r="D1843" s="0" t="n">
        <v>12</v>
      </c>
      <c r="E1843" s="0" t="n">
        <v>2422</v>
      </c>
      <c r="F1843" s="0" t="n">
        <v>85</v>
      </c>
      <c r="G1843" s="0" t="n">
        <v>147</v>
      </c>
      <c r="H1843" s="1" t="s">
        <v>3540</v>
      </c>
      <c r="I1843" s="1" t="s">
        <v>3568</v>
      </c>
      <c r="J1843" s="9" t="n">
        <v>45906</v>
      </c>
      <c r="K1843" s="0" t="s">
        <v>3569</v>
      </c>
      <c r="L1843" s="0" t="n">
        <v>3</v>
      </c>
      <c r="M1843" s="10"/>
      <c r="N1843" s="10"/>
      <c r="O1843" s="0" t="str">
        <f aca="false">VLOOKUP(C1843,statusdetails!$A:$D,4,0)</f>
        <v>STANDBY</v>
      </c>
      <c r="P1843" s="0" t="str">
        <f aca="false">VLOOKUP(F1843,equipment!$A:$E,4,0)</f>
        <v>CM02</v>
      </c>
      <c r="Q1843" s="0" t="str">
        <f aca="false">VLOOKUP(F1843,equipment!$A:$E,5,0)</f>
        <v>CM02 - 85</v>
      </c>
    </row>
    <row r="1844" customFormat="false" ht="12.8" hidden="true" customHeight="false" outlineLevel="0" collapsed="false">
      <c r="A1844" s="0" t="n">
        <v>468027</v>
      </c>
      <c r="B1844" s="0" t="n">
        <v>468027</v>
      </c>
      <c r="C1844" s="0" t="n">
        <v>1</v>
      </c>
      <c r="D1844" s="0" t="n">
        <v>6</v>
      </c>
      <c r="E1844" s="0" t="n">
        <v>2524</v>
      </c>
      <c r="F1844" s="0" t="n">
        <v>74</v>
      </c>
      <c r="G1844" s="0" t="n">
        <v>0</v>
      </c>
      <c r="H1844" s="0" t="s">
        <v>3432</v>
      </c>
      <c r="I1844" s="0" t="s">
        <v>3570</v>
      </c>
      <c r="J1844" s="9" t="n">
        <v>45906</v>
      </c>
      <c r="K1844" s="0" t="s">
        <v>3571</v>
      </c>
      <c r="L1844" s="0" t="n">
        <v>3</v>
      </c>
      <c r="M1844" s="10"/>
      <c r="N1844" s="10"/>
      <c r="O1844" s="0" t="str">
        <f aca="false">VLOOKUP(C1844,statusdetails!$A:$D,4,0)</f>
        <v>READY</v>
      </c>
    </row>
    <row r="1845" customFormat="false" ht="12.8" hidden="false" customHeight="false" outlineLevel="0" collapsed="false">
      <c r="A1845" s="0" t="n">
        <v>468028</v>
      </c>
      <c r="B1845" s="0" t="n">
        <v>468028</v>
      </c>
      <c r="C1845" s="0" t="n">
        <v>3</v>
      </c>
      <c r="D1845" s="0" t="n">
        <v>12</v>
      </c>
      <c r="E1845" s="0" t="n">
        <v>2422</v>
      </c>
      <c r="F1845" s="0" t="n">
        <v>89</v>
      </c>
      <c r="G1845" s="0" t="n">
        <v>150</v>
      </c>
      <c r="H1845" s="1" t="s">
        <v>3544</v>
      </c>
      <c r="I1845" s="1" t="s">
        <v>3572</v>
      </c>
      <c r="J1845" s="9" t="n">
        <v>45906</v>
      </c>
      <c r="K1845" s="0" t="s">
        <v>3573</v>
      </c>
      <c r="L1845" s="0" t="n">
        <v>3</v>
      </c>
      <c r="M1845" s="10"/>
      <c r="N1845" s="10"/>
      <c r="O1845" s="0" t="str">
        <f aca="false">VLOOKUP(C1845,statusdetails!$A:$D,4,0)</f>
        <v>STANDBY</v>
      </c>
      <c r="P1845" s="0" t="str">
        <f aca="false">VLOOKUP(F1845,equipment!$A:$E,4,0)</f>
        <v>CM06</v>
      </c>
      <c r="Q1845" s="0" t="str">
        <f aca="false">VLOOKUP(F1845,equipment!$A:$E,5,0)</f>
        <v>CM06 - 89</v>
      </c>
    </row>
    <row r="1846" customFormat="false" ht="12.8" hidden="false" customHeight="false" outlineLevel="0" collapsed="false">
      <c r="A1846" s="0" t="n">
        <v>468029</v>
      </c>
      <c r="B1846" s="0" t="n">
        <v>468029</v>
      </c>
      <c r="C1846" s="0" t="n">
        <v>3</v>
      </c>
      <c r="D1846" s="0" t="n">
        <v>14</v>
      </c>
      <c r="E1846" s="0" t="n">
        <v>1162</v>
      </c>
      <c r="F1846" s="0" t="n">
        <v>32</v>
      </c>
      <c r="G1846" s="0" t="n">
        <v>67</v>
      </c>
      <c r="H1846" s="1" t="s">
        <v>3558</v>
      </c>
      <c r="I1846" s="1" t="s">
        <v>3574</v>
      </c>
      <c r="J1846" s="9" t="n">
        <v>45906</v>
      </c>
      <c r="K1846" s="0" t="s">
        <v>3575</v>
      </c>
      <c r="L1846" s="0" t="n">
        <v>3</v>
      </c>
      <c r="M1846" s="10"/>
      <c r="N1846" s="10"/>
      <c r="O1846" s="0" t="str">
        <f aca="false">VLOOKUP(C1846,statusdetails!$A:$D,4,0)</f>
        <v>STANDBY</v>
      </c>
      <c r="P1846" s="0" t="str">
        <f aca="false">VLOOKUP(F1846,equipment!$A:$E,4,0)</f>
        <v>CM403</v>
      </c>
      <c r="Q1846" s="0" t="str">
        <f aca="false">VLOOKUP(F1846,equipment!$A:$E,5,0)</f>
        <v>CM403 - 32</v>
      </c>
    </row>
    <row r="1847" customFormat="false" ht="12.8" hidden="true" customHeight="false" outlineLevel="0" collapsed="false">
      <c r="A1847" s="0" t="n">
        <v>468030</v>
      </c>
      <c r="B1847" s="0" t="n">
        <v>468030</v>
      </c>
      <c r="C1847" s="0" t="n">
        <v>1</v>
      </c>
      <c r="D1847" s="0" t="n">
        <v>6</v>
      </c>
      <c r="E1847" s="0" t="n">
        <v>260</v>
      </c>
      <c r="F1847" s="0" t="n">
        <v>32</v>
      </c>
      <c r="G1847" s="0" t="n">
        <v>67</v>
      </c>
      <c r="H1847" s="0" t="s">
        <v>3574</v>
      </c>
      <c r="I1847" s="0" t="s">
        <v>3576</v>
      </c>
      <c r="J1847" s="9" t="n">
        <v>45906</v>
      </c>
      <c r="K1847" s="0" t="s">
        <v>3577</v>
      </c>
      <c r="L1847" s="0" t="n">
        <v>3</v>
      </c>
      <c r="M1847" s="10"/>
      <c r="N1847" s="10"/>
      <c r="O1847" s="0" t="str">
        <f aca="false">VLOOKUP(C1847,statusdetails!$A:$D,4,0)</f>
        <v>READY</v>
      </c>
    </row>
    <row r="1848" customFormat="false" ht="12.8" hidden="true" customHeight="false" outlineLevel="0" collapsed="false">
      <c r="A1848" s="0" t="n">
        <v>468031</v>
      </c>
      <c r="B1848" s="0" t="n">
        <v>468031</v>
      </c>
      <c r="C1848" s="0" t="n">
        <v>4</v>
      </c>
      <c r="D1848" s="0" t="n">
        <v>16</v>
      </c>
      <c r="E1848" s="0" t="n">
        <v>369</v>
      </c>
      <c r="F1848" s="0" t="n">
        <v>32</v>
      </c>
      <c r="G1848" s="0" t="n">
        <v>67</v>
      </c>
      <c r="H1848" s="0" t="s">
        <v>3576</v>
      </c>
      <c r="I1848" s="11" t="n">
        <v>45907.1479861111</v>
      </c>
      <c r="J1848" s="9" t="n">
        <v>45906</v>
      </c>
      <c r="K1848" s="0" t="s">
        <v>3578</v>
      </c>
      <c r="L1848" s="0" t="n">
        <v>3</v>
      </c>
      <c r="M1848" s="10"/>
      <c r="N1848" s="10"/>
      <c r="O1848" s="0" t="str">
        <f aca="false">VLOOKUP(C1848,statusdetails!$A:$D,4,0)</f>
        <v>MAINT</v>
      </c>
    </row>
    <row r="1849" customFormat="false" ht="12.8" hidden="true" customHeight="false" outlineLevel="0" collapsed="false">
      <c r="A1849" s="0" t="n">
        <v>468032</v>
      </c>
      <c r="B1849" s="0" t="n">
        <v>468032</v>
      </c>
      <c r="C1849" s="0" t="n">
        <v>1</v>
      </c>
      <c r="D1849" s="0" t="n">
        <v>6</v>
      </c>
      <c r="E1849" s="0" t="n">
        <v>260</v>
      </c>
      <c r="F1849" s="0" t="n">
        <v>33</v>
      </c>
      <c r="G1849" s="0" t="n">
        <v>42</v>
      </c>
      <c r="H1849" s="0" t="s">
        <v>3497</v>
      </c>
      <c r="I1849" s="0" t="s">
        <v>3579</v>
      </c>
      <c r="J1849" s="9" t="n">
        <v>45906</v>
      </c>
      <c r="K1849" s="0" t="s">
        <v>3580</v>
      </c>
      <c r="L1849" s="0" t="n">
        <v>3</v>
      </c>
      <c r="M1849" s="10"/>
      <c r="N1849" s="10"/>
      <c r="O1849" s="0" t="str">
        <f aca="false">VLOOKUP(C1849,statusdetails!$A:$D,4,0)</f>
        <v>READY</v>
      </c>
    </row>
    <row r="1850" customFormat="false" ht="12.8" hidden="false" customHeight="false" outlineLevel="0" collapsed="false">
      <c r="A1850" s="0" t="n">
        <v>468034</v>
      </c>
      <c r="B1850" s="0" t="n">
        <v>468034</v>
      </c>
      <c r="C1850" s="0" t="n">
        <v>3</v>
      </c>
      <c r="D1850" s="0" t="n">
        <v>14</v>
      </c>
      <c r="E1850" s="0" t="n">
        <v>1159</v>
      </c>
      <c r="F1850" s="0" t="n">
        <v>43</v>
      </c>
      <c r="G1850" s="0" t="n">
        <v>16</v>
      </c>
      <c r="H1850" s="1" t="s">
        <v>3566</v>
      </c>
      <c r="I1850" s="1" t="s">
        <v>3581</v>
      </c>
      <c r="J1850" s="9" t="n">
        <v>45906</v>
      </c>
      <c r="K1850" s="0" t="s">
        <v>3582</v>
      </c>
      <c r="L1850" s="0" t="n">
        <v>3</v>
      </c>
      <c r="M1850" s="10"/>
      <c r="N1850" s="10"/>
      <c r="O1850" s="0" t="str">
        <f aca="false">VLOOKUP(C1850,statusdetails!$A:$D,4,0)</f>
        <v>STANDBY</v>
      </c>
      <c r="P1850" s="0" t="str">
        <f aca="false">VLOOKUP(F1850,equipment!$A:$E,4,0)</f>
        <v>PE302</v>
      </c>
      <c r="Q1850" s="0" t="str">
        <f aca="false">VLOOKUP(F1850,equipment!$A:$E,5,0)</f>
        <v>PE302 - 43</v>
      </c>
    </row>
    <row r="1851" customFormat="false" ht="12.8" hidden="true" customHeight="false" outlineLevel="0" collapsed="false">
      <c r="A1851" s="0" t="n">
        <v>468036</v>
      </c>
      <c r="B1851" s="0" t="n">
        <v>468036</v>
      </c>
      <c r="C1851" s="0" t="n">
        <v>1</v>
      </c>
      <c r="D1851" s="0" t="n">
        <v>6</v>
      </c>
      <c r="E1851" s="0" t="n">
        <v>2404</v>
      </c>
      <c r="F1851" s="0" t="n">
        <v>84</v>
      </c>
      <c r="G1851" s="0" t="n">
        <v>82</v>
      </c>
      <c r="H1851" s="0" t="s">
        <v>3493</v>
      </c>
      <c r="I1851" s="0" t="s">
        <v>3583</v>
      </c>
      <c r="J1851" s="9" t="n">
        <v>45906</v>
      </c>
      <c r="K1851" s="0" t="s">
        <v>3584</v>
      </c>
      <c r="L1851" s="0" t="n">
        <v>3</v>
      </c>
      <c r="M1851" s="10"/>
      <c r="N1851" s="10"/>
      <c r="O1851" s="0" t="str">
        <f aca="false">VLOOKUP(C1851,statusdetails!$A:$D,4,0)</f>
        <v>READY</v>
      </c>
    </row>
    <row r="1852" customFormat="false" ht="12.8" hidden="true" customHeight="false" outlineLevel="0" collapsed="false">
      <c r="A1852" s="0" t="n">
        <v>468037</v>
      </c>
      <c r="B1852" s="0" t="n">
        <v>468037</v>
      </c>
      <c r="C1852" s="0" t="n">
        <v>1</v>
      </c>
      <c r="D1852" s="0" t="n">
        <v>6</v>
      </c>
      <c r="E1852" s="0" t="n">
        <v>2404</v>
      </c>
      <c r="F1852" s="0" t="n">
        <v>85</v>
      </c>
      <c r="G1852" s="0" t="n">
        <v>147</v>
      </c>
      <c r="H1852" s="0" t="s">
        <v>3568</v>
      </c>
      <c r="I1852" s="0" t="s">
        <v>3585</v>
      </c>
      <c r="J1852" s="9" t="n">
        <v>45906</v>
      </c>
      <c r="K1852" s="0" t="s">
        <v>3586</v>
      </c>
      <c r="L1852" s="0" t="n">
        <v>3</v>
      </c>
      <c r="M1852" s="10"/>
      <c r="N1852" s="10"/>
      <c r="O1852" s="0" t="str">
        <f aca="false">VLOOKUP(C1852,statusdetails!$A:$D,4,0)</f>
        <v>READY</v>
      </c>
    </row>
    <row r="1853" customFormat="false" ht="12.8" hidden="true" customHeight="false" outlineLevel="0" collapsed="false">
      <c r="A1853" s="0" t="n">
        <v>468038</v>
      </c>
      <c r="B1853" s="0" t="n">
        <v>468038</v>
      </c>
      <c r="C1853" s="0" t="n">
        <v>1</v>
      </c>
      <c r="D1853" s="0" t="n">
        <v>6</v>
      </c>
      <c r="E1853" s="0" t="n">
        <v>2404</v>
      </c>
      <c r="F1853" s="0" t="n">
        <v>89</v>
      </c>
      <c r="G1853" s="0" t="n">
        <v>150</v>
      </c>
      <c r="H1853" s="0" t="s">
        <v>3572</v>
      </c>
      <c r="I1853" s="0" t="s">
        <v>3587</v>
      </c>
      <c r="J1853" s="9" t="n">
        <v>45906</v>
      </c>
      <c r="K1853" s="0" t="s">
        <v>3588</v>
      </c>
      <c r="L1853" s="0" t="n">
        <v>3</v>
      </c>
      <c r="M1853" s="10"/>
      <c r="N1853" s="10"/>
      <c r="O1853" s="0" t="str">
        <f aca="false">VLOOKUP(C1853,statusdetails!$A:$D,4,0)</f>
        <v>READY</v>
      </c>
    </row>
    <row r="1854" customFormat="false" ht="12.8" hidden="true" customHeight="false" outlineLevel="0" collapsed="false">
      <c r="H1854" s="11"/>
      <c r="I1854" s="0"/>
      <c r="J1854" s="9"/>
    </row>
    <row r="1855" customFormat="false" ht="12.8" hidden="false" customHeight="false" outlineLevel="0" collapsed="false">
      <c r="A1855" s="0" t="n">
        <v>468040</v>
      </c>
      <c r="B1855" s="0" t="n">
        <v>468040</v>
      </c>
      <c r="C1855" s="0" t="n">
        <v>3</v>
      </c>
      <c r="D1855" s="0" t="n">
        <v>12</v>
      </c>
      <c r="E1855" s="0" t="n">
        <v>2453</v>
      </c>
      <c r="F1855" s="0" t="n">
        <v>90</v>
      </c>
      <c r="G1855" s="0" t="n">
        <v>163</v>
      </c>
      <c r="H1855" s="1" t="s">
        <v>3517</v>
      </c>
      <c r="I1855" s="1" t="s">
        <v>3589</v>
      </c>
      <c r="J1855" s="9" t="n">
        <v>45906</v>
      </c>
      <c r="K1855" s="0" t="s">
        <v>3590</v>
      </c>
      <c r="L1855" s="0" t="n">
        <v>3</v>
      </c>
      <c r="M1855" s="10"/>
      <c r="N1855" s="10"/>
      <c r="O1855" s="0" t="str">
        <f aca="false">VLOOKUP(C1855,statusdetails!$A:$D,4,0)</f>
        <v>STANDBY</v>
      </c>
      <c r="P1855" s="0" t="str">
        <f aca="false">VLOOKUP(F1855,equipment!$A:$E,4,0)</f>
        <v>EX803</v>
      </c>
      <c r="Q1855" s="0" t="str">
        <f aca="false">VLOOKUP(F1855,equipment!$A:$E,5,0)</f>
        <v>EX803 - 90</v>
      </c>
    </row>
    <row r="1856" customFormat="false" ht="12.8" hidden="true" customHeight="false" outlineLevel="0" collapsed="false">
      <c r="A1856" s="0" t="n">
        <v>468041</v>
      </c>
      <c r="B1856" s="0" t="n">
        <v>468041</v>
      </c>
      <c r="C1856" s="0" t="n">
        <v>1</v>
      </c>
      <c r="D1856" s="0" t="n">
        <v>6</v>
      </c>
      <c r="E1856" s="0" t="n">
        <v>2518</v>
      </c>
      <c r="F1856" s="0" t="n">
        <v>96</v>
      </c>
      <c r="G1856" s="0" t="n">
        <v>89</v>
      </c>
      <c r="H1856" s="0" t="s">
        <v>3591</v>
      </c>
      <c r="I1856" s="0" t="s">
        <v>3592</v>
      </c>
      <c r="J1856" s="9" t="n">
        <v>45906</v>
      </c>
      <c r="K1856" s="0" t="s">
        <v>3593</v>
      </c>
      <c r="L1856" s="0" t="n">
        <v>3</v>
      </c>
      <c r="M1856" s="10"/>
      <c r="N1856" s="10"/>
      <c r="O1856" s="0" t="str">
        <f aca="false">VLOOKUP(C1856,statusdetails!$A:$D,4,0)</f>
        <v>READY</v>
      </c>
    </row>
    <row r="1857" customFormat="false" ht="12.8" hidden="true" customHeight="false" outlineLevel="0" collapsed="false">
      <c r="A1857" s="0" t="n">
        <v>468042</v>
      </c>
      <c r="B1857" s="0" t="n">
        <v>468042</v>
      </c>
      <c r="C1857" s="0" t="n">
        <v>1</v>
      </c>
      <c r="D1857" s="0" t="n">
        <v>6</v>
      </c>
      <c r="E1857" s="0" t="n">
        <v>811</v>
      </c>
      <c r="F1857" s="0" t="n">
        <v>43</v>
      </c>
      <c r="G1857" s="0" t="n">
        <v>16</v>
      </c>
      <c r="H1857" s="0" t="s">
        <v>3581</v>
      </c>
      <c r="I1857" s="0" t="s">
        <v>3594</v>
      </c>
      <c r="J1857" s="9" t="n">
        <v>45906</v>
      </c>
      <c r="K1857" s="0" t="s">
        <v>3595</v>
      </c>
      <c r="L1857" s="0" t="n">
        <v>3</v>
      </c>
      <c r="M1857" s="10"/>
      <c r="N1857" s="10"/>
      <c r="O1857" s="0" t="str">
        <f aca="false">VLOOKUP(C1857,statusdetails!$A:$D,4,0)</f>
        <v>READY</v>
      </c>
    </row>
    <row r="1858" customFormat="false" ht="12.8" hidden="false" customHeight="false" outlineLevel="0" collapsed="false">
      <c r="A1858" s="0" t="n">
        <v>468043</v>
      </c>
      <c r="B1858" s="0" t="n">
        <v>468043</v>
      </c>
      <c r="C1858" s="0" t="n">
        <v>3</v>
      </c>
      <c r="D1858" s="0" t="n">
        <v>14</v>
      </c>
      <c r="E1858" s="0" t="n">
        <v>2503</v>
      </c>
      <c r="F1858" s="0" t="n">
        <v>87</v>
      </c>
      <c r="G1858" s="0" t="n">
        <v>149</v>
      </c>
      <c r="H1858" s="1" t="s">
        <v>3546</v>
      </c>
      <c r="I1858" s="1" t="s">
        <v>3596</v>
      </c>
      <c r="J1858" s="9" t="n">
        <v>45906</v>
      </c>
      <c r="K1858" s="0" t="s">
        <v>3597</v>
      </c>
      <c r="L1858" s="0" t="n">
        <v>3</v>
      </c>
      <c r="M1858" s="10"/>
      <c r="N1858" s="10"/>
      <c r="O1858" s="0" t="str">
        <f aca="false">VLOOKUP(C1858,statusdetails!$A:$D,4,0)</f>
        <v>STANDBY</v>
      </c>
      <c r="P1858" s="0" t="str">
        <f aca="false">VLOOKUP(F1858,equipment!$A:$E,4,0)</f>
        <v>CM04</v>
      </c>
      <c r="Q1858" s="0" t="str">
        <f aca="false">VLOOKUP(F1858,equipment!$A:$E,5,0)</f>
        <v>CM04 - 87</v>
      </c>
    </row>
    <row r="1859" customFormat="false" ht="12.8" hidden="true" customHeight="false" outlineLevel="0" collapsed="false">
      <c r="A1859" s="0" t="n">
        <v>468044</v>
      </c>
      <c r="B1859" s="0" t="n">
        <v>468044</v>
      </c>
      <c r="C1859" s="0" t="n">
        <v>1</v>
      </c>
      <c r="D1859" s="0" t="n">
        <v>6</v>
      </c>
      <c r="E1859" s="0" t="n">
        <v>2404</v>
      </c>
      <c r="F1859" s="0" t="n">
        <v>87</v>
      </c>
      <c r="G1859" s="0" t="n">
        <v>149</v>
      </c>
      <c r="H1859" s="0" t="s">
        <v>3596</v>
      </c>
      <c r="I1859" s="0" t="s">
        <v>3598</v>
      </c>
      <c r="J1859" s="9" t="n">
        <v>45906</v>
      </c>
      <c r="K1859" s="0" t="s">
        <v>3599</v>
      </c>
      <c r="L1859" s="0" t="n">
        <v>3</v>
      </c>
      <c r="M1859" s="10"/>
      <c r="N1859" s="10"/>
      <c r="O1859" s="0" t="str">
        <f aca="false">VLOOKUP(C1859,statusdetails!$A:$D,4,0)</f>
        <v>READY</v>
      </c>
    </row>
    <row r="1860" customFormat="false" ht="12.8" hidden="true" customHeight="false" outlineLevel="0" collapsed="false">
      <c r="A1860" s="0" t="n">
        <v>468045</v>
      </c>
      <c r="B1860" s="0" t="n">
        <v>468033</v>
      </c>
      <c r="C1860" s="0" t="n">
        <v>4</v>
      </c>
      <c r="D1860" s="0" t="n">
        <v>16</v>
      </c>
      <c r="E1860" s="0" t="n">
        <v>963</v>
      </c>
      <c r="F1860" s="0" t="n">
        <v>32</v>
      </c>
      <c r="G1860" s="0" t="n">
        <v>67</v>
      </c>
      <c r="H1860" s="11" t="n">
        <v>45907.1479861111</v>
      </c>
      <c r="I1860" s="0" t="s">
        <v>3600</v>
      </c>
      <c r="J1860" s="9" t="n">
        <v>45906</v>
      </c>
      <c r="K1860" s="0" t="s">
        <v>3601</v>
      </c>
      <c r="L1860" s="0" t="n">
        <v>3</v>
      </c>
      <c r="M1860" s="10"/>
      <c r="N1860" s="10"/>
      <c r="O1860" s="0" t="str">
        <f aca="false">VLOOKUP(C1860,statusdetails!$A:$D,4,0)</f>
        <v>MAINT</v>
      </c>
    </row>
    <row r="1861" customFormat="false" ht="12.8" hidden="true" customHeight="false" outlineLevel="0" collapsed="false">
      <c r="A1861" s="0" t="n">
        <v>468046</v>
      </c>
      <c r="B1861" s="0" t="n">
        <v>468046</v>
      </c>
      <c r="C1861" s="0" t="n">
        <v>4</v>
      </c>
      <c r="D1861" s="0" t="n">
        <v>16</v>
      </c>
      <c r="E1861" s="0" t="n">
        <v>2485</v>
      </c>
      <c r="F1861" s="0" t="n">
        <v>89</v>
      </c>
      <c r="G1861" s="0" t="n">
        <v>150</v>
      </c>
      <c r="H1861" s="0" t="s">
        <v>3587</v>
      </c>
      <c r="I1861" s="11" t="n">
        <v>45907.8059722222</v>
      </c>
      <c r="J1861" s="9" t="n">
        <v>45906</v>
      </c>
      <c r="K1861" s="0" t="s">
        <v>3602</v>
      </c>
      <c r="L1861" s="0" t="n">
        <v>4</v>
      </c>
      <c r="M1861" s="10"/>
      <c r="N1861" s="10"/>
      <c r="O1861" s="0" t="str">
        <f aca="false">VLOOKUP(C1861,statusdetails!$A:$D,4,0)</f>
        <v>MAINT</v>
      </c>
    </row>
    <row r="1862" customFormat="false" ht="12.8" hidden="true" customHeight="false" outlineLevel="0" collapsed="false">
      <c r="A1862" s="0" t="n">
        <v>468047</v>
      </c>
      <c r="B1862" s="0" t="n">
        <v>468047</v>
      </c>
      <c r="C1862" s="0" t="n">
        <v>1</v>
      </c>
      <c r="D1862" s="0" t="n">
        <v>2303</v>
      </c>
      <c r="E1862" s="0" t="n">
        <v>969</v>
      </c>
      <c r="F1862" s="0" t="n">
        <v>45</v>
      </c>
      <c r="G1862" s="0" t="n">
        <v>133</v>
      </c>
      <c r="H1862" s="0" t="s">
        <v>3536</v>
      </c>
      <c r="I1862" s="0" t="s">
        <v>3603</v>
      </c>
      <c r="J1862" s="9" t="n">
        <v>45906</v>
      </c>
      <c r="K1862" s="0" t="s">
        <v>3604</v>
      </c>
      <c r="L1862" s="0" t="n">
        <v>5</v>
      </c>
      <c r="M1862" s="10"/>
      <c r="N1862" s="10"/>
      <c r="O1862" s="0" t="str">
        <f aca="false">VLOOKUP(C1862,statusdetails!$A:$D,4,0)</f>
        <v>READY</v>
      </c>
    </row>
    <row r="1863" customFormat="false" ht="12.8" hidden="true" customHeight="false" outlineLevel="0" collapsed="false">
      <c r="A1863" s="0" t="n">
        <v>468048</v>
      </c>
      <c r="B1863" s="0" t="n">
        <v>468048</v>
      </c>
      <c r="C1863" s="0" t="n">
        <v>1</v>
      </c>
      <c r="D1863" s="0" t="n">
        <v>6</v>
      </c>
      <c r="E1863" s="0" t="n">
        <v>2524</v>
      </c>
      <c r="F1863" s="0" t="n">
        <v>49</v>
      </c>
      <c r="G1863" s="0" t="n">
        <v>0</v>
      </c>
      <c r="H1863" s="0" t="s">
        <v>3352</v>
      </c>
      <c r="I1863" s="0" t="s">
        <v>3605</v>
      </c>
      <c r="J1863" s="9" t="n">
        <v>45906</v>
      </c>
      <c r="K1863" s="0" t="s">
        <v>3606</v>
      </c>
      <c r="L1863" s="0" t="n">
        <v>5</v>
      </c>
      <c r="M1863" s="10"/>
      <c r="N1863" s="10"/>
      <c r="O1863" s="0" t="str">
        <f aca="false">VLOOKUP(C1863,statusdetails!$A:$D,4,0)</f>
        <v>READY</v>
      </c>
    </row>
    <row r="1864" customFormat="false" ht="12.8" hidden="true" customHeight="false" outlineLevel="0" collapsed="false">
      <c r="A1864" s="0" t="n">
        <v>468049</v>
      </c>
      <c r="B1864" s="0" t="n">
        <v>468049</v>
      </c>
      <c r="C1864" s="0" t="n">
        <v>1</v>
      </c>
      <c r="D1864" s="0" t="n">
        <v>6</v>
      </c>
      <c r="E1864" s="0" t="n">
        <v>260</v>
      </c>
      <c r="F1864" s="0" t="n">
        <v>32</v>
      </c>
      <c r="G1864" s="0" t="n">
        <v>67</v>
      </c>
      <c r="H1864" s="0" t="s">
        <v>3600</v>
      </c>
      <c r="I1864" s="0" t="s">
        <v>3607</v>
      </c>
      <c r="J1864" s="9" t="n">
        <v>45906</v>
      </c>
      <c r="K1864" s="0" t="s">
        <v>3608</v>
      </c>
      <c r="L1864" s="0" t="n">
        <v>5</v>
      </c>
      <c r="M1864" s="10"/>
      <c r="N1864" s="10"/>
      <c r="O1864" s="0" t="str">
        <f aca="false">VLOOKUP(C1864,statusdetails!$A:$D,4,0)</f>
        <v>READY</v>
      </c>
    </row>
    <row r="1865" customFormat="false" ht="12.8" hidden="true" customHeight="false" outlineLevel="0" collapsed="false">
      <c r="A1865" s="0" t="n">
        <v>468050</v>
      </c>
      <c r="B1865" s="0" t="n">
        <v>468050</v>
      </c>
      <c r="C1865" s="0" t="n">
        <v>4</v>
      </c>
      <c r="D1865" s="0" t="n">
        <v>16</v>
      </c>
      <c r="E1865" s="0" t="n">
        <v>963</v>
      </c>
      <c r="F1865" s="0" t="n">
        <v>32</v>
      </c>
      <c r="G1865" s="0" t="n">
        <v>67</v>
      </c>
      <c r="H1865" s="0" t="s">
        <v>3607</v>
      </c>
      <c r="I1865" s="0" t="s">
        <v>3609</v>
      </c>
      <c r="J1865" s="9" t="n">
        <v>45906</v>
      </c>
      <c r="K1865" s="0" t="s">
        <v>3610</v>
      </c>
      <c r="L1865" s="0" t="n">
        <v>6</v>
      </c>
      <c r="M1865" s="10"/>
      <c r="N1865" s="10"/>
      <c r="O1865" s="0" t="str">
        <f aca="false">VLOOKUP(C1865,statusdetails!$A:$D,4,0)</f>
        <v>MAINT</v>
      </c>
    </row>
    <row r="1866" customFormat="false" ht="12.8" hidden="true" customHeight="false" outlineLevel="0" collapsed="false">
      <c r="A1866" s="0" t="n">
        <v>468051</v>
      </c>
      <c r="B1866" s="0" t="n">
        <v>468051</v>
      </c>
      <c r="C1866" s="0" t="n">
        <v>1</v>
      </c>
      <c r="D1866" s="0" t="n">
        <v>6</v>
      </c>
      <c r="E1866" s="0" t="n">
        <v>260</v>
      </c>
      <c r="F1866" s="0" t="n">
        <v>32</v>
      </c>
      <c r="G1866" s="0" t="n">
        <v>67</v>
      </c>
      <c r="H1866" s="0" t="s">
        <v>3609</v>
      </c>
      <c r="I1866" s="0" t="s">
        <v>3611</v>
      </c>
      <c r="J1866" s="9" t="n">
        <v>45906</v>
      </c>
      <c r="K1866" s="0" t="s">
        <v>3612</v>
      </c>
      <c r="L1866" s="0" t="n">
        <v>6</v>
      </c>
      <c r="M1866" s="10"/>
      <c r="N1866" s="10"/>
      <c r="O1866" s="0" t="str">
        <f aca="false">VLOOKUP(C1866,statusdetails!$A:$D,4,0)</f>
        <v>READY</v>
      </c>
    </row>
    <row r="1867" customFormat="false" ht="12.8" hidden="false" customHeight="false" outlineLevel="0" collapsed="false">
      <c r="A1867" s="0" t="n">
        <v>468052</v>
      </c>
      <c r="B1867" s="0" t="n">
        <v>468052</v>
      </c>
      <c r="C1867" s="0" t="n">
        <v>3</v>
      </c>
      <c r="D1867" s="0" t="n">
        <v>14</v>
      </c>
      <c r="E1867" s="0" t="n">
        <v>1789</v>
      </c>
      <c r="F1867" s="0" t="n">
        <v>33</v>
      </c>
      <c r="G1867" s="0" t="n">
        <v>42</v>
      </c>
      <c r="H1867" s="1" t="s">
        <v>3579</v>
      </c>
      <c r="I1867" s="1" t="s">
        <v>3613</v>
      </c>
      <c r="J1867" s="9" t="n">
        <v>45906</v>
      </c>
      <c r="K1867" s="0" t="s">
        <v>3614</v>
      </c>
      <c r="L1867" s="0" t="n">
        <v>6</v>
      </c>
      <c r="M1867" s="10"/>
      <c r="N1867" s="10"/>
      <c r="O1867" s="0" t="str">
        <f aca="false">VLOOKUP(C1867,statusdetails!$A:$D,4,0)</f>
        <v>STANDBY</v>
      </c>
      <c r="P1867" s="0" t="str">
        <f aca="false">VLOOKUP(F1867,equipment!$A:$E,4,0)</f>
        <v>CM406</v>
      </c>
      <c r="Q1867" s="0" t="str">
        <f aca="false">VLOOKUP(F1867,equipment!$A:$E,5,0)</f>
        <v>CM406 - 33</v>
      </c>
    </row>
    <row r="1868" customFormat="false" ht="12.8" hidden="false" customHeight="false" outlineLevel="0" collapsed="false">
      <c r="A1868" s="0" t="n">
        <v>468053</v>
      </c>
      <c r="B1868" s="0" t="n">
        <v>468053</v>
      </c>
      <c r="C1868" s="0" t="n">
        <v>3</v>
      </c>
      <c r="D1868" s="0" t="n">
        <v>14</v>
      </c>
      <c r="E1868" s="0" t="n">
        <v>1789</v>
      </c>
      <c r="F1868" s="0" t="n">
        <v>35</v>
      </c>
      <c r="G1868" s="0" t="n">
        <v>62</v>
      </c>
      <c r="H1868" s="1" t="s">
        <v>3562</v>
      </c>
      <c r="I1868" s="1" t="s">
        <v>3615</v>
      </c>
      <c r="J1868" s="9" t="n">
        <v>45906</v>
      </c>
      <c r="K1868" s="0" t="s">
        <v>3616</v>
      </c>
      <c r="L1868" s="0" t="n">
        <v>6</v>
      </c>
      <c r="M1868" s="10"/>
      <c r="N1868" s="10"/>
      <c r="O1868" s="0" t="str">
        <f aca="false">VLOOKUP(C1868,statusdetails!$A:$D,4,0)</f>
        <v>STANDBY</v>
      </c>
      <c r="P1868" s="0" t="str">
        <f aca="false">VLOOKUP(F1868,equipment!$A:$E,4,0)</f>
        <v>CM405</v>
      </c>
      <c r="Q1868" s="0" t="str">
        <f aca="false">VLOOKUP(F1868,equipment!$A:$E,5,0)</f>
        <v>CM405 - 35</v>
      </c>
    </row>
    <row r="1869" customFormat="false" ht="12.8" hidden="false" customHeight="false" outlineLevel="0" collapsed="false">
      <c r="A1869" s="0" t="n">
        <v>468054</v>
      </c>
      <c r="B1869" s="0" t="n">
        <v>468054</v>
      </c>
      <c r="C1869" s="0" t="n">
        <v>3</v>
      </c>
      <c r="D1869" s="0" t="n">
        <v>14</v>
      </c>
      <c r="E1869" s="0" t="n">
        <v>2392</v>
      </c>
      <c r="F1869" s="0" t="n">
        <v>96</v>
      </c>
      <c r="G1869" s="0" t="n">
        <v>89</v>
      </c>
      <c r="H1869" s="1" t="s">
        <v>3592</v>
      </c>
      <c r="I1869" s="1" t="s">
        <v>3617</v>
      </c>
      <c r="J1869" s="9" t="n">
        <v>45906</v>
      </c>
      <c r="K1869" s="0" t="s">
        <v>3618</v>
      </c>
      <c r="L1869" s="0" t="n">
        <v>6</v>
      </c>
      <c r="M1869" s="10"/>
      <c r="N1869" s="10"/>
      <c r="O1869" s="0" t="str">
        <f aca="false">VLOOKUP(C1869,statusdetails!$A:$D,4,0)</f>
        <v>STANDBY</v>
      </c>
      <c r="P1869" s="0" t="str">
        <f aca="false">VLOOKUP(F1869,equipment!$A:$E,4,0)</f>
        <v>EX503</v>
      </c>
      <c r="Q1869" s="0" t="str">
        <f aca="false">VLOOKUP(F1869,equipment!$A:$E,5,0)</f>
        <v>EX503 - 96</v>
      </c>
    </row>
    <row r="1870" customFormat="false" ht="12.8" hidden="false" customHeight="false" outlineLevel="0" collapsed="false">
      <c r="A1870" s="0" t="n">
        <v>468055</v>
      </c>
      <c r="B1870" s="0" t="n">
        <v>468055</v>
      </c>
      <c r="C1870" s="0" t="n">
        <v>3</v>
      </c>
      <c r="D1870" s="0" t="n">
        <v>14</v>
      </c>
      <c r="E1870" s="0" t="n">
        <v>1789</v>
      </c>
      <c r="F1870" s="0" t="n">
        <v>66</v>
      </c>
      <c r="G1870" s="0" t="n">
        <v>66</v>
      </c>
      <c r="H1870" s="1" t="s">
        <v>3551</v>
      </c>
      <c r="I1870" s="1" t="s">
        <v>3619</v>
      </c>
      <c r="J1870" s="9" t="n">
        <v>45906</v>
      </c>
      <c r="K1870" s="0" t="s">
        <v>3620</v>
      </c>
      <c r="L1870" s="0" t="n">
        <v>6</v>
      </c>
      <c r="M1870" s="10"/>
      <c r="N1870" s="10"/>
      <c r="O1870" s="0" t="str">
        <f aca="false">VLOOKUP(C1870,statusdetails!$A:$D,4,0)</f>
        <v>STANDBY</v>
      </c>
      <c r="P1870" s="0" t="str">
        <f aca="false">VLOOKUP(F1870,equipment!$A:$E,4,0)</f>
        <v>CM407</v>
      </c>
      <c r="Q1870" s="0" t="str">
        <f aca="false">VLOOKUP(F1870,equipment!$A:$E,5,0)</f>
        <v>CM407 - 66</v>
      </c>
    </row>
    <row r="1871" customFormat="false" ht="12.8" hidden="true" customHeight="false" outlineLevel="0" collapsed="false">
      <c r="A1871" s="0" t="n">
        <v>468056</v>
      </c>
      <c r="B1871" s="0" t="n">
        <v>468056</v>
      </c>
      <c r="C1871" s="0" t="n">
        <v>3</v>
      </c>
      <c r="D1871" s="0" t="n">
        <v>12</v>
      </c>
      <c r="E1871" s="0" t="n">
        <v>1175</v>
      </c>
      <c r="F1871" s="0" t="n">
        <v>49</v>
      </c>
      <c r="G1871" s="0" t="n">
        <v>157</v>
      </c>
      <c r="H1871" s="0" t="s">
        <v>3605</v>
      </c>
      <c r="I1871" s="13" t="n">
        <v>45906</v>
      </c>
      <c r="J1871" s="2" t="n">
        <v>6</v>
      </c>
      <c r="M1871" s="0"/>
      <c r="N1871" s="0"/>
    </row>
    <row r="1872" customFormat="false" ht="12.8" hidden="true" customHeight="false" outlineLevel="0" collapsed="false">
      <c r="A1872" s="0" t="n">
        <v>468057</v>
      </c>
      <c r="B1872" s="0" t="n">
        <v>468057</v>
      </c>
      <c r="C1872" s="0" t="n">
        <v>3</v>
      </c>
      <c r="D1872" s="0" t="n">
        <v>12</v>
      </c>
      <c r="E1872" s="0" t="n">
        <v>1175</v>
      </c>
      <c r="F1872" s="0" t="n">
        <v>74</v>
      </c>
      <c r="G1872" s="0" t="n">
        <v>61</v>
      </c>
      <c r="H1872" s="0" t="s">
        <v>3570</v>
      </c>
      <c r="I1872" s="13" t="n">
        <v>45906</v>
      </c>
      <c r="J1872" s="2" t="n">
        <v>6</v>
      </c>
      <c r="M1872" s="0"/>
      <c r="N1872" s="0"/>
    </row>
    <row r="1873" customFormat="false" ht="12.8" hidden="false" customHeight="false" outlineLevel="0" collapsed="false">
      <c r="A1873" s="0" t="n">
        <v>468058</v>
      </c>
      <c r="B1873" s="0" t="n">
        <v>468058</v>
      </c>
      <c r="C1873" s="0" t="n">
        <v>3</v>
      </c>
      <c r="D1873" s="0" t="n">
        <v>12</v>
      </c>
      <c r="E1873" s="0" t="n">
        <v>608</v>
      </c>
      <c r="F1873" s="0" t="n">
        <v>41</v>
      </c>
      <c r="G1873" s="0" t="n">
        <v>118</v>
      </c>
      <c r="H1873" s="1" t="s">
        <v>3564</v>
      </c>
      <c r="I1873" s="1" t="s">
        <v>3621</v>
      </c>
      <c r="J1873" s="9" t="n">
        <v>45906</v>
      </c>
      <c r="K1873" s="0" t="s">
        <v>3622</v>
      </c>
      <c r="L1873" s="0" t="n">
        <v>6</v>
      </c>
      <c r="M1873" s="10"/>
      <c r="N1873" s="10"/>
      <c r="O1873" s="0" t="str">
        <f aca="false">VLOOKUP(C1873,statusdetails!$A:$D,4,0)</f>
        <v>STANDBY</v>
      </c>
      <c r="P1873" s="0" t="str">
        <f aca="false">VLOOKUP(F1873,equipment!$A:$E,4,0)</f>
        <v>MO102</v>
      </c>
      <c r="Q1873" s="0" t="str">
        <f aca="false">VLOOKUP(F1873,equipment!$A:$E,5,0)</f>
        <v>MO102 - 41</v>
      </c>
    </row>
    <row r="1874" customFormat="false" ht="12.8" hidden="false" customHeight="false" outlineLevel="0" collapsed="false">
      <c r="A1874" s="0" t="n">
        <v>468059</v>
      </c>
      <c r="B1874" s="0" t="n">
        <v>468059</v>
      </c>
      <c r="C1874" s="0" t="n">
        <v>3</v>
      </c>
      <c r="D1874" s="0" t="n">
        <v>12</v>
      </c>
      <c r="E1874" s="0" t="n">
        <v>394</v>
      </c>
      <c r="F1874" s="0" t="n">
        <v>91</v>
      </c>
      <c r="G1874" s="0" t="n">
        <v>54</v>
      </c>
      <c r="H1874" s="1" t="s">
        <v>3428</v>
      </c>
      <c r="I1874" s="1" t="s">
        <v>3623</v>
      </c>
      <c r="J1874" s="9" t="n">
        <v>45906</v>
      </c>
      <c r="K1874" s="0" t="s">
        <v>3624</v>
      </c>
      <c r="L1874" s="0" t="n">
        <v>6</v>
      </c>
      <c r="M1874" s="10"/>
      <c r="N1874" s="10"/>
      <c r="O1874" s="0" t="str">
        <f aca="false">VLOOKUP(C1874,statusdetails!$A:$D,4,0)</f>
        <v>STANDBY</v>
      </c>
      <c r="P1874" s="0" t="str">
        <f aca="false">VLOOKUP(F1874,equipment!$A:$E,4,0)</f>
        <v>DZ205</v>
      </c>
      <c r="Q1874" s="0" t="str">
        <f aca="false">VLOOKUP(F1874,equipment!$A:$E,5,0)</f>
        <v>DZ205 - 91</v>
      </c>
    </row>
    <row r="1875" customFormat="false" ht="12.8" hidden="false" customHeight="false" outlineLevel="0" collapsed="false">
      <c r="A1875" s="0" t="n">
        <v>468060</v>
      </c>
      <c r="B1875" s="0" t="n">
        <v>468060</v>
      </c>
      <c r="C1875" s="0" t="n">
        <v>3</v>
      </c>
      <c r="D1875" s="0" t="n">
        <v>14</v>
      </c>
      <c r="E1875" s="0" t="n">
        <v>1790</v>
      </c>
      <c r="F1875" s="0" t="n">
        <v>45</v>
      </c>
      <c r="G1875" s="0" t="n">
        <v>133</v>
      </c>
      <c r="H1875" s="1" t="s">
        <v>3603</v>
      </c>
      <c r="I1875" s="12" t="n">
        <v>45907.2935648148</v>
      </c>
      <c r="J1875" s="9" t="n">
        <v>45906</v>
      </c>
      <c r="K1875" s="0" t="s">
        <v>3625</v>
      </c>
      <c r="L1875" s="0" t="n">
        <v>6</v>
      </c>
      <c r="M1875" s="10"/>
      <c r="N1875" s="10"/>
      <c r="O1875" s="0" t="str">
        <f aca="false">VLOOKUP(C1875,statusdetails!$A:$D,4,0)</f>
        <v>STANDBY</v>
      </c>
      <c r="P1875" s="0" t="str">
        <f aca="false">VLOOKUP(F1875,equipment!$A:$E,4,0)</f>
        <v>EX501</v>
      </c>
      <c r="Q1875" s="0" t="str">
        <f aca="false">VLOOKUP(F1875,equipment!$A:$E,5,0)</f>
        <v>EX501 - 45</v>
      </c>
    </row>
    <row r="1876" customFormat="false" ht="12.8" hidden="false" customHeight="false" outlineLevel="0" collapsed="false">
      <c r="A1876" s="0" t="n">
        <v>468061</v>
      </c>
      <c r="B1876" s="0" t="n">
        <v>468061</v>
      </c>
      <c r="C1876" s="0" t="n">
        <v>3</v>
      </c>
      <c r="D1876" s="0" t="n">
        <v>14</v>
      </c>
      <c r="E1876" s="0" t="n">
        <v>2083</v>
      </c>
      <c r="F1876" s="0" t="n">
        <v>43</v>
      </c>
      <c r="G1876" s="0" t="n">
        <v>16</v>
      </c>
      <c r="H1876" s="1" t="s">
        <v>3594</v>
      </c>
      <c r="I1876" s="1" t="s">
        <v>3626</v>
      </c>
      <c r="J1876" s="9" t="n">
        <v>45906</v>
      </c>
      <c r="K1876" s="0" t="s">
        <v>3627</v>
      </c>
      <c r="L1876" s="0" t="n">
        <v>6</v>
      </c>
      <c r="M1876" s="10"/>
      <c r="N1876" s="10"/>
      <c r="O1876" s="0" t="str">
        <f aca="false">VLOOKUP(C1876,statusdetails!$A:$D,4,0)</f>
        <v>STANDBY</v>
      </c>
      <c r="P1876" s="0" t="str">
        <f aca="false">VLOOKUP(F1876,equipment!$A:$E,4,0)</f>
        <v>PE302</v>
      </c>
      <c r="Q1876" s="0" t="str">
        <f aca="false">VLOOKUP(F1876,equipment!$A:$E,5,0)</f>
        <v>PE302 - 43</v>
      </c>
    </row>
    <row r="1877" customFormat="false" ht="12.8" hidden="false" customHeight="false" outlineLevel="0" collapsed="false">
      <c r="A1877" s="0" t="n">
        <v>468062</v>
      </c>
      <c r="B1877" s="0" t="n">
        <v>468062</v>
      </c>
      <c r="C1877" s="0" t="n">
        <v>3</v>
      </c>
      <c r="D1877" s="0" t="n">
        <v>14</v>
      </c>
      <c r="E1877" s="0" t="n">
        <v>1789</v>
      </c>
      <c r="F1877" s="0" t="n">
        <v>32</v>
      </c>
      <c r="G1877" s="0" t="n">
        <v>67</v>
      </c>
      <c r="H1877" s="1" t="s">
        <v>3611</v>
      </c>
      <c r="I1877" s="1" t="s">
        <v>3628</v>
      </c>
      <c r="J1877" s="9" t="n">
        <v>45907</v>
      </c>
      <c r="K1877" s="0" t="s">
        <v>3629</v>
      </c>
      <c r="L1877" s="0" t="n">
        <v>7</v>
      </c>
      <c r="M1877" s="10"/>
      <c r="N1877" s="10"/>
      <c r="O1877" s="0" t="str">
        <f aca="false">VLOOKUP(C1877,statusdetails!$A:$D,4,0)</f>
        <v>STANDBY</v>
      </c>
      <c r="P1877" s="0" t="str">
        <f aca="false">VLOOKUP(F1877,equipment!$A:$E,4,0)</f>
        <v>CM403</v>
      </c>
      <c r="Q1877" s="0" t="str">
        <f aca="false">VLOOKUP(F1877,equipment!$A:$E,5,0)</f>
        <v>CM403 - 32</v>
      </c>
    </row>
    <row r="1878" customFormat="false" ht="12.8" hidden="false" customHeight="false" outlineLevel="0" collapsed="false">
      <c r="A1878" s="0" t="n">
        <v>468063</v>
      </c>
      <c r="B1878" s="0" t="n">
        <v>468063</v>
      </c>
      <c r="C1878" s="0" t="n">
        <v>3</v>
      </c>
      <c r="D1878" s="0" t="n">
        <v>14</v>
      </c>
      <c r="E1878" s="0" t="n">
        <v>2406</v>
      </c>
      <c r="F1878" s="0" t="n">
        <v>86</v>
      </c>
      <c r="G1878" s="0" t="n">
        <v>7</v>
      </c>
      <c r="H1878" s="1" t="s">
        <v>3560</v>
      </c>
      <c r="I1878" s="1" t="s">
        <v>3630</v>
      </c>
      <c r="J1878" s="9" t="n">
        <v>45907</v>
      </c>
      <c r="K1878" s="0" t="s">
        <v>3631</v>
      </c>
      <c r="L1878" s="0" t="n">
        <v>7</v>
      </c>
      <c r="M1878" s="10"/>
      <c r="N1878" s="10"/>
      <c r="O1878" s="0" t="str">
        <f aca="false">VLOOKUP(C1878,statusdetails!$A:$D,4,0)</f>
        <v>STANDBY</v>
      </c>
      <c r="P1878" s="0" t="str">
        <f aca="false">VLOOKUP(F1878,equipment!$A:$E,4,0)</f>
        <v>CM03</v>
      </c>
      <c r="Q1878" s="0" t="str">
        <f aca="false">VLOOKUP(F1878,equipment!$A:$E,5,0)</f>
        <v>CM03 - 86</v>
      </c>
    </row>
    <row r="1879" customFormat="false" ht="12.8" hidden="true" customHeight="false" outlineLevel="0" collapsed="false">
      <c r="A1879" s="0" t="n">
        <v>468064</v>
      </c>
      <c r="B1879" s="0" t="n">
        <v>468064</v>
      </c>
      <c r="C1879" s="0" t="n">
        <v>4</v>
      </c>
      <c r="D1879" s="0" t="n">
        <v>16</v>
      </c>
      <c r="E1879" s="0" t="n">
        <v>924</v>
      </c>
      <c r="F1879" s="0" t="n">
        <v>43</v>
      </c>
      <c r="G1879" s="0" t="n">
        <v>16</v>
      </c>
      <c r="H1879" s="0" t="s">
        <v>3626</v>
      </c>
      <c r="I1879" s="11" t="n">
        <v>45907.3466782407</v>
      </c>
      <c r="J1879" s="9" t="n">
        <v>45907</v>
      </c>
      <c r="K1879" s="0" t="s">
        <v>3632</v>
      </c>
      <c r="L1879" s="0" t="n">
        <v>7</v>
      </c>
      <c r="M1879" s="10"/>
      <c r="N1879" s="10"/>
      <c r="O1879" s="0" t="str">
        <f aca="false">VLOOKUP(C1879,statusdetails!$A:$D,4,0)</f>
        <v>MAINT</v>
      </c>
    </row>
    <row r="1880" customFormat="false" ht="12.8" hidden="true" customHeight="false" outlineLevel="0" collapsed="false">
      <c r="A1880" s="0" t="n">
        <v>468065</v>
      </c>
      <c r="B1880" s="0" t="n">
        <v>468065</v>
      </c>
      <c r="C1880" s="0" t="n">
        <v>1</v>
      </c>
      <c r="D1880" s="0" t="n">
        <v>6</v>
      </c>
      <c r="E1880" s="0" t="n">
        <v>372</v>
      </c>
      <c r="F1880" s="0" t="n">
        <v>37</v>
      </c>
      <c r="G1880" s="0" t="n">
        <v>45</v>
      </c>
      <c r="H1880" s="0" t="s">
        <v>3555</v>
      </c>
      <c r="I1880" s="0" t="s">
        <v>3633</v>
      </c>
      <c r="J1880" s="9" t="n">
        <v>45907</v>
      </c>
      <c r="K1880" s="0" t="s">
        <v>3634</v>
      </c>
      <c r="L1880" s="0" t="n">
        <v>7</v>
      </c>
      <c r="M1880" s="10"/>
      <c r="N1880" s="10"/>
      <c r="O1880" s="0" t="str">
        <f aca="false">VLOOKUP(C1880,statusdetails!$A:$D,4,0)</f>
        <v>READY</v>
      </c>
    </row>
    <row r="1881" customFormat="false" ht="12.8" hidden="true" customHeight="false" outlineLevel="0" collapsed="false">
      <c r="A1881" s="0" t="n">
        <v>468066</v>
      </c>
      <c r="B1881" s="0" t="n">
        <v>468066</v>
      </c>
      <c r="C1881" s="0" t="n">
        <v>1</v>
      </c>
      <c r="D1881" s="0" t="n">
        <v>6</v>
      </c>
      <c r="E1881" s="0" t="n">
        <v>2404</v>
      </c>
      <c r="F1881" s="0" t="n">
        <v>86</v>
      </c>
      <c r="G1881" s="0" t="n">
        <v>155</v>
      </c>
      <c r="H1881" s="0" t="s">
        <v>3630</v>
      </c>
      <c r="I1881" s="11" t="n">
        <v>45907.419525463</v>
      </c>
      <c r="J1881" s="9" t="n">
        <v>45907</v>
      </c>
      <c r="K1881" s="0" t="s">
        <v>3635</v>
      </c>
      <c r="L1881" s="0" t="n">
        <v>7</v>
      </c>
      <c r="M1881" s="10"/>
      <c r="N1881" s="10"/>
      <c r="O1881" s="0" t="str">
        <f aca="false">VLOOKUP(C1881,statusdetails!$A:$D,4,0)</f>
        <v>READY</v>
      </c>
    </row>
    <row r="1882" customFormat="false" ht="12.8" hidden="true" customHeight="false" outlineLevel="0" collapsed="false">
      <c r="A1882" s="0" t="n">
        <v>468067</v>
      </c>
      <c r="B1882" s="0" t="n">
        <v>468067</v>
      </c>
      <c r="C1882" s="0" t="n">
        <v>1</v>
      </c>
      <c r="D1882" s="0" t="n">
        <v>6</v>
      </c>
      <c r="E1882" s="0" t="n">
        <v>372</v>
      </c>
      <c r="F1882" s="0" t="n">
        <v>91</v>
      </c>
      <c r="G1882" s="0" t="n">
        <v>54</v>
      </c>
      <c r="H1882" s="0" t="s">
        <v>3623</v>
      </c>
      <c r="I1882" s="0" t="s">
        <v>3636</v>
      </c>
      <c r="J1882" s="9" t="n">
        <v>45907</v>
      </c>
      <c r="K1882" s="0" t="s">
        <v>3637</v>
      </c>
      <c r="L1882" s="0" t="n">
        <v>7</v>
      </c>
      <c r="M1882" s="10"/>
      <c r="N1882" s="10"/>
      <c r="O1882" s="0" t="str">
        <f aca="false">VLOOKUP(C1882,statusdetails!$A:$D,4,0)</f>
        <v>READY</v>
      </c>
    </row>
    <row r="1883" customFormat="false" ht="12.8" hidden="true" customHeight="false" outlineLevel="0" collapsed="false">
      <c r="A1883" s="0" t="n">
        <v>468068</v>
      </c>
      <c r="B1883" s="0" t="n">
        <v>468068</v>
      </c>
      <c r="C1883" s="0" t="n">
        <v>1</v>
      </c>
      <c r="D1883" s="0" t="n">
        <v>6</v>
      </c>
      <c r="E1883" s="0" t="n">
        <v>260</v>
      </c>
      <c r="F1883" s="0" t="n">
        <v>33</v>
      </c>
      <c r="G1883" s="0" t="n">
        <v>98</v>
      </c>
      <c r="H1883" s="0" t="s">
        <v>3613</v>
      </c>
      <c r="I1883" s="0" t="s">
        <v>3638</v>
      </c>
      <c r="J1883" s="9" t="n">
        <v>45907</v>
      </c>
      <c r="K1883" s="0" t="s">
        <v>3639</v>
      </c>
      <c r="L1883" s="0" t="n">
        <v>7</v>
      </c>
      <c r="M1883" s="10"/>
      <c r="N1883" s="10"/>
      <c r="O1883" s="0" t="str">
        <f aca="false">VLOOKUP(C1883,statusdetails!$A:$D,4,0)</f>
        <v>READY</v>
      </c>
    </row>
    <row r="1884" customFormat="false" ht="12.8" hidden="true" customHeight="false" outlineLevel="0" collapsed="false">
      <c r="A1884" s="0" t="n">
        <v>468069</v>
      </c>
      <c r="B1884" s="0" t="n">
        <v>468069</v>
      </c>
      <c r="C1884" s="0" t="n">
        <v>1</v>
      </c>
      <c r="D1884" s="0" t="n">
        <v>6</v>
      </c>
      <c r="E1884" s="0" t="n">
        <v>2518</v>
      </c>
      <c r="F1884" s="0" t="n">
        <v>96</v>
      </c>
      <c r="G1884" s="0" t="n">
        <v>89</v>
      </c>
      <c r="H1884" s="0" t="s">
        <v>3617</v>
      </c>
      <c r="I1884" s="0" t="s">
        <v>3640</v>
      </c>
      <c r="J1884" s="9" t="n">
        <v>45907</v>
      </c>
      <c r="K1884" s="0" t="s">
        <v>3641</v>
      </c>
      <c r="L1884" s="0" t="n">
        <v>7</v>
      </c>
      <c r="M1884" s="10"/>
      <c r="N1884" s="10"/>
      <c r="O1884" s="0" t="str">
        <f aca="false">VLOOKUP(C1884,statusdetails!$A:$D,4,0)</f>
        <v>READY</v>
      </c>
    </row>
    <row r="1885" customFormat="false" ht="12.8" hidden="true" customHeight="false" outlineLevel="0" collapsed="false">
      <c r="A1885" s="0" t="n">
        <v>468070</v>
      </c>
      <c r="B1885" s="0" t="n">
        <v>468070</v>
      </c>
      <c r="C1885" s="0" t="n">
        <v>1</v>
      </c>
      <c r="D1885" s="0" t="n">
        <v>6</v>
      </c>
      <c r="E1885" s="0" t="n">
        <v>260</v>
      </c>
      <c r="F1885" s="0" t="n">
        <v>35</v>
      </c>
      <c r="G1885" s="0" t="n">
        <v>62</v>
      </c>
      <c r="H1885" s="0" t="s">
        <v>3615</v>
      </c>
      <c r="I1885" s="0" t="s">
        <v>3642</v>
      </c>
      <c r="J1885" s="9" t="n">
        <v>45907</v>
      </c>
      <c r="K1885" s="0" t="s">
        <v>3643</v>
      </c>
      <c r="L1885" s="0" t="n">
        <v>7</v>
      </c>
      <c r="M1885" s="10"/>
      <c r="N1885" s="10"/>
      <c r="O1885" s="0" t="str">
        <f aca="false">VLOOKUP(C1885,statusdetails!$A:$D,4,0)</f>
        <v>READY</v>
      </c>
    </row>
    <row r="1886" customFormat="false" ht="12.8" hidden="false" customHeight="false" outlineLevel="0" collapsed="false">
      <c r="A1886" s="0" t="n">
        <v>468071</v>
      </c>
      <c r="B1886" s="0" t="n">
        <v>468071</v>
      </c>
      <c r="C1886" s="0" t="n">
        <v>3</v>
      </c>
      <c r="D1886" s="0" t="n">
        <v>14</v>
      </c>
      <c r="E1886" s="0" t="n">
        <v>1789</v>
      </c>
      <c r="F1886" s="0" t="n">
        <v>66</v>
      </c>
      <c r="G1886" s="0" t="n">
        <v>47</v>
      </c>
      <c r="H1886" s="1" t="s">
        <v>3619</v>
      </c>
      <c r="I1886" s="1" t="s">
        <v>3644</v>
      </c>
      <c r="J1886" s="9" t="n">
        <v>45907</v>
      </c>
      <c r="K1886" s="0" t="s">
        <v>3645</v>
      </c>
      <c r="L1886" s="0" t="n">
        <v>7</v>
      </c>
      <c r="M1886" s="10"/>
      <c r="N1886" s="10"/>
      <c r="O1886" s="0" t="str">
        <f aca="false">VLOOKUP(C1886,statusdetails!$A:$D,4,0)</f>
        <v>STANDBY</v>
      </c>
      <c r="P1886" s="0" t="str">
        <f aca="false">VLOOKUP(F1886,equipment!$A:$E,4,0)</f>
        <v>CM407</v>
      </c>
      <c r="Q1886" s="0" t="str">
        <f aca="false">VLOOKUP(F1886,equipment!$A:$E,5,0)</f>
        <v>CM407 - 66</v>
      </c>
    </row>
    <row r="1887" customFormat="false" ht="12.8" hidden="true" customHeight="false" outlineLevel="0" collapsed="false">
      <c r="A1887" s="0" t="n">
        <v>468072</v>
      </c>
      <c r="B1887" s="0" t="n">
        <v>468072</v>
      </c>
      <c r="C1887" s="0" t="n">
        <v>1</v>
      </c>
      <c r="D1887" s="0" t="n">
        <v>6</v>
      </c>
      <c r="E1887" s="0" t="n">
        <v>260</v>
      </c>
      <c r="F1887" s="0" t="n">
        <v>32</v>
      </c>
      <c r="G1887" s="0" t="n">
        <v>23</v>
      </c>
      <c r="H1887" s="0" t="s">
        <v>3628</v>
      </c>
      <c r="I1887" s="0" t="s">
        <v>3646</v>
      </c>
      <c r="J1887" s="9" t="n">
        <v>45907</v>
      </c>
      <c r="K1887" s="0" t="s">
        <v>3647</v>
      </c>
      <c r="L1887" s="0" t="n">
        <v>7</v>
      </c>
      <c r="M1887" s="10"/>
      <c r="N1887" s="10"/>
      <c r="O1887" s="0" t="str">
        <f aca="false">VLOOKUP(C1887,statusdetails!$A:$D,4,0)</f>
        <v>READY</v>
      </c>
    </row>
    <row r="1888" customFormat="false" ht="12.8" hidden="true" customHeight="false" outlineLevel="0" collapsed="false">
      <c r="A1888" s="0" t="n">
        <v>468073</v>
      </c>
      <c r="B1888" s="0" t="n">
        <v>468073</v>
      </c>
      <c r="C1888" s="0" t="n">
        <v>1</v>
      </c>
      <c r="D1888" s="0" t="n">
        <v>6</v>
      </c>
      <c r="E1888" s="0" t="n">
        <v>260</v>
      </c>
      <c r="F1888" s="0" t="n">
        <v>66</v>
      </c>
      <c r="G1888" s="0" t="n">
        <v>47</v>
      </c>
      <c r="H1888" s="0" t="s">
        <v>3644</v>
      </c>
      <c r="I1888" s="0" t="s">
        <v>3648</v>
      </c>
      <c r="J1888" s="9" t="n">
        <v>45907</v>
      </c>
      <c r="K1888" s="0" t="s">
        <v>3649</v>
      </c>
      <c r="L1888" s="0" t="n">
        <v>7</v>
      </c>
      <c r="M1888" s="10"/>
      <c r="N1888" s="10"/>
      <c r="O1888" s="0" t="str">
        <f aca="false">VLOOKUP(C1888,statusdetails!$A:$D,4,0)</f>
        <v>READY</v>
      </c>
    </row>
    <row r="1889" customFormat="false" ht="12.8" hidden="true" customHeight="false" outlineLevel="0" collapsed="false">
      <c r="H1889" s="0"/>
      <c r="I1889" s="0"/>
      <c r="J1889" s="9"/>
    </row>
    <row r="1890" customFormat="false" ht="12.8" hidden="true" customHeight="false" outlineLevel="0" collapsed="false">
      <c r="A1890" s="0" t="n">
        <v>468076</v>
      </c>
      <c r="B1890" s="0" t="n">
        <v>468076</v>
      </c>
      <c r="C1890" s="0" t="n">
        <v>1</v>
      </c>
      <c r="D1890" s="0" t="n">
        <v>6</v>
      </c>
      <c r="E1890" s="0" t="n">
        <v>2404</v>
      </c>
      <c r="F1890" s="0" t="n">
        <v>88</v>
      </c>
      <c r="G1890" s="0" t="n">
        <v>151</v>
      </c>
      <c r="H1890" s="0" t="s">
        <v>3650</v>
      </c>
      <c r="I1890" s="0" t="s">
        <v>3651</v>
      </c>
      <c r="J1890" s="9" t="n">
        <v>45907</v>
      </c>
      <c r="K1890" s="0" t="s">
        <v>3652</v>
      </c>
      <c r="L1890" s="0" t="n">
        <v>7</v>
      </c>
      <c r="M1890" s="10"/>
      <c r="N1890" s="10"/>
      <c r="O1890" s="0" t="str">
        <f aca="false">VLOOKUP(C1890,statusdetails!$A:$D,4,0)</f>
        <v>READY</v>
      </c>
    </row>
    <row r="1891" customFormat="false" ht="12.8" hidden="true" customHeight="false" outlineLevel="0" collapsed="false">
      <c r="A1891" s="0" t="n">
        <v>468079</v>
      </c>
      <c r="B1891" s="0" t="n">
        <v>468077</v>
      </c>
      <c r="C1891" s="0" t="n">
        <v>1</v>
      </c>
      <c r="D1891" s="0" t="n">
        <v>2303</v>
      </c>
      <c r="E1891" s="0" t="n">
        <v>969</v>
      </c>
      <c r="F1891" s="0" t="n">
        <v>45</v>
      </c>
      <c r="G1891" s="0" t="n">
        <v>133</v>
      </c>
      <c r="H1891" s="11" t="n">
        <v>45907.2935648148</v>
      </c>
      <c r="I1891" s="0" t="s">
        <v>3653</v>
      </c>
      <c r="J1891" s="9" t="n">
        <v>45907</v>
      </c>
      <c r="K1891" s="0" t="s">
        <v>3654</v>
      </c>
      <c r="L1891" s="0" t="n">
        <v>7</v>
      </c>
      <c r="M1891" s="10"/>
      <c r="N1891" s="10"/>
      <c r="O1891" s="0" t="str">
        <f aca="false">VLOOKUP(C1891,statusdetails!$A:$D,4,0)</f>
        <v>READY</v>
      </c>
    </row>
    <row r="1892" customFormat="false" ht="12.8" hidden="true" customHeight="false" outlineLevel="0" collapsed="false">
      <c r="H1892" s="0"/>
      <c r="I1892" s="11"/>
      <c r="J1892" s="9"/>
    </row>
    <row r="1893" customFormat="false" ht="12.8" hidden="true" customHeight="false" outlineLevel="0" collapsed="false">
      <c r="A1893" s="0" t="n">
        <v>468081</v>
      </c>
      <c r="B1893" s="0" t="n">
        <v>468081</v>
      </c>
      <c r="C1893" s="0" t="n">
        <v>1</v>
      </c>
      <c r="D1893" s="0" t="n">
        <v>6</v>
      </c>
      <c r="E1893" s="0" t="n">
        <v>138</v>
      </c>
      <c r="F1893" s="0" t="n">
        <v>45</v>
      </c>
      <c r="G1893" s="0" t="n">
        <v>133</v>
      </c>
      <c r="H1893" s="0" t="s">
        <v>3653</v>
      </c>
      <c r="I1893" s="0" t="s">
        <v>3655</v>
      </c>
      <c r="J1893" s="9" t="n">
        <v>45907</v>
      </c>
      <c r="K1893" s="0" t="s">
        <v>3656</v>
      </c>
      <c r="L1893" s="0" t="n">
        <v>7</v>
      </c>
      <c r="M1893" s="10"/>
      <c r="N1893" s="10"/>
      <c r="O1893" s="0" t="str">
        <f aca="false">VLOOKUP(C1893,statusdetails!$A:$D,4,0)</f>
        <v>READY</v>
      </c>
    </row>
    <row r="1894" customFormat="false" ht="12.8" hidden="true" customHeight="false" outlineLevel="0" collapsed="false">
      <c r="A1894" s="0" t="n">
        <v>468082</v>
      </c>
      <c r="B1894" s="0" t="n">
        <v>468082</v>
      </c>
      <c r="C1894" s="0" t="n">
        <v>1</v>
      </c>
      <c r="D1894" s="0" t="n">
        <v>6</v>
      </c>
      <c r="E1894" s="0" t="n">
        <v>586</v>
      </c>
      <c r="F1894" s="0" t="n">
        <v>41</v>
      </c>
      <c r="G1894" s="0" t="n">
        <v>118</v>
      </c>
      <c r="H1894" s="0" t="s">
        <v>3621</v>
      </c>
      <c r="I1894" s="0" t="s">
        <v>3657</v>
      </c>
      <c r="J1894" s="9" t="n">
        <v>45907</v>
      </c>
      <c r="K1894" s="0" t="s">
        <v>3658</v>
      </c>
      <c r="L1894" s="0" t="n">
        <v>7</v>
      </c>
      <c r="M1894" s="10"/>
      <c r="N1894" s="10"/>
      <c r="O1894" s="0" t="str">
        <f aca="false">VLOOKUP(C1894,statusdetails!$A:$D,4,0)</f>
        <v>READY</v>
      </c>
    </row>
    <row r="1895" customFormat="false" ht="12.8" hidden="true" customHeight="false" outlineLevel="0" collapsed="false">
      <c r="A1895" s="0" t="n">
        <v>468084</v>
      </c>
      <c r="B1895" s="0" t="n">
        <v>468084</v>
      </c>
      <c r="C1895" s="0" t="n">
        <v>1</v>
      </c>
      <c r="D1895" s="0" t="n">
        <v>2303</v>
      </c>
      <c r="E1895" s="0" t="n">
        <v>969</v>
      </c>
      <c r="F1895" s="0" t="n">
        <v>45</v>
      </c>
      <c r="G1895" s="0" t="n">
        <v>156</v>
      </c>
      <c r="H1895" s="0" t="s">
        <v>3655</v>
      </c>
      <c r="I1895" s="0" t="s">
        <v>3659</v>
      </c>
      <c r="J1895" s="9" t="n">
        <v>45907</v>
      </c>
      <c r="K1895" s="0" t="s">
        <v>3660</v>
      </c>
      <c r="L1895" s="0" t="n">
        <v>7</v>
      </c>
      <c r="M1895" s="10"/>
      <c r="N1895" s="10"/>
      <c r="O1895" s="0" t="str">
        <f aca="false">VLOOKUP(C1895,statusdetails!$A:$D,4,0)</f>
        <v>READY</v>
      </c>
    </row>
    <row r="1896" customFormat="false" ht="12.8" hidden="true" customHeight="false" outlineLevel="0" collapsed="false">
      <c r="A1896" s="0" t="n">
        <v>468085</v>
      </c>
      <c r="B1896" s="0" t="n">
        <v>468085</v>
      </c>
      <c r="C1896" s="0" t="n">
        <v>1</v>
      </c>
      <c r="D1896" s="0" t="n">
        <v>2303</v>
      </c>
      <c r="E1896" s="0" t="n">
        <v>2549</v>
      </c>
      <c r="F1896" s="0" t="n">
        <v>90</v>
      </c>
      <c r="G1896" s="0" t="n">
        <v>163</v>
      </c>
      <c r="H1896" s="0" t="s">
        <v>3589</v>
      </c>
      <c r="I1896" s="0" t="s">
        <v>3661</v>
      </c>
      <c r="J1896" s="9" t="n">
        <v>45907</v>
      </c>
      <c r="K1896" s="0" t="s">
        <v>3662</v>
      </c>
      <c r="L1896" s="0" t="n">
        <v>7</v>
      </c>
      <c r="M1896" s="10"/>
      <c r="N1896" s="10"/>
      <c r="O1896" s="0" t="str">
        <f aca="false">VLOOKUP(C1896,statusdetails!$A:$D,4,0)</f>
        <v>READY</v>
      </c>
    </row>
    <row r="1897" customFormat="false" ht="12.8" hidden="true" customHeight="false" outlineLevel="0" collapsed="false">
      <c r="A1897" s="0" t="n">
        <v>468086</v>
      </c>
      <c r="B1897" s="0" t="n">
        <v>468086</v>
      </c>
      <c r="C1897" s="0" t="n">
        <v>1</v>
      </c>
      <c r="D1897" s="0" t="n">
        <v>2303</v>
      </c>
      <c r="E1897" s="0" t="n">
        <v>2549</v>
      </c>
      <c r="F1897" s="0" t="n">
        <v>60</v>
      </c>
      <c r="G1897" s="0" t="n">
        <v>0</v>
      </c>
      <c r="H1897" s="0" t="s">
        <v>3424</v>
      </c>
      <c r="I1897" s="0" t="s">
        <v>3663</v>
      </c>
      <c r="J1897" s="9" t="n">
        <v>45907</v>
      </c>
      <c r="K1897" s="0" t="s">
        <v>3664</v>
      </c>
      <c r="L1897" s="0" t="n">
        <v>7</v>
      </c>
      <c r="M1897" s="10"/>
      <c r="N1897" s="10"/>
      <c r="O1897" s="0" t="str">
        <f aca="false">VLOOKUP(C1897,statusdetails!$A:$D,4,0)</f>
        <v>READY</v>
      </c>
    </row>
    <row r="1898" customFormat="false" ht="12.8" hidden="true" customHeight="false" outlineLevel="0" collapsed="false">
      <c r="A1898" s="0" t="n">
        <v>468087</v>
      </c>
      <c r="B1898" s="0" t="n">
        <v>468083</v>
      </c>
      <c r="C1898" s="0" t="n">
        <v>1</v>
      </c>
      <c r="D1898" s="0" t="n">
        <v>6</v>
      </c>
      <c r="E1898" s="0" t="n">
        <v>2518</v>
      </c>
      <c r="F1898" s="0" t="n">
        <v>96</v>
      </c>
      <c r="G1898" s="0" t="n">
        <v>88</v>
      </c>
      <c r="H1898" s="11" t="n">
        <v>45907.3116435185</v>
      </c>
      <c r="I1898" s="0" t="s">
        <v>3665</v>
      </c>
      <c r="J1898" s="9" t="n">
        <v>45907</v>
      </c>
      <c r="K1898" s="0" t="s">
        <v>3666</v>
      </c>
      <c r="L1898" s="0" t="n">
        <v>7</v>
      </c>
      <c r="M1898" s="10"/>
      <c r="N1898" s="10"/>
      <c r="O1898" s="0" t="str">
        <f aca="false">VLOOKUP(C1898,statusdetails!$A:$D,4,0)</f>
        <v>READY</v>
      </c>
    </row>
    <row r="1899" customFormat="false" ht="12.8" hidden="true" customHeight="false" outlineLevel="0" collapsed="false">
      <c r="A1899" s="0" t="n">
        <v>468088</v>
      </c>
      <c r="B1899" s="0" t="n">
        <v>468088</v>
      </c>
      <c r="C1899" s="0" t="n">
        <v>1</v>
      </c>
      <c r="D1899" s="0" t="n">
        <v>6</v>
      </c>
      <c r="E1899" s="0" t="n">
        <v>811</v>
      </c>
      <c r="F1899" s="0" t="n">
        <v>42</v>
      </c>
      <c r="G1899" s="0" t="n">
        <v>83</v>
      </c>
      <c r="H1899" s="0" t="s">
        <v>2780</v>
      </c>
      <c r="I1899" s="0" t="s">
        <v>3667</v>
      </c>
      <c r="J1899" s="9" t="n">
        <v>45907</v>
      </c>
      <c r="K1899" s="0" t="s">
        <v>3668</v>
      </c>
      <c r="L1899" s="0" t="n">
        <v>8</v>
      </c>
      <c r="M1899" s="10"/>
      <c r="N1899" s="10"/>
      <c r="O1899" s="0" t="str">
        <f aca="false">VLOOKUP(C1899,statusdetails!$A:$D,4,0)</f>
        <v>READY</v>
      </c>
    </row>
    <row r="1900" customFormat="false" ht="12.8" hidden="true" customHeight="false" outlineLevel="0" collapsed="false">
      <c r="A1900" s="0" t="n">
        <v>468089</v>
      </c>
      <c r="B1900" s="0" t="n">
        <v>468089</v>
      </c>
      <c r="C1900" s="0" t="n">
        <v>1</v>
      </c>
      <c r="D1900" s="0" t="n">
        <v>2303</v>
      </c>
      <c r="E1900" s="0" t="n">
        <v>2550</v>
      </c>
      <c r="F1900" s="0" t="n">
        <v>33</v>
      </c>
      <c r="G1900" s="0" t="n">
        <v>98</v>
      </c>
      <c r="H1900" s="0" t="s">
        <v>3638</v>
      </c>
      <c r="I1900" s="0" t="s">
        <v>3669</v>
      </c>
      <c r="J1900" s="9" t="n">
        <v>45907</v>
      </c>
      <c r="K1900" s="0" t="s">
        <v>3670</v>
      </c>
      <c r="L1900" s="0" t="n">
        <v>8</v>
      </c>
      <c r="M1900" s="10"/>
      <c r="N1900" s="10"/>
      <c r="O1900" s="0" t="str">
        <f aca="false">VLOOKUP(C1900,statusdetails!$A:$D,4,0)</f>
        <v>READY</v>
      </c>
    </row>
    <row r="1901" customFormat="false" ht="12.8" hidden="false" customHeight="false" outlineLevel="0" collapsed="false">
      <c r="A1901" s="0" t="n">
        <v>468091</v>
      </c>
      <c r="B1901" s="0" t="n">
        <v>468091</v>
      </c>
      <c r="C1901" s="0" t="n">
        <v>3</v>
      </c>
      <c r="D1901" s="0" t="n">
        <v>12</v>
      </c>
      <c r="E1901" s="0" t="n">
        <v>1011</v>
      </c>
      <c r="F1901" s="0" t="n">
        <v>33</v>
      </c>
      <c r="G1901" s="0" t="n">
        <v>98</v>
      </c>
      <c r="H1901" s="1" t="s">
        <v>3669</v>
      </c>
      <c r="I1901" s="1" t="s">
        <v>3671</v>
      </c>
      <c r="J1901" s="9" t="n">
        <v>45907</v>
      </c>
      <c r="K1901" s="0" t="s">
        <v>3672</v>
      </c>
      <c r="L1901" s="0" t="n">
        <v>8</v>
      </c>
      <c r="M1901" s="10"/>
      <c r="N1901" s="10"/>
      <c r="O1901" s="0" t="str">
        <f aca="false">VLOOKUP(C1901,statusdetails!$A:$D,4,0)</f>
        <v>STANDBY</v>
      </c>
      <c r="P1901" s="0" t="str">
        <f aca="false">VLOOKUP(F1901,equipment!$A:$E,4,0)</f>
        <v>CM406</v>
      </c>
      <c r="Q1901" s="0" t="str">
        <f aca="false">VLOOKUP(F1901,equipment!$A:$E,5,0)</f>
        <v>CM406 - 33</v>
      </c>
    </row>
    <row r="1902" customFormat="false" ht="12.8" hidden="true" customHeight="false" outlineLevel="0" collapsed="false">
      <c r="A1902" s="0" t="n">
        <v>468092</v>
      </c>
      <c r="B1902" s="0" t="n">
        <v>468092</v>
      </c>
      <c r="C1902" s="0" t="n">
        <v>1</v>
      </c>
      <c r="D1902" s="0" t="n">
        <v>6</v>
      </c>
      <c r="E1902" s="0" t="n">
        <v>260</v>
      </c>
      <c r="F1902" s="0" t="n">
        <v>33</v>
      </c>
      <c r="G1902" s="0" t="n">
        <v>98</v>
      </c>
      <c r="H1902" s="0" t="s">
        <v>3671</v>
      </c>
      <c r="I1902" s="0" t="s">
        <v>3673</v>
      </c>
      <c r="J1902" s="9" t="n">
        <v>45907</v>
      </c>
      <c r="K1902" s="0" t="s">
        <v>3674</v>
      </c>
      <c r="L1902" s="0" t="n">
        <v>8</v>
      </c>
      <c r="M1902" s="10"/>
      <c r="N1902" s="10"/>
      <c r="O1902" s="0" t="str">
        <f aca="false">VLOOKUP(C1902,statusdetails!$A:$D,4,0)</f>
        <v>READY</v>
      </c>
    </row>
    <row r="1903" customFormat="false" ht="12.8" hidden="false" customHeight="false" outlineLevel="0" collapsed="false">
      <c r="A1903" s="0" t="n">
        <v>468093</v>
      </c>
      <c r="B1903" s="0" t="n">
        <v>468093</v>
      </c>
      <c r="C1903" s="0" t="n">
        <v>3</v>
      </c>
      <c r="D1903" s="0" t="n">
        <v>12</v>
      </c>
      <c r="E1903" s="0" t="n">
        <v>1011</v>
      </c>
      <c r="F1903" s="0" t="n">
        <v>33</v>
      </c>
      <c r="G1903" s="0" t="n">
        <v>98</v>
      </c>
      <c r="H1903" s="1" t="s">
        <v>3673</v>
      </c>
      <c r="I1903" s="1" t="s">
        <v>3675</v>
      </c>
      <c r="J1903" s="9" t="n">
        <v>45907</v>
      </c>
      <c r="K1903" s="0" t="s">
        <v>3676</v>
      </c>
      <c r="L1903" s="0" t="n">
        <v>8</v>
      </c>
      <c r="M1903" s="10"/>
      <c r="N1903" s="10"/>
      <c r="O1903" s="0" t="str">
        <f aca="false">VLOOKUP(C1903,statusdetails!$A:$D,4,0)</f>
        <v>STANDBY</v>
      </c>
      <c r="P1903" s="0" t="str">
        <f aca="false">VLOOKUP(F1903,equipment!$A:$E,4,0)</f>
        <v>CM406</v>
      </c>
      <c r="Q1903" s="0" t="str">
        <f aca="false">VLOOKUP(F1903,equipment!$A:$E,5,0)</f>
        <v>CM406 - 33</v>
      </c>
    </row>
    <row r="1904" customFormat="false" ht="12.8" hidden="true" customHeight="false" outlineLevel="0" collapsed="false">
      <c r="A1904" s="0" t="n">
        <v>468094</v>
      </c>
      <c r="B1904" s="0" t="n">
        <v>468094</v>
      </c>
      <c r="C1904" s="0" t="n">
        <v>1</v>
      </c>
      <c r="D1904" s="0" t="n">
        <v>2303</v>
      </c>
      <c r="E1904" s="0" t="n">
        <v>2550</v>
      </c>
      <c r="F1904" s="0" t="n">
        <v>33</v>
      </c>
      <c r="G1904" s="0" t="n">
        <v>98</v>
      </c>
      <c r="H1904" s="0" t="s">
        <v>3675</v>
      </c>
      <c r="I1904" s="0" t="s">
        <v>3677</v>
      </c>
      <c r="J1904" s="9" t="n">
        <v>45907</v>
      </c>
      <c r="K1904" s="0" t="s">
        <v>3678</v>
      </c>
      <c r="L1904" s="0" t="n">
        <v>8</v>
      </c>
      <c r="M1904" s="10"/>
      <c r="N1904" s="10"/>
      <c r="O1904" s="0" t="str">
        <f aca="false">VLOOKUP(C1904,statusdetails!$A:$D,4,0)</f>
        <v>READY</v>
      </c>
    </row>
    <row r="1905" customFormat="false" ht="12.8" hidden="false" customHeight="false" outlineLevel="0" collapsed="false">
      <c r="A1905" s="0" t="n">
        <v>468096</v>
      </c>
      <c r="B1905" s="0" t="n">
        <v>468090</v>
      </c>
      <c r="C1905" s="0" t="n">
        <v>3</v>
      </c>
      <c r="D1905" s="0" t="n">
        <v>12</v>
      </c>
      <c r="E1905" s="0" t="n">
        <v>840</v>
      </c>
      <c r="F1905" s="0" t="n">
        <v>43</v>
      </c>
      <c r="G1905" s="0" t="n">
        <v>16</v>
      </c>
      <c r="H1905" s="12" t="n">
        <v>45907.3466782407</v>
      </c>
      <c r="I1905" s="1" t="s">
        <v>3679</v>
      </c>
      <c r="J1905" s="9" t="n">
        <v>45907</v>
      </c>
      <c r="K1905" s="0" t="s">
        <v>3680</v>
      </c>
      <c r="L1905" s="0" t="n">
        <v>8</v>
      </c>
      <c r="M1905" s="10"/>
      <c r="N1905" s="10"/>
      <c r="O1905" s="0" t="str">
        <f aca="false">VLOOKUP(C1905,statusdetails!$A:$D,4,0)</f>
        <v>STANDBY</v>
      </c>
      <c r="P1905" s="0" t="str">
        <f aca="false">VLOOKUP(F1905,equipment!$A:$E,4,0)</f>
        <v>PE302</v>
      </c>
      <c r="Q1905" s="0" t="str">
        <f aca="false">VLOOKUP(F1905,equipment!$A:$E,5,0)</f>
        <v>PE302 - 43</v>
      </c>
    </row>
    <row r="1906" customFormat="false" ht="12.8" hidden="true" customHeight="false" outlineLevel="0" collapsed="false">
      <c r="A1906" s="0" t="n">
        <v>468097</v>
      </c>
      <c r="B1906" s="0" t="n">
        <v>468097</v>
      </c>
      <c r="C1906" s="0" t="n">
        <v>4</v>
      </c>
      <c r="D1906" s="0" t="n">
        <v>16</v>
      </c>
      <c r="E1906" s="0" t="n">
        <v>2188</v>
      </c>
      <c r="F1906" s="0" t="n">
        <v>45</v>
      </c>
      <c r="G1906" s="0" t="n">
        <v>156</v>
      </c>
      <c r="H1906" s="0" t="s">
        <v>3659</v>
      </c>
      <c r="I1906" s="0" t="s">
        <v>3681</v>
      </c>
      <c r="J1906" s="9" t="n">
        <v>45907</v>
      </c>
      <c r="K1906" s="0" t="s">
        <v>3682</v>
      </c>
      <c r="L1906" s="0" t="n">
        <v>8</v>
      </c>
      <c r="M1906" s="10"/>
      <c r="N1906" s="10"/>
      <c r="O1906" s="0" t="str">
        <f aca="false">VLOOKUP(C1906,statusdetails!$A:$D,4,0)</f>
        <v>MAINT</v>
      </c>
    </row>
    <row r="1907" customFormat="false" ht="12.8" hidden="true" customHeight="false" outlineLevel="0" collapsed="false">
      <c r="A1907" s="0" t="n">
        <v>468098</v>
      </c>
      <c r="B1907" s="0" t="n">
        <v>468098</v>
      </c>
      <c r="C1907" s="0" t="n">
        <v>4</v>
      </c>
      <c r="D1907" s="0" t="n">
        <v>15</v>
      </c>
      <c r="E1907" s="0" t="n">
        <v>2410</v>
      </c>
      <c r="F1907" s="0" t="n">
        <v>82</v>
      </c>
      <c r="G1907" s="0" t="n">
        <v>88</v>
      </c>
      <c r="H1907" s="0" t="s">
        <v>3553</v>
      </c>
      <c r="I1907" s="0" t="s">
        <v>3683</v>
      </c>
      <c r="J1907" s="9" t="n">
        <v>45907</v>
      </c>
      <c r="K1907" s="0" t="s">
        <v>3684</v>
      </c>
      <c r="L1907" s="0" t="n">
        <v>9</v>
      </c>
      <c r="M1907" s="10"/>
      <c r="N1907" s="10"/>
      <c r="O1907" s="0" t="str">
        <f aca="false">VLOOKUP(C1907,statusdetails!$A:$D,4,0)</f>
        <v>MAINT</v>
      </c>
    </row>
    <row r="1908" customFormat="false" ht="12.8" hidden="true" customHeight="false" outlineLevel="0" collapsed="false">
      <c r="A1908" s="0" t="n">
        <v>468099</v>
      </c>
      <c r="B1908" s="0" t="n">
        <v>468099</v>
      </c>
      <c r="C1908" s="0" t="n">
        <v>4</v>
      </c>
      <c r="D1908" s="0" t="n">
        <v>16</v>
      </c>
      <c r="E1908" s="0" t="n">
        <v>672</v>
      </c>
      <c r="F1908" s="0" t="n">
        <v>41</v>
      </c>
      <c r="G1908" s="0" t="n">
        <v>118</v>
      </c>
      <c r="H1908" s="0" t="s">
        <v>3657</v>
      </c>
      <c r="I1908" s="0" t="s">
        <v>3685</v>
      </c>
      <c r="J1908" s="9" t="n">
        <v>45907</v>
      </c>
      <c r="K1908" s="0" t="s">
        <v>3686</v>
      </c>
      <c r="L1908" s="0" t="n">
        <v>9</v>
      </c>
      <c r="M1908" s="10"/>
      <c r="N1908" s="10"/>
      <c r="O1908" s="0" t="str">
        <f aca="false">VLOOKUP(C1908,statusdetails!$A:$D,4,0)</f>
        <v>MAINT</v>
      </c>
    </row>
    <row r="1909" customFormat="false" ht="12.8" hidden="true" customHeight="false" outlineLevel="0" collapsed="false">
      <c r="H1909" s="0"/>
      <c r="I1909" s="0"/>
      <c r="J1909" s="9"/>
    </row>
    <row r="1910" customFormat="false" ht="12.8" hidden="false" customHeight="false" outlineLevel="0" collapsed="false">
      <c r="A1910" s="0" t="n">
        <v>468101</v>
      </c>
      <c r="B1910" s="0" t="n">
        <v>468101</v>
      </c>
      <c r="C1910" s="0" t="n">
        <v>3</v>
      </c>
      <c r="D1910" s="0" t="n">
        <v>14</v>
      </c>
      <c r="E1910" s="0" t="n">
        <v>1157</v>
      </c>
      <c r="F1910" s="0" t="n">
        <v>37</v>
      </c>
      <c r="G1910" s="0" t="n">
        <v>45</v>
      </c>
      <c r="H1910" s="1" t="s">
        <v>3633</v>
      </c>
      <c r="I1910" s="1" t="s">
        <v>3687</v>
      </c>
      <c r="J1910" s="9" t="n">
        <v>45907</v>
      </c>
      <c r="K1910" s="0" t="s">
        <v>3688</v>
      </c>
      <c r="L1910" s="0" t="n">
        <v>9</v>
      </c>
      <c r="M1910" s="10"/>
      <c r="N1910" s="10"/>
      <c r="O1910" s="0" t="str">
        <f aca="false">VLOOKUP(C1910,statusdetails!$A:$D,4,0)</f>
        <v>STANDBY</v>
      </c>
      <c r="P1910" s="0" t="str">
        <f aca="false">VLOOKUP(F1910,equipment!$A:$E,4,0)</f>
        <v>DZ201</v>
      </c>
      <c r="Q1910" s="0" t="str">
        <f aca="false">VLOOKUP(F1910,equipment!$A:$E,5,0)</f>
        <v>DZ201 - 37</v>
      </c>
    </row>
    <row r="1911" customFormat="false" ht="12.8" hidden="true" customHeight="false" outlineLevel="0" collapsed="false">
      <c r="A1911" s="0" t="n">
        <v>468102</v>
      </c>
      <c r="B1911" s="0" t="n">
        <v>468102</v>
      </c>
      <c r="C1911" s="0" t="n">
        <v>1</v>
      </c>
      <c r="D1911" s="0" t="n">
        <v>6</v>
      </c>
      <c r="E1911" s="0" t="n">
        <v>2404</v>
      </c>
      <c r="F1911" s="0" t="n">
        <v>84</v>
      </c>
      <c r="G1911" s="0" t="n">
        <v>152</v>
      </c>
      <c r="H1911" s="0" t="s">
        <v>3689</v>
      </c>
      <c r="I1911" s="0" t="s">
        <v>3690</v>
      </c>
      <c r="J1911" s="9" t="n">
        <v>45907</v>
      </c>
      <c r="K1911" s="0" t="s">
        <v>3691</v>
      </c>
      <c r="L1911" s="0" t="n">
        <v>9</v>
      </c>
      <c r="M1911" s="10"/>
      <c r="N1911" s="10"/>
      <c r="O1911" s="0" t="str">
        <f aca="false">VLOOKUP(C1911,statusdetails!$A:$D,4,0)</f>
        <v>READY</v>
      </c>
    </row>
    <row r="1912" customFormat="false" ht="12.8" hidden="true" customHeight="false" outlineLevel="0" collapsed="false">
      <c r="A1912" s="0" t="n">
        <v>468103</v>
      </c>
      <c r="B1912" s="0" t="n">
        <v>468103</v>
      </c>
      <c r="C1912" s="0" t="n">
        <v>1</v>
      </c>
      <c r="D1912" s="0" t="n">
        <v>6</v>
      </c>
      <c r="E1912" s="0" t="n">
        <v>2518</v>
      </c>
      <c r="F1912" s="0" t="n">
        <v>82</v>
      </c>
      <c r="G1912" s="0" t="n">
        <v>88</v>
      </c>
      <c r="H1912" s="0" t="s">
        <v>3683</v>
      </c>
      <c r="I1912" s="0" t="s">
        <v>3692</v>
      </c>
      <c r="J1912" s="9" t="n">
        <v>45907</v>
      </c>
      <c r="K1912" s="0" t="s">
        <v>3693</v>
      </c>
      <c r="L1912" s="0" t="n">
        <v>9</v>
      </c>
      <c r="M1912" s="10"/>
      <c r="N1912" s="10"/>
      <c r="O1912" s="0" t="str">
        <f aca="false">VLOOKUP(C1912,statusdetails!$A:$D,4,0)</f>
        <v>READY</v>
      </c>
    </row>
    <row r="1913" customFormat="false" ht="12.8" hidden="true" customHeight="false" outlineLevel="0" collapsed="false">
      <c r="A1913" s="0" t="n">
        <v>468104</v>
      </c>
      <c r="B1913" s="0" t="n">
        <v>468104</v>
      </c>
      <c r="C1913" s="0" t="n">
        <v>1</v>
      </c>
      <c r="D1913" s="0" t="n">
        <v>2303</v>
      </c>
      <c r="E1913" s="0" t="n">
        <v>2593</v>
      </c>
      <c r="F1913" s="0" t="n">
        <v>45</v>
      </c>
      <c r="G1913" s="0" t="n">
        <v>156</v>
      </c>
      <c r="H1913" s="0" t="s">
        <v>3681</v>
      </c>
      <c r="I1913" s="0" t="s">
        <v>3694</v>
      </c>
      <c r="J1913" s="9" t="n">
        <v>45907</v>
      </c>
      <c r="K1913" s="0" t="s">
        <v>3695</v>
      </c>
      <c r="L1913" s="0" t="n">
        <v>9</v>
      </c>
      <c r="M1913" s="10"/>
      <c r="N1913" s="10"/>
      <c r="O1913" s="0" t="str">
        <f aca="false">VLOOKUP(C1913,statusdetails!$A:$D,4,0)</f>
        <v>READY</v>
      </c>
    </row>
    <row r="1914" customFormat="false" ht="12.8" hidden="true" customHeight="false" outlineLevel="0" collapsed="false">
      <c r="A1914" s="0" t="n">
        <v>468105</v>
      </c>
      <c r="B1914" s="0" t="n">
        <v>468105</v>
      </c>
      <c r="C1914" s="0" t="n">
        <v>1</v>
      </c>
      <c r="D1914" s="0" t="n">
        <v>6</v>
      </c>
      <c r="E1914" s="0" t="n">
        <v>372</v>
      </c>
      <c r="F1914" s="0" t="n">
        <v>37</v>
      </c>
      <c r="G1914" s="0" t="n">
        <v>45</v>
      </c>
      <c r="H1914" s="0" t="s">
        <v>3687</v>
      </c>
      <c r="I1914" s="0" t="s">
        <v>3696</v>
      </c>
      <c r="J1914" s="9" t="n">
        <v>45907</v>
      </c>
      <c r="K1914" s="0" t="s">
        <v>3697</v>
      </c>
      <c r="L1914" s="0" t="n">
        <v>9</v>
      </c>
      <c r="M1914" s="10"/>
      <c r="N1914" s="10"/>
      <c r="O1914" s="0" t="str">
        <f aca="false">VLOOKUP(C1914,statusdetails!$A:$D,4,0)</f>
        <v>READY</v>
      </c>
    </row>
    <row r="1915" customFormat="false" ht="12.8" hidden="false" customHeight="false" outlineLevel="0" collapsed="false">
      <c r="A1915" s="0" t="n">
        <v>468106</v>
      </c>
      <c r="B1915" s="0" t="n">
        <v>468106</v>
      </c>
      <c r="C1915" s="0" t="n">
        <v>3</v>
      </c>
      <c r="D1915" s="0" t="n">
        <v>14</v>
      </c>
      <c r="E1915" s="0" t="n">
        <v>1157</v>
      </c>
      <c r="F1915" s="0" t="n">
        <v>91</v>
      </c>
      <c r="G1915" s="0" t="n">
        <v>44</v>
      </c>
      <c r="H1915" s="1" t="s">
        <v>3636</v>
      </c>
      <c r="I1915" s="1" t="s">
        <v>3698</v>
      </c>
      <c r="J1915" s="9" t="n">
        <v>45907</v>
      </c>
      <c r="K1915" s="0" t="s">
        <v>3699</v>
      </c>
      <c r="L1915" s="0" t="n">
        <v>9</v>
      </c>
      <c r="M1915" s="10"/>
      <c r="N1915" s="10"/>
      <c r="O1915" s="0" t="str">
        <f aca="false">VLOOKUP(C1915,statusdetails!$A:$D,4,0)</f>
        <v>STANDBY</v>
      </c>
      <c r="P1915" s="0" t="str">
        <f aca="false">VLOOKUP(F1915,equipment!$A:$E,4,0)</f>
        <v>DZ205</v>
      </c>
      <c r="Q1915" s="0" t="str">
        <f aca="false">VLOOKUP(F1915,equipment!$A:$E,5,0)</f>
        <v>DZ205 - 91</v>
      </c>
    </row>
    <row r="1916" customFormat="false" ht="12.8" hidden="true" customHeight="false" outlineLevel="0" collapsed="false">
      <c r="A1916" s="0" t="n">
        <v>468107</v>
      </c>
      <c r="B1916" s="0" t="n">
        <v>468107</v>
      </c>
      <c r="C1916" s="0" t="n">
        <v>1</v>
      </c>
      <c r="D1916" s="0" t="n">
        <v>6</v>
      </c>
      <c r="E1916" s="0" t="n">
        <v>372</v>
      </c>
      <c r="F1916" s="0" t="n">
        <v>91</v>
      </c>
      <c r="G1916" s="0" t="n">
        <v>44</v>
      </c>
      <c r="H1916" s="0" t="s">
        <v>3698</v>
      </c>
      <c r="I1916" s="0" t="s">
        <v>3700</v>
      </c>
      <c r="J1916" s="9" t="n">
        <v>45907</v>
      </c>
      <c r="K1916" s="0" t="s">
        <v>3701</v>
      </c>
      <c r="L1916" s="0" t="n">
        <v>9</v>
      </c>
      <c r="M1916" s="10"/>
      <c r="N1916" s="10"/>
      <c r="O1916" s="0" t="str">
        <f aca="false">VLOOKUP(C1916,statusdetails!$A:$D,4,0)</f>
        <v>READY</v>
      </c>
    </row>
    <row r="1917" customFormat="false" ht="12.8" hidden="true" customHeight="false" outlineLevel="0" collapsed="false">
      <c r="A1917" s="0" t="n">
        <v>468108</v>
      </c>
      <c r="B1917" s="0" t="n">
        <v>468108</v>
      </c>
      <c r="C1917" s="0" t="n">
        <v>1</v>
      </c>
      <c r="D1917" s="0" t="n">
        <v>6</v>
      </c>
      <c r="E1917" s="0" t="n">
        <v>586</v>
      </c>
      <c r="F1917" s="0" t="n">
        <v>41</v>
      </c>
      <c r="G1917" s="0" t="n">
        <v>118</v>
      </c>
      <c r="H1917" s="0" t="s">
        <v>3685</v>
      </c>
      <c r="I1917" s="0" t="s">
        <v>3702</v>
      </c>
      <c r="J1917" s="9" t="n">
        <v>45907</v>
      </c>
      <c r="K1917" s="0" t="s">
        <v>3703</v>
      </c>
      <c r="L1917" s="0" t="n">
        <v>9</v>
      </c>
      <c r="M1917" s="10"/>
      <c r="N1917" s="10"/>
      <c r="O1917" s="0" t="str">
        <f aca="false">VLOOKUP(C1917,statusdetails!$A:$D,4,0)</f>
        <v>READY</v>
      </c>
    </row>
    <row r="1918" customFormat="false" ht="12.8" hidden="true" customHeight="false" outlineLevel="0" collapsed="false">
      <c r="H1918" s="0"/>
      <c r="I1918" s="0"/>
      <c r="J1918" s="9"/>
    </row>
    <row r="1919" customFormat="false" ht="12.8" hidden="true" customHeight="false" outlineLevel="0" collapsed="false">
      <c r="A1919" s="0" t="n">
        <v>468110</v>
      </c>
      <c r="B1919" s="0" t="n">
        <v>468110</v>
      </c>
      <c r="C1919" s="0" t="n">
        <v>4</v>
      </c>
      <c r="D1919" s="0" t="n">
        <v>15</v>
      </c>
      <c r="E1919" s="0" t="n">
        <v>2396</v>
      </c>
      <c r="F1919" s="0" t="n">
        <v>82</v>
      </c>
      <c r="G1919" s="0" t="n">
        <v>88</v>
      </c>
      <c r="H1919" s="0" t="s">
        <v>3692</v>
      </c>
      <c r="I1919" s="0" t="s">
        <v>3704</v>
      </c>
      <c r="J1919" s="9" t="n">
        <v>45907</v>
      </c>
      <c r="K1919" s="0" t="s">
        <v>3705</v>
      </c>
      <c r="L1919" s="0" t="n">
        <v>9</v>
      </c>
      <c r="M1919" s="10"/>
      <c r="N1919" s="10"/>
      <c r="O1919" s="0" t="str">
        <f aca="false">VLOOKUP(C1919,statusdetails!$A:$D,4,0)</f>
        <v>MAINT</v>
      </c>
    </row>
    <row r="1920" customFormat="false" ht="12.8" hidden="true" customHeight="false" outlineLevel="0" collapsed="false">
      <c r="H1920" s="0"/>
      <c r="I1920" s="0"/>
      <c r="J1920" s="9"/>
    </row>
    <row r="1921" customFormat="false" ht="12.8" hidden="true" customHeight="false" outlineLevel="0" collapsed="false">
      <c r="H1921" s="0"/>
      <c r="I1921" s="0"/>
      <c r="J1921" s="9"/>
    </row>
    <row r="1922" customFormat="false" ht="12.8" hidden="true" customHeight="false" outlineLevel="0" collapsed="false">
      <c r="A1922" s="0" t="n">
        <v>468113</v>
      </c>
      <c r="B1922" s="0" t="n">
        <v>468113</v>
      </c>
      <c r="C1922" s="0" t="n">
        <v>4</v>
      </c>
      <c r="D1922" s="0" t="n">
        <v>15</v>
      </c>
      <c r="E1922" s="0" t="n">
        <v>331</v>
      </c>
      <c r="F1922" s="0" t="n">
        <v>32</v>
      </c>
      <c r="G1922" s="0" t="n">
        <v>23</v>
      </c>
      <c r="H1922" s="0" t="s">
        <v>3646</v>
      </c>
      <c r="I1922" s="0" t="s">
        <v>3706</v>
      </c>
      <c r="J1922" s="9" t="n">
        <v>45907</v>
      </c>
      <c r="K1922" s="0" t="s">
        <v>3707</v>
      </c>
      <c r="L1922" s="0" t="n">
        <v>10</v>
      </c>
      <c r="M1922" s="10"/>
      <c r="N1922" s="10"/>
      <c r="O1922" s="0" t="str">
        <f aca="false">VLOOKUP(C1922,statusdetails!$A:$D,4,0)</f>
        <v>MAINT</v>
      </c>
    </row>
    <row r="1923" customFormat="false" ht="12.8" hidden="false" customHeight="false" outlineLevel="0" collapsed="false">
      <c r="A1923" s="0" t="n">
        <v>468115</v>
      </c>
      <c r="B1923" s="0" t="n">
        <v>468115</v>
      </c>
      <c r="C1923" s="0" t="n">
        <v>3</v>
      </c>
      <c r="D1923" s="0" t="n">
        <v>12</v>
      </c>
      <c r="E1923" s="0" t="n">
        <v>2422</v>
      </c>
      <c r="F1923" s="0" t="n">
        <v>87</v>
      </c>
      <c r="G1923" s="0" t="n">
        <v>154</v>
      </c>
      <c r="H1923" s="1" t="s">
        <v>3598</v>
      </c>
      <c r="I1923" s="1" t="s">
        <v>3708</v>
      </c>
      <c r="J1923" s="9" t="n">
        <v>45907</v>
      </c>
      <c r="K1923" s="0" t="s">
        <v>3709</v>
      </c>
      <c r="L1923" s="0" t="n">
        <v>10</v>
      </c>
      <c r="M1923" s="10"/>
      <c r="N1923" s="10"/>
      <c r="O1923" s="0" t="str">
        <f aca="false">VLOOKUP(C1923,statusdetails!$A:$D,4,0)</f>
        <v>STANDBY</v>
      </c>
      <c r="P1923" s="0" t="str">
        <f aca="false">VLOOKUP(F1923,equipment!$A:$E,4,0)</f>
        <v>CM04</v>
      </c>
      <c r="Q1923" s="0" t="str">
        <f aca="false">VLOOKUP(F1923,equipment!$A:$E,5,0)</f>
        <v>CM04 - 87</v>
      </c>
    </row>
    <row r="1924" customFormat="false" ht="12.8" hidden="false" customHeight="false" outlineLevel="0" collapsed="false">
      <c r="A1924" s="0" t="n">
        <v>468116</v>
      </c>
      <c r="B1924" s="0" t="n">
        <v>468116</v>
      </c>
      <c r="C1924" s="0" t="n">
        <v>3</v>
      </c>
      <c r="D1924" s="0" t="n">
        <v>14</v>
      </c>
      <c r="E1924" s="0" t="n">
        <v>2555</v>
      </c>
      <c r="F1924" s="0" t="n">
        <v>84</v>
      </c>
      <c r="G1924" s="0" t="n">
        <v>152</v>
      </c>
      <c r="H1924" s="1" t="s">
        <v>3710</v>
      </c>
      <c r="I1924" s="1" t="s">
        <v>3711</v>
      </c>
      <c r="J1924" s="9" t="n">
        <v>45907</v>
      </c>
      <c r="K1924" s="0" t="s">
        <v>3712</v>
      </c>
      <c r="L1924" s="0" t="n">
        <v>10</v>
      </c>
      <c r="M1924" s="10"/>
      <c r="N1924" s="10"/>
      <c r="O1924" s="0" t="str">
        <f aca="false">VLOOKUP(C1924,statusdetails!$A:$D,4,0)</f>
        <v>STANDBY</v>
      </c>
      <c r="P1924" s="0" t="str">
        <f aca="false">VLOOKUP(F1924,equipment!$A:$E,4,0)</f>
        <v>CM01</v>
      </c>
      <c r="Q1924" s="0" t="str">
        <f aca="false">VLOOKUP(F1924,equipment!$A:$E,5,0)</f>
        <v>CM01 - 84</v>
      </c>
    </row>
    <row r="1925" customFormat="false" ht="12.8" hidden="true" customHeight="false" outlineLevel="0" collapsed="false">
      <c r="A1925" s="0" t="n">
        <v>468117</v>
      </c>
      <c r="B1925" s="0" t="n">
        <v>468117</v>
      </c>
      <c r="C1925" s="0" t="n">
        <v>1</v>
      </c>
      <c r="D1925" s="0" t="n">
        <v>6</v>
      </c>
      <c r="E1925" s="0" t="n">
        <v>2404</v>
      </c>
      <c r="F1925" s="0" t="n">
        <v>88</v>
      </c>
      <c r="G1925" s="0" t="n">
        <v>151</v>
      </c>
      <c r="H1925" s="0" t="s">
        <v>3713</v>
      </c>
      <c r="I1925" s="0" t="s">
        <v>3714</v>
      </c>
      <c r="J1925" s="9" t="n">
        <v>45907</v>
      </c>
      <c r="K1925" s="0" t="s">
        <v>3715</v>
      </c>
      <c r="L1925" s="0" t="n">
        <v>10</v>
      </c>
      <c r="M1925" s="10"/>
      <c r="N1925" s="10"/>
      <c r="O1925" s="0" t="str">
        <f aca="false">VLOOKUP(C1925,statusdetails!$A:$D,4,0)</f>
        <v>READY</v>
      </c>
    </row>
    <row r="1926" customFormat="false" ht="12.8" hidden="true" customHeight="false" outlineLevel="0" collapsed="false">
      <c r="A1926" s="0" t="n">
        <v>468118</v>
      </c>
      <c r="B1926" s="0" t="n">
        <v>468118</v>
      </c>
      <c r="C1926" s="0" t="n">
        <v>1</v>
      </c>
      <c r="D1926" s="0" t="n">
        <v>6</v>
      </c>
      <c r="E1926" s="0" t="n">
        <v>138</v>
      </c>
      <c r="F1926" s="0" t="n">
        <v>45</v>
      </c>
      <c r="G1926" s="0" t="n">
        <v>156</v>
      </c>
      <c r="H1926" s="0" t="s">
        <v>3694</v>
      </c>
      <c r="I1926" s="0" t="s">
        <v>3716</v>
      </c>
      <c r="J1926" s="9" t="n">
        <v>45907</v>
      </c>
      <c r="K1926" s="0" t="s">
        <v>3717</v>
      </c>
      <c r="L1926" s="0" t="n">
        <v>10</v>
      </c>
      <c r="M1926" s="10"/>
      <c r="N1926" s="10"/>
      <c r="O1926" s="0" t="str">
        <f aca="false">VLOOKUP(C1926,statusdetails!$A:$D,4,0)</f>
        <v>READY</v>
      </c>
    </row>
    <row r="1927" customFormat="false" ht="12.8" hidden="true" customHeight="false" outlineLevel="0" collapsed="false">
      <c r="A1927" s="0" t="n">
        <v>468119</v>
      </c>
      <c r="B1927" s="0" t="n">
        <v>468119</v>
      </c>
      <c r="C1927" s="0" t="n">
        <v>1</v>
      </c>
      <c r="D1927" s="0" t="n">
        <v>6</v>
      </c>
      <c r="E1927" s="0" t="n">
        <v>2404</v>
      </c>
      <c r="F1927" s="0" t="n">
        <v>84</v>
      </c>
      <c r="G1927" s="0" t="n">
        <v>152</v>
      </c>
      <c r="H1927" s="0" t="s">
        <v>3711</v>
      </c>
      <c r="I1927" s="0" t="s">
        <v>3718</v>
      </c>
      <c r="J1927" s="9" t="n">
        <v>45907</v>
      </c>
      <c r="K1927" s="0" t="s">
        <v>3719</v>
      </c>
      <c r="L1927" s="0" t="n">
        <v>10</v>
      </c>
      <c r="M1927" s="10"/>
      <c r="N1927" s="10"/>
      <c r="O1927" s="0" t="str">
        <f aca="false">VLOOKUP(C1927,statusdetails!$A:$D,4,0)</f>
        <v>READY</v>
      </c>
    </row>
    <row r="1928" customFormat="false" ht="12.8" hidden="true" customHeight="false" outlineLevel="0" collapsed="false">
      <c r="A1928" s="0" t="n">
        <v>468120</v>
      </c>
      <c r="B1928" s="0" t="n">
        <v>468120</v>
      </c>
      <c r="C1928" s="0" t="n">
        <v>1</v>
      </c>
      <c r="D1928" s="0" t="n">
        <v>6</v>
      </c>
      <c r="E1928" s="0" t="n">
        <v>2404</v>
      </c>
      <c r="F1928" s="0" t="n">
        <v>87</v>
      </c>
      <c r="G1928" s="0" t="n">
        <v>154</v>
      </c>
      <c r="H1928" s="0" t="s">
        <v>3708</v>
      </c>
      <c r="I1928" s="0" t="s">
        <v>3720</v>
      </c>
      <c r="J1928" s="9" t="n">
        <v>45907</v>
      </c>
      <c r="K1928" s="0" t="s">
        <v>3721</v>
      </c>
      <c r="L1928" s="0" t="n">
        <v>10</v>
      </c>
      <c r="M1928" s="10"/>
      <c r="N1928" s="10"/>
      <c r="O1928" s="0" t="str">
        <f aca="false">VLOOKUP(C1928,statusdetails!$A:$D,4,0)</f>
        <v>READY</v>
      </c>
    </row>
    <row r="1929" customFormat="false" ht="12.8" hidden="true" customHeight="false" outlineLevel="0" collapsed="false">
      <c r="A1929" s="0" t="n">
        <v>468121</v>
      </c>
      <c r="B1929" s="0" t="n">
        <v>468121</v>
      </c>
      <c r="C1929" s="0" t="n">
        <v>1</v>
      </c>
      <c r="D1929" s="0" t="n">
        <v>6</v>
      </c>
      <c r="E1929" s="0" t="n">
        <v>2404</v>
      </c>
      <c r="F1929" s="0" t="n">
        <v>86</v>
      </c>
      <c r="G1929" s="0" t="n">
        <v>155</v>
      </c>
      <c r="H1929" s="0" t="s">
        <v>3722</v>
      </c>
      <c r="I1929" s="0" t="s">
        <v>3723</v>
      </c>
      <c r="J1929" s="9" t="n">
        <v>45907</v>
      </c>
      <c r="K1929" s="0" t="s">
        <v>3724</v>
      </c>
      <c r="L1929" s="0" t="n">
        <v>10</v>
      </c>
      <c r="M1929" s="10"/>
      <c r="N1929" s="10"/>
      <c r="O1929" s="0" t="str">
        <f aca="false">VLOOKUP(C1929,statusdetails!$A:$D,4,0)</f>
        <v>READY</v>
      </c>
    </row>
    <row r="1930" customFormat="false" ht="12.8" hidden="true" customHeight="false" outlineLevel="0" collapsed="false">
      <c r="A1930" s="0" t="n">
        <v>468122</v>
      </c>
      <c r="B1930" s="0" t="n">
        <v>468122</v>
      </c>
      <c r="C1930" s="0" t="n">
        <v>4</v>
      </c>
      <c r="D1930" s="0" t="n">
        <v>16</v>
      </c>
      <c r="E1930" s="0" t="n">
        <v>1042</v>
      </c>
      <c r="F1930" s="0" t="n">
        <v>47</v>
      </c>
      <c r="G1930" s="0" t="n">
        <v>103</v>
      </c>
      <c r="H1930" s="0" t="s">
        <v>3215</v>
      </c>
      <c r="I1930" s="0" t="s">
        <v>3725</v>
      </c>
      <c r="J1930" s="9" t="n">
        <v>45907</v>
      </c>
      <c r="K1930" s="0" t="s">
        <v>3726</v>
      </c>
      <c r="L1930" s="0" t="n">
        <v>10</v>
      </c>
      <c r="M1930" s="10"/>
      <c r="N1930" s="10"/>
      <c r="O1930" s="0" t="str">
        <f aca="false">VLOOKUP(C1930,statusdetails!$A:$D,4,0)</f>
        <v>MAINT</v>
      </c>
    </row>
    <row r="1931" customFormat="false" ht="12.8" hidden="false" customHeight="false" outlineLevel="0" collapsed="false">
      <c r="A1931" s="0" t="n">
        <v>468123</v>
      </c>
      <c r="B1931" s="0" t="n">
        <v>468114</v>
      </c>
      <c r="C1931" s="0" t="n">
        <v>3</v>
      </c>
      <c r="D1931" s="0" t="n">
        <v>12</v>
      </c>
      <c r="E1931" s="0" t="n">
        <v>2574</v>
      </c>
      <c r="F1931" s="0" t="n">
        <v>86</v>
      </c>
      <c r="G1931" s="0" t="n">
        <v>155</v>
      </c>
      <c r="H1931" s="12" t="n">
        <v>45907.419525463</v>
      </c>
      <c r="I1931" s="1" t="s">
        <v>3722</v>
      </c>
      <c r="J1931" s="9" t="n">
        <v>45907</v>
      </c>
      <c r="K1931" s="0" t="s">
        <v>3727</v>
      </c>
      <c r="L1931" s="0" t="n">
        <v>10</v>
      </c>
      <c r="M1931" s="10"/>
      <c r="N1931" s="10"/>
      <c r="O1931" s="0" t="str">
        <f aca="false">VLOOKUP(C1931,statusdetails!$A:$D,4,0)</f>
        <v>STANDBY</v>
      </c>
      <c r="P1931" s="0" t="str">
        <f aca="false">VLOOKUP(F1931,equipment!$A:$E,4,0)</f>
        <v>CM03</v>
      </c>
      <c r="Q1931" s="0" t="str">
        <f aca="false">VLOOKUP(F1931,equipment!$A:$E,5,0)</f>
        <v>CM03 - 86</v>
      </c>
    </row>
    <row r="1932" customFormat="false" ht="12.8" hidden="true" customHeight="false" outlineLevel="0" collapsed="false">
      <c r="A1932" s="0" t="n">
        <v>468124</v>
      </c>
      <c r="B1932" s="0" t="n">
        <v>468124</v>
      </c>
      <c r="C1932" s="0" t="n">
        <v>3</v>
      </c>
      <c r="D1932" s="0" t="n">
        <v>12</v>
      </c>
      <c r="E1932" s="0" t="n">
        <v>840</v>
      </c>
      <c r="F1932" s="0" t="n">
        <v>42</v>
      </c>
      <c r="G1932" s="0" t="n">
        <v>83</v>
      </c>
      <c r="H1932" s="0" t="s">
        <v>3667</v>
      </c>
      <c r="I1932" s="13" t="n">
        <v>45907</v>
      </c>
      <c r="J1932" s="2" t="n">
        <v>10</v>
      </c>
      <c r="M1932" s="0"/>
      <c r="N1932" s="0"/>
    </row>
    <row r="1933" customFormat="false" ht="12.8" hidden="true" customHeight="false" outlineLevel="0" collapsed="false">
      <c r="A1933" s="0" t="n">
        <v>468125</v>
      </c>
      <c r="B1933" s="0" t="n">
        <v>468125</v>
      </c>
      <c r="C1933" s="0" t="n">
        <v>1</v>
      </c>
      <c r="D1933" s="0" t="n">
        <v>2303</v>
      </c>
      <c r="E1933" s="0" t="n">
        <v>969</v>
      </c>
      <c r="F1933" s="0" t="n">
        <v>45</v>
      </c>
      <c r="G1933" s="0" t="n">
        <v>156</v>
      </c>
      <c r="H1933" s="0" t="s">
        <v>3716</v>
      </c>
      <c r="I1933" s="0" t="s">
        <v>3728</v>
      </c>
      <c r="J1933" s="9" t="n">
        <v>45907</v>
      </c>
      <c r="K1933" s="0" t="s">
        <v>3729</v>
      </c>
      <c r="L1933" s="0" t="n">
        <v>10</v>
      </c>
      <c r="M1933" s="10"/>
      <c r="N1933" s="10"/>
      <c r="O1933" s="0" t="str">
        <f aca="false">VLOOKUP(C1933,statusdetails!$A:$D,4,0)</f>
        <v>READY</v>
      </c>
    </row>
    <row r="1934" customFormat="false" ht="12.8" hidden="true" customHeight="false" outlineLevel="0" collapsed="false">
      <c r="A1934" s="0" t="n">
        <v>468126</v>
      </c>
      <c r="B1934" s="0" t="n">
        <v>468126</v>
      </c>
      <c r="C1934" s="0" t="n">
        <v>1</v>
      </c>
      <c r="D1934" s="0" t="n">
        <v>6</v>
      </c>
      <c r="E1934" s="0" t="n">
        <v>2518</v>
      </c>
      <c r="F1934" s="0" t="n">
        <v>82</v>
      </c>
      <c r="G1934" s="0" t="n">
        <v>88</v>
      </c>
      <c r="H1934" s="0" t="s">
        <v>3704</v>
      </c>
      <c r="I1934" s="0" t="s">
        <v>3730</v>
      </c>
      <c r="J1934" s="9" t="n">
        <v>45907</v>
      </c>
      <c r="K1934" s="0" t="s">
        <v>3731</v>
      </c>
      <c r="L1934" s="0" t="n">
        <v>10</v>
      </c>
      <c r="M1934" s="10"/>
      <c r="N1934" s="10"/>
      <c r="O1934" s="0" t="str">
        <f aca="false">VLOOKUP(C1934,statusdetails!$A:$D,4,0)</f>
        <v>READY</v>
      </c>
    </row>
    <row r="1935" customFormat="false" ht="12.8" hidden="true" customHeight="false" outlineLevel="0" collapsed="false">
      <c r="H1935" s="0"/>
      <c r="I1935" s="0"/>
      <c r="J1935" s="9"/>
    </row>
    <row r="1936" customFormat="false" ht="12.8" hidden="true" customHeight="false" outlineLevel="0" collapsed="false">
      <c r="A1936" s="0" t="n">
        <v>468128</v>
      </c>
      <c r="B1936" s="0" t="n">
        <v>468128</v>
      </c>
      <c r="C1936" s="0" t="n">
        <v>4</v>
      </c>
      <c r="D1936" s="0" t="n">
        <v>15</v>
      </c>
      <c r="E1936" s="0" t="n">
        <v>2396</v>
      </c>
      <c r="F1936" s="0" t="n">
        <v>96</v>
      </c>
      <c r="G1936" s="0" t="n">
        <v>0</v>
      </c>
      <c r="H1936" s="0" t="s">
        <v>3665</v>
      </c>
      <c r="I1936" s="0" t="s">
        <v>3732</v>
      </c>
      <c r="J1936" s="9" t="n">
        <v>45907</v>
      </c>
      <c r="K1936" s="0" t="s">
        <v>3733</v>
      </c>
      <c r="L1936" s="0" t="n">
        <v>10</v>
      </c>
      <c r="M1936" s="10"/>
      <c r="N1936" s="10"/>
      <c r="O1936" s="0" t="str">
        <f aca="false">VLOOKUP(C1936,statusdetails!$A:$D,4,0)</f>
        <v>MAINT</v>
      </c>
    </row>
    <row r="1937" customFormat="false" ht="12.8" hidden="true" customHeight="false" outlineLevel="0" collapsed="false">
      <c r="A1937" s="0" t="n">
        <v>468129</v>
      </c>
      <c r="B1937" s="0" t="n">
        <v>468129</v>
      </c>
      <c r="C1937" s="0" t="n">
        <v>1</v>
      </c>
      <c r="D1937" s="0" t="n">
        <v>6</v>
      </c>
      <c r="E1937" s="0" t="n">
        <v>811</v>
      </c>
      <c r="F1937" s="0" t="n">
        <v>43</v>
      </c>
      <c r="G1937" s="0" t="n">
        <v>83</v>
      </c>
      <c r="H1937" s="0" t="s">
        <v>3734</v>
      </c>
      <c r="I1937" s="0" t="s">
        <v>3735</v>
      </c>
      <c r="J1937" s="9" t="n">
        <v>45907</v>
      </c>
      <c r="K1937" s="0" t="s">
        <v>3736</v>
      </c>
      <c r="L1937" s="0" t="n">
        <v>10</v>
      </c>
      <c r="M1937" s="10"/>
      <c r="N1937" s="10"/>
      <c r="O1937" s="0" t="str">
        <f aca="false">VLOOKUP(C1937,statusdetails!$A:$D,4,0)</f>
        <v>READY</v>
      </c>
    </row>
    <row r="1938" customFormat="false" ht="12.8" hidden="true" customHeight="false" outlineLevel="0" collapsed="false">
      <c r="A1938" s="0" t="n">
        <v>468130</v>
      </c>
      <c r="B1938" s="0" t="n">
        <v>468130</v>
      </c>
      <c r="C1938" s="0" t="n">
        <v>1</v>
      </c>
      <c r="D1938" s="0" t="n">
        <v>6</v>
      </c>
      <c r="E1938" s="0" t="n">
        <v>138</v>
      </c>
      <c r="F1938" s="0" t="n">
        <v>45</v>
      </c>
      <c r="G1938" s="0" t="n">
        <v>156</v>
      </c>
      <c r="H1938" s="0" t="s">
        <v>3728</v>
      </c>
      <c r="I1938" s="0" t="s">
        <v>3737</v>
      </c>
      <c r="J1938" s="9" t="n">
        <v>45907</v>
      </c>
      <c r="K1938" s="0" t="s">
        <v>3738</v>
      </c>
      <c r="L1938" s="0" t="n">
        <v>10</v>
      </c>
      <c r="M1938" s="10"/>
      <c r="N1938" s="10"/>
      <c r="O1938" s="0" t="str">
        <f aca="false">VLOOKUP(C1938,statusdetails!$A:$D,4,0)</f>
        <v>READY</v>
      </c>
    </row>
    <row r="1939" customFormat="false" ht="12.8" hidden="true" customHeight="false" outlineLevel="0" collapsed="false">
      <c r="A1939" s="0" t="n">
        <v>468131</v>
      </c>
      <c r="B1939" s="0" t="n">
        <v>468131</v>
      </c>
      <c r="C1939" s="0" t="n">
        <v>1</v>
      </c>
      <c r="D1939" s="0" t="n">
        <v>6</v>
      </c>
      <c r="E1939" s="0" t="n">
        <v>1040</v>
      </c>
      <c r="F1939" s="0" t="n">
        <v>47</v>
      </c>
      <c r="G1939" s="0" t="n">
        <v>103</v>
      </c>
      <c r="H1939" s="0" t="s">
        <v>3725</v>
      </c>
      <c r="I1939" s="13" t="n">
        <v>45907</v>
      </c>
      <c r="J1939" s="2" t="n">
        <v>10</v>
      </c>
      <c r="M1939" s="0"/>
      <c r="N1939" s="0"/>
    </row>
    <row r="1940" customFormat="false" ht="12.8" hidden="false" customHeight="false" outlineLevel="0" collapsed="false">
      <c r="A1940" s="0" t="n">
        <v>468132</v>
      </c>
      <c r="B1940" s="0" t="n">
        <v>468132</v>
      </c>
      <c r="C1940" s="0" t="n">
        <v>3</v>
      </c>
      <c r="D1940" s="0" t="n">
        <v>14</v>
      </c>
      <c r="E1940" s="0" t="n">
        <v>1137</v>
      </c>
      <c r="F1940" s="0" t="n">
        <v>37</v>
      </c>
      <c r="G1940" s="0" t="n">
        <v>45</v>
      </c>
      <c r="H1940" s="1" t="s">
        <v>3696</v>
      </c>
      <c r="I1940" s="1" t="s">
        <v>3739</v>
      </c>
      <c r="J1940" s="9" t="n">
        <v>45907</v>
      </c>
      <c r="K1940" s="0" t="s">
        <v>3740</v>
      </c>
      <c r="L1940" s="0" t="n">
        <v>11</v>
      </c>
      <c r="M1940" s="10"/>
      <c r="N1940" s="10"/>
      <c r="O1940" s="0" t="str">
        <f aca="false">VLOOKUP(C1940,statusdetails!$A:$D,4,0)</f>
        <v>STANDBY</v>
      </c>
      <c r="P1940" s="0" t="str">
        <f aca="false">VLOOKUP(F1940,equipment!$A:$E,4,0)</f>
        <v>DZ201</v>
      </c>
      <c r="Q1940" s="0" t="str">
        <f aca="false">VLOOKUP(F1940,equipment!$A:$E,5,0)</f>
        <v>DZ201 - 37</v>
      </c>
    </row>
    <row r="1941" customFormat="false" ht="12.8" hidden="true" customHeight="false" outlineLevel="0" collapsed="false">
      <c r="H1941" s="0"/>
      <c r="I1941" s="11"/>
      <c r="J1941" s="9"/>
    </row>
    <row r="1942" customFormat="false" ht="12.8" hidden="false" customHeight="false" outlineLevel="0" collapsed="false">
      <c r="A1942" s="0" t="n">
        <v>468135</v>
      </c>
      <c r="B1942" s="0" t="n">
        <v>468135</v>
      </c>
      <c r="C1942" s="0" t="n">
        <v>3</v>
      </c>
      <c r="D1942" s="0" t="n">
        <v>14</v>
      </c>
      <c r="E1942" s="0" t="n">
        <v>1141</v>
      </c>
      <c r="F1942" s="0" t="n">
        <v>41</v>
      </c>
      <c r="G1942" s="0" t="n">
        <v>118</v>
      </c>
      <c r="H1942" s="1" t="s">
        <v>3702</v>
      </c>
      <c r="I1942" s="1" t="s">
        <v>3741</v>
      </c>
      <c r="J1942" s="9" t="n">
        <v>45907</v>
      </c>
      <c r="K1942" s="0" t="s">
        <v>3742</v>
      </c>
      <c r="L1942" s="0" t="n">
        <v>11</v>
      </c>
      <c r="M1942" s="10"/>
      <c r="N1942" s="10"/>
      <c r="O1942" s="0" t="str">
        <f aca="false">VLOOKUP(C1942,statusdetails!$A:$D,4,0)</f>
        <v>STANDBY</v>
      </c>
      <c r="P1942" s="0" t="str">
        <f aca="false">VLOOKUP(F1942,equipment!$A:$E,4,0)</f>
        <v>MO102</v>
      </c>
      <c r="Q1942" s="0" t="str">
        <f aca="false">VLOOKUP(F1942,equipment!$A:$E,5,0)</f>
        <v>MO102 - 41</v>
      </c>
    </row>
    <row r="1943" customFormat="false" ht="12.8" hidden="false" customHeight="false" outlineLevel="0" collapsed="false">
      <c r="A1943" s="0" t="n">
        <v>468136</v>
      </c>
      <c r="B1943" s="0" t="n">
        <v>468136</v>
      </c>
      <c r="C1943" s="0" t="n">
        <v>3</v>
      </c>
      <c r="D1943" s="0" t="n">
        <v>14</v>
      </c>
      <c r="E1943" s="0" t="n">
        <v>1137</v>
      </c>
      <c r="F1943" s="0" t="n">
        <v>91</v>
      </c>
      <c r="G1943" s="0" t="n">
        <v>44</v>
      </c>
      <c r="H1943" s="1" t="s">
        <v>3700</v>
      </c>
      <c r="I1943" s="1" t="s">
        <v>3743</v>
      </c>
      <c r="J1943" s="9" t="n">
        <v>45907</v>
      </c>
      <c r="K1943" s="0" t="s">
        <v>3744</v>
      </c>
      <c r="L1943" s="0" t="n">
        <v>11</v>
      </c>
      <c r="M1943" s="10"/>
      <c r="N1943" s="10"/>
      <c r="O1943" s="0" t="str">
        <f aca="false">VLOOKUP(C1943,statusdetails!$A:$D,4,0)</f>
        <v>STANDBY</v>
      </c>
      <c r="P1943" s="0" t="str">
        <f aca="false">VLOOKUP(F1943,equipment!$A:$E,4,0)</f>
        <v>DZ205</v>
      </c>
      <c r="Q1943" s="0" t="str">
        <f aca="false">VLOOKUP(F1943,equipment!$A:$E,5,0)</f>
        <v>DZ205 - 91</v>
      </c>
    </row>
    <row r="1944" customFormat="false" ht="12.8" hidden="true" customHeight="false" outlineLevel="0" collapsed="false">
      <c r="A1944" s="0" t="n">
        <v>468137</v>
      </c>
      <c r="B1944" s="0" t="n">
        <v>468137</v>
      </c>
      <c r="C1944" s="0" t="n">
        <v>1</v>
      </c>
      <c r="D1944" s="0" t="n">
        <v>2303</v>
      </c>
      <c r="E1944" s="0" t="n">
        <v>969</v>
      </c>
      <c r="F1944" s="0" t="n">
        <v>45</v>
      </c>
      <c r="G1944" s="0" t="n">
        <v>156</v>
      </c>
      <c r="H1944" s="0" t="s">
        <v>3737</v>
      </c>
      <c r="I1944" s="0" t="s">
        <v>3745</v>
      </c>
      <c r="J1944" s="9" t="n">
        <v>45907</v>
      </c>
      <c r="K1944" s="0" t="s">
        <v>3746</v>
      </c>
      <c r="L1944" s="0" t="n">
        <v>11</v>
      </c>
      <c r="M1944" s="10"/>
      <c r="N1944" s="10"/>
      <c r="O1944" s="0" t="str">
        <f aca="false">VLOOKUP(C1944,statusdetails!$A:$D,4,0)</f>
        <v>READY</v>
      </c>
    </row>
    <row r="1945" customFormat="false" ht="12.8" hidden="false" customHeight="false" outlineLevel="0" collapsed="false">
      <c r="A1945" s="0" t="n">
        <v>468138</v>
      </c>
      <c r="B1945" s="0" t="n">
        <v>468138</v>
      </c>
      <c r="C1945" s="0" t="n">
        <v>3</v>
      </c>
      <c r="D1945" s="0" t="n">
        <v>14</v>
      </c>
      <c r="E1945" s="0" t="n">
        <v>2555</v>
      </c>
      <c r="F1945" s="0" t="n">
        <v>88</v>
      </c>
      <c r="G1945" s="0" t="n">
        <v>151</v>
      </c>
      <c r="H1945" s="1" t="s">
        <v>3714</v>
      </c>
      <c r="I1945" s="1" t="s">
        <v>3747</v>
      </c>
      <c r="J1945" s="9" t="n">
        <v>45907</v>
      </c>
      <c r="K1945" s="0" t="s">
        <v>3748</v>
      </c>
      <c r="L1945" s="0" t="n">
        <v>12</v>
      </c>
      <c r="M1945" s="10"/>
      <c r="N1945" s="10"/>
      <c r="O1945" s="0" t="str">
        <f aca="false">VLOOKUP(C1945,statusdetails!$A:$D,4,0)</f>
        <v>STANDBY</v>
      </c>
      <c r="P1945" s="0" t="str">
        <f aca="false">VLOOKUP(F1945,equipment!$A:$E,4,0)</f>
        <v>CM05</v>
      </c>
      <c r="Q1945" s="0" t="str">
        <f aca="false">VLOOKUP(F1945,equipment!$A:$E,5,0)</f>
        <v>CM05 - 88</v>
      </c>
    </row>
    <row r="1946" customFormat="false" ht="12.8" hidden="true" customHeight="false" outlineLevel="0" collapsed="false">
      <c r="A1946" s="0" t="n">
        <v>468139</v>
      </c>
      <c r="B1946" s="0" t="n">
        <v>468139</v>
      </c>
      <c r="C1946" s="0" t="n">
        <v>1</v>
      </c>
      <c r="D1946" s="0" t="n">
        <v>6</v>
      </c>
      <c r="E1946" s="0" t="n">
        <v>2404</v>
      </c>
      <c r="F1946" s="0" t="n">
        <v>88</v>
      </c>
      <c r="G1946" s="0" t="n">
        <v>151</v>
      </c>
      <c r="H1946" s="0" t="s">
        <v>3747</v>
      </c>
      <c r="I1946" s="0" t="s">
        <v>3749</v>
      </c>
      <c r="J1946" s="9" t="n">
        <v>45907</v>
      </c>
      <c r="K1946" s="0" t="s">
        <v>3750</v>
      </c>
      <c r="L1946" s="0" t="n">
        <v>12</v>
      </c>
      <c r="M1946" s="10"/>
      <c r="N1946" s="10"/>
      <c r="O1946" s="0" t="str">
        <f aca="false">VLOOKUP(C1946,statusdetails!$A:$D,4,0)</f>
        <v>READY</v>
      </c>
    </row>
    <row r="1947" customFormat="false" ht="12.8" hidden="false" customHeight="false" outlineLevel="0" collapsed="false">
      <c r="A1947" s="0" t="n">
        <v>468140</v>
      </c>
      <c r="B1947" s="0" t="n">
        <v>468140</v>
      </c>
      <c r="C1947" s="0" t="n">
        <v>3</v>
      </c>
      <c r="D1947" s="0" t="n">
        <v>14</v>
      </c>
      <c r="E1947" s="0" t="n">
        <v>1142</v>
      </c>
      <c r="F1947" s="0" t="n">
        <v>32</v>
      </c>
      <c r="G1947" s="0" t="n">
        <v>23</v>
      </c>
      <c r="H1947" s="1" t="s">
        <v>3706</v>
      </c>
      <c r="I1947" s="1" t="s">
        <v>3751</v>
      </c>
      <c r="J1947" s="9" t="n">
        <v>45907</v>
      </c>
      <c r="K1947" s="0" t="s">
        <v>3752</v>
      </c>
      <c r="L1947" s="0" t="n">
        <v>12</v>
      </c>
      <c r="M1947" s="10"/>
      <c r="N1947" s="10"/>
      <c r="O1947" s="0" t="str">
        <f aca="false">VLOOKUP(C1947,statusdetails!$A:$D,4,0)</f>
        <v>STANDBY</v>
      </c>
      <c r="P1947" s="0" t="str">
        <f aca="false">VLOOKUP(F1947,equipment!$A:$E,4,0)</f>
        <v>CM403</v>
      </c>
      <c r="Q1947" s="0" t="str">
        <f aca="false">VLOOKUP(F1947,equipment!$A:$E,5,0)</f>
        <v>CM403 - 32</v>
      </c>
    </row>
    <row r="1948" customFormat="false" ht="12.8" hidden="false" customHeight="false" outlineLevel="0" collapsed="false">
      <c r="A1948" s="0" t="n">
        <v>468141</v>
      </c>
      <c r="B1948" s="0" t="n">
        <v>468141</v>
      </c>
      <c r="C1948" s="0" t="n">
        <v>3</v>
      </c>
      <c r="D1948" s="0" t="n">
        <v>12</v>
      </c>
      <c r="E1948" s="0" t="n">
        <v>394</v>
      </c>
      <c r="F1948" s="0" t="n">
        <v>37</v>
      </c>
      <c r="G1948" s="0" t="n">
        <v>45</v>
      </c>
      <c r="H1948" s="1" t="s">
        <v>3739</v>
      </c>
      <c r="I1948" s="1" t="s">
        <v>3753</v>
      </c>
      <c r="J1948" s="9" t="n">
        <v>45907</v>
      </c>
      <c r="K1948" s="0" t="s">
        <v>3754</v>
      </c>
      <c r="L1948" s="0" t="n">
        <v>13</v>
      </c>
      <c r="M1948" s="10"/>
      <c r="N1948" s="10"/>
      <c r="O1948" s="0" t="str">
        <f aca="false">VLOOKUP(C1948,statusdetails!$A:$D,4,0)</f>
        <v>STANDBY</v>
      </c>
      <c r="P1948" s="0" t="str">
        <f aca="false">VLOOKUP(F1948,equipment!$A:$E,4,0)</f>
        <v>DZ201</v>
      </c>
      <c r="Q1948" s="0" t="str">
        <f aca="false">VLOOKUP(F1948,equipment!$A:$E,5,0)</f>
        <v>DZ201 - 37</v>
      </c>
    </row>
    <row r="1949" customFormat="false" ht="12.8" hidden="true" customHeight="false" outlineLevel="0" collapsed="false">
      <c r="A1949" s="0" t="n">
        <v>468142</v>
      </c>
      <c r="B1949" s="0" t="n">
        <v>468142</v>
      </c>
      <c r="C1949" s="0" t="n">
        <v>1</v>
      </c>
      <c r="D1949" s="0" t="n">
        <v>6</v>
      </c>
      <c r="E1949" s="0" t="n">
        <v>260</v>
      </c>
      <c r="F1949" s="0" t="n">
        <v>32</v>
      </c>
      <c r="G1949" s="0" t="n">
        <v>23</v>
      </c>
      <c r="H1949" s="0" t="s">
        <v>3751</v>
      </c>
      <c r="I1949" s="0" t="s">
        <v>3755</v>
      </c>
      <c r="J1949" s="9" t="n">
        <v>45907</v>
      </c>
      <c r="K1949" s="0" t="s">
        <v>3756</v>
      </c>
      <c r="L1949" s="0" t="n">
        <v>13</v>
      </c>
      <c r="M1949" s="10"/>
      <c r="N1949" s="10"/>
      <c r="O1949" s="0" t="str">
        <f aca="false">VLOOKUP(C1949,statusdetails!$A:$D,4,0)</f>
        <v>READY</v>
      </c>
    </row>
    <row r="1950" customFormat="false" ht="12.8" hidden="true" customHeight="false" outlineLevel="0" collapsed="false">
      <c r="A1950" s="0" t="n">
        <v>468143</v>
      </c>
      <c r="B1950" s="0" t="n">
        <v>468143</v>
      </c>
      <c r="C1950" s="0" t="n">
        <v>4</v>
      </c>
      <c r="D1950" s="0" t="n">
        <v>15</v>
      </c>
      <c r="E1950" s="0" t="n">
        <v>319</v>
      </c>
      <c r="F1950" s="0" t="n">
        <v>66</v>
      </c>
      <c r="G1950" s="0" t="n">
        <v>47</v>
      </c>
      <c r="H1950" s="0" t="s">
        <v>3648</v>
      </c>
      <c r="I1950" s="0" t="s">
        <v>3757</v>
      </c>
      <c r="J1950" s="9" t="n">
        <v>45907</v>
      </c>
      <c r="K1950" s="0" t="s">
        <v>3758</v>
      </c>
      <c r="L1950" s="0" t="n">
        <v>13</v>
      </c>
      <c r="M1950" s="10"/>
      <c r="N1950" s="10"/>
      <c r="O1950" s="0" t="str">
        <f aca="false">VLOOKUP(C1950,statusdetails!$A:$D,4,0)</f>
        <v>MAINT</v>
      </c>
    </row>
    <row r="1951" customFormat="false" ht="12.8" hidden="true" customHeight="false" outlineLevel="0" collapsed="false">
      <c r="A1951" s="0" t="n">
        <v>468144</v>
      </c>
      <c r="B1951" s="0" t="n">
        <v>468144</v>
      </c>
      <c r="C1951" s="0" t="n">
        <v>4</v>
      </c>
      <c r="D1951" s="0" t="n">
        <v>16</v>
      </c>
      <c r="E1951" s="0" t="n">
        <v>1029</v>
      </c>
      <c r="F1951" s="0" t="n">
        <v>43</v>
      </c>
      <c r="G1951" s="0" t="n">
        <v>36</v>
      </c>
      <c r="H1951" s="0" t="s">
        <v>3735</v>
      </c>
      <c r="I1951" s="0" t="s">
        <v>3759</v>
      </c>
      <c r="J1951" s="9" t="n">
        <v>45907</v>
      </c>
      <c r="K1951" s="0" t="s">
        <v>3760</v>
      </c>
      <c r="L1951" s="0" t="n">
        <v>13</v>
      </c>
      <c r="M1951" s="10"/>
      <c r="N1951" s="10"/>
      <c r="O1951" s="0" t="str">
        <f aca="false">VLOOKUP(C1951,statusdetails!$A:$D,4,0)</f>
        <v>MAINT</v>
      </c>
    </row>
    <row r="1952" customFormat="false" ht="12.8" hidden="true" customHeight="false" outlineLevel="0" collapsed="false">
      <c r="A1952" s="0" t="n">
        <v>468145</v>
      </c>
      <c r="B1952" s="0" t="n">
        <v>468145</v>
      </c>
      <c r="C1952" s="0" t="n">
        <v>1</v>
      </c>
      <c r="D1952" s="0" t="n">
        <v>6</v>
      </c>
      <c r="E1952" s="0" t="n">
        <v>811</v>
      </c>
      <c r="F1952" s="0" t="n">
        <v>43</v>
      </c>
      <c r="G1952" s="0" t="n">
        <v>36</v>
      </c>
      <c r="H1952" s="0" t="s">
        <v>3759</v>
      </c>
      <c r="I1952" s="0" t="s">
        <v>3761</v>
      </c>
      <c r="J1952" s="9" t="n">
        <v>45907</v>
      </c>
      <c r="K1952" s="0" t="s">
        <v>3762</v>
      </c>
      <c r="L1952" s="0" t="n">
        <v>13</v>
      </c>
      <c r="M1952" s="10"/>
      <c r="N1952" s="10"/>
      <c r="O1952" s="0" t="str">
        <f aca="false">VLOOKUP(C1952,statusdetails!$A:$D,4,0)</f>
        <v>READY</v>
      </c>
    </row>
    <row r="1953" customFormat="false" ht="12.8" hidden="false" customHeight="false" outlineLevel="0" collapsed="false">
      <c r="A1953" s="0" t="n">
        <v>468146</v>
      </c>
      <c r="B1953" s="0" t="n">
        <v>468146</v>
      </c>
      <c r="C1953" s="0" t="n">
        <v>3</v>
      </c>
      <c r="D1953" s="0" t="n">
        <v>14</v>
      </c>
      <c r="E1953" s="0" t="n">
        <v>2503</v>
      </c>
      <c r="F1953" s="0" t="n">
        <v>88</v>
      </c>
      <c r="G1953" s="0" t="n">
        <v>151</v>
      </c>
      <c r="H1953" s="1" t="s">
        <v>3749</v>
      </c>
      <c r="I1953" s="1" t="s">
        <v>3763</v>
      </c>
      <c r="J1953" s="9" t="n">
        <v>45907</v>
      </c>
      <c r="K1953" s="0" t="s">
        <v>3764</v>
      </c>
      <c r="L1953" s="0" t="n">
        <v>14</v>
      </c>
      <c r="M1953" s="10"/>
      <c r="N1953" s="10"/>
      <c r="O1953" s="0" t="str">
        <f aca="false">VLOOKUP(C1953,statusdetails!$A:$D,4,0)</f>
        <v>STANDBY</v>
      </c>
      <c r="P1953" s="0" t="str">
        <f aca="false">VLOOKUP(F1953,equipment!$A:$E,4,0)</f>
        <v>CM05</v>
      </c>
      <c r="Q1953" s="0" t="str">
        <f aca="false">VLOOKUP(F1953,equipment!$A:$E,5,0)</f>
        <v>CM05 - 88</v>
      </c>
    </row>
    <row r="1954" customFormat="false" ht="12.8" hidden="true" customHeight="false" outlineLevel="0" collapsed="false">
      <c r="A1954" s="0" t="n">
        <v>468147</v>
      </c>
      <c r="B1954" s="0" t="n">
        <v>468147</v>
      </c>
      <c r="C1954" s="0" t="n">
        <v>1</v>
      </c>
      <c r="D1954" s="0" t="n">
        <v>6</v>
      </c>
      <c r="E1954" s="0" t="n">
        <v>2404</v>
      </c>
      <c r="F1954" s="0" t="n">
        <v>88</v>
      </c>
      <c r="G1954" s="0" t="n">
        <v>151</v>
      </c>
      <c r="H1954" s="0" t="s">
        <v>3763</v>
      </c>
      <c r="I1954" s="0" t="s">
        <v>3765</v>
      </c>
      <c r="J1954" s="9" t="n">
        <v>45907</v>
      </c>
      <c r="K1954" s="0" t="s">
        <v>3766</v>
      </c>
      <c r="L1954" s="0" t="n">
        <v>14</v>
      </c>
      <c r="M1954" s="10"/>
      <c r="N1954" s="10"/>
      <c r="O1954" s="0" t="str">
        <f aca="false">VLOOKUP(C1954,statusdetails!$A:$D,4,0)</f>
        <v>READY</v>
      </c>
    </row>
    <row r="1955" customFormat="false" ht="12.8" hidden="false" customHeight="false" outlineLevel="0" collapsed="false">
      <c r="A1955" s="0" t="n">
        <v>468148</v>
      </c>
      <c r="B1955" s="0" t="n">
        <v>468148</v>
      </c>
      <c r="C1955" s="0" t="n">
        <v>3</v>
      </c>
      <c r="D1955" s="0" t="n">
        <v>12</v>
      </c>
      <c r="E1955" s="0" t="n">
        <v>2504</v>
      </c>
      <c r="F1955" s="0" t="n">
        <v>84</v>
      </c>
      <c r="G1955" s="0" t="n">
        <v>31</v>
      </c>
      <c r="H1955" s="1" t="s">
        <v>3718</v>
      </c>
      <c r="I1955" s="1" t="s">
        <v>3767</v>
      </c>
      <c r="J1955" s="9" t="n">
        <v>45907</v>
      </c>
      <c r="K1955" s="0" t="s">
        <v>3768</v>
      </c>
      <c r="L1955" s="0" t="n">
        <v>14</v>
      </c>
      <c r="M1955" s="10"/>
      <c r="N1955" s="10"/>
      <c r="O1955" s="0" t="str">
        <f aca="false">VLOOKUP(C1955,statusdetails!$A:$D,4,0)</f>
        <v>STANDBY</v>
      </c>
      <c r="P1955" s="0" t="str">
        <f aca="false">VLOOKUP(F1955,equipment!$A:$E,4,0)</f>
        <v>CM01</v>
      </c>
      <c r="Q1955" s="0" t="str">
        <f aca="false">VLOOKUP(F1955,equipment!$A:$E,5,0)</f>
        <v>CM01 - 84</v>
      </c>
    </row>
    <row r="1956" customFormat="false" ht="12.8" hidden="true" customHeight="false" outlineLevel="0" collapsed="false">
      <c r="A1956" s="0" t="n">
        <v>468149</v>
      </c>
      <c r="B1956" s="0" t="n">
        <v>468149</v>
      </c>
      <c r="C1956" s="0" t="n">
        <v>1</v>
      </c>
      <c r="D1956" s="0" t="n">
        <v>6</v>
      </c>
      <c r="E1956" s="0" t="n">
        <v>586</v>
      </c>
      <c r="F1956" s="0" t="n">
        <v>41</v>
      </c>
      <c r="G1956" s="0" t="n">
        <v>118</v>
      </c>
      <c r="H1956" s="0" t="s">
        <v>3741</v>
      </c>
      <c r="I1956" s="0" t="s">
        <v>3769</v>
      </c>
      <c r="J1956" s="9" t="n">
        <v>45907</v>
      </c>
      <c r="K1956" s="0" t="s">
        <v>3770</v>
      </c>
      <c r="L1956" s="0" t="n">
        <v>14</v>
      </c>
      <c r="M1956" s="10"/>
      <c r="N1956" s="10"/>
      <c r="O1956" s="0" t="str">
        <f aca="false">VLOOKUP(C1956,statusdetails!$A:$D,4,0)</f>
        <v>READY</v>
      </c>
    </row>
    <row r="1957" customFormat="false" ht="12.8" hidden="false" customHeight="false" outlineLevel="0" collapsed="false">
      <c r="A1957" s="0" t="n">
        <v>468150</v>
      </c>
      <c r="B1957" s="0" t="n">
        <v>468150</v>
      </c>
      <c r="C1957" s="0" t="n">
        <v>3</v>
      </c>
      <c r="D1957" s="0" t="n">
        <v>12</v>
      </c>
      <c r="E1957" s="0" t="n">
        <v>2453</v>
      </c>
      <c r="F1957" s="0" t="n">
        <v>60</v>
      </c>
      <c r="G1957" s="0" t="n">
        <v>0</v>
      </c>
      <c r="H1957" s="1" t="s">
        <v>3663</v>
      </c>
      <c r="I1957" s="1" t="s">
        <v>3771</v>
      </c>
      <c r="J1957" s="9" t="n">
        <v>45907</v>
      </c>
      <c r="K1957" s="0" t="s">
        <v>3772</v>
      </c>
      <c r="L1957" s="0" t="n">
        <v>14</v>
      </c>
      <c r="M1957" s="10"/>
      <c r="N1957" s="10"/>
      <c r="O1957" s="0" t="str">
        <f aca="false">VLOOKUP(C1957,statusdetails!$A:$D,4,0)</f>
        <v>STANDBY</v>
      </c>
      <c r="P1957" s="0" t="str">
        <f aca="false">VLOOKUP(F1957,equipment!$A:$E,4,0)</f>
        <v>EX802</v>
      </c>
      <c r="Q1957" s="0" t="str">
        <f aca="false">VLOOKUP(F1957,equipment!$A:$E,5,0)</f>
        <v>EX802 - 60</v>
      </c>
    </row>
    <row r="1958" customFormat="false" ht="12.8" hidden="false" customHeight="false" outlineLevel="0" collapsed="false">
      <c r="A1958" s="0" t="n">
        <v>468151</v>
      </c>
      <c r="B1958" s="0" t="n">
        <v>468151</v>
      </c>
      <c r="C1958" s="0" t="n">
        <v>3</v>
      </c>
      <c r="D1958" s="0" t="n">
        <v>12</v>
      </c>
      <c r="E1958" s="0" t="n">
        <v>167</v>
      </c>
      <c r="F1958" s="0" t="n">
        <v>45</v>
      </c>
      <c r="G1958" s="0" t="n">
        <v>0</v>
      </c>
      <c r="H1958" s="1" t="s">
        <v>3745</v>
      </c>
      <c r="I1958" s="1" t="s">
        <v>3773</v>
      </c>
      <c r="J1958" s="9" t="n">
        <v>45907</v>
      </c>
      <c r="K1958" s="0" t="s">
        <v>3774</v>
      </c>
      <c r="L1958" s="0" t="n">
        <v>14</v>
      </c>
      <c r="M1958" s="10"/>
      <c r="N1958" s="10"/>
      <c r="O1958" s="0" t="str">
        <f aca="false">VLOOKUP(C1958,statusdetails!$A:$D,4,0)</f>
        <v>STANDBY</v>
      </c>
      <c r="P1958" s="0" t="str">
        <f aca="false">VLOOKUP(F1958,equipment!$A:$E,4,0)</f>
        <v>EX501</v>
      </c>
      <c r="Q1958" s="0" t="str">
        <f aca="false">VLOOKUP(F1958,equipment!$A:$E,5,0)</f>
        <v>EX501 - 45</v>
      </c>
    </row>
    <row r="1959" customFormat="false" ht="12.8" hidden="false" customHeight="false" outlineLevel="0" collapsed="false">
      <c r="A1959" s="0" t="n">
        <v>468152</v>
      </c>
      <c r="B1959" s="0" t="n">
        <v>468152</v>
      </c>
      <c r="C1959" s="0" t="n">
        <v>3</v>
      </c>
      <c r="D1959" s="0" t="n">
        <v>12</v>
      </c>
      <c r="E1959" s="0" t="n">
        <v>2452</v>
      </c>
      <c r="F1959" s="0" t="n">
        <v>82</v>
      </c>
      <c r="G1959" s="0" t="n">
        <v>156</v>
      </c>
      <c r="H1959" s="1" t="s">
        <v>3730</v>
      </c>
      <c r="I1959" s="1" t="s">
        <v>3775</v>
      </c>
      <c r="J1959" s="9" t="n">
        <v>45907</v>
      </c>
      <c r="K1959" s="0" t="s">
        <v>3776</v>
      </c>
      <c r="L1959" s="0" t="n">
        <v>14</v>
      </c>
      <c r="M1959" s="10"/>
      <c r="N1959" s="10"/>
      <c r="O1959" s="0" t="str">
        <f aca="false">VLOOKUP(C1959,statusdetails!$A:$D,4,0)</f>
        <v>STANDBY</v>
      </c>
      <c r="P1959" s="0" t="str">
        <f aca="false">VLOOKUP(F1959,equipment!$A:$E,4,0)</f>
        <v>EX502</v>
      </c>
      <c r="Q1959" s="0" t="str">
        <f aca="false">VLOOKUP(F1959,equipment!$A:$E,5,0)</f>
        <v>EX502 - 82</v>
      </c>
    </row>
    <row r="1960" customFormat="false" ht="12.8" hidden="true" customHeight="false" outlineLevel="0" collapsed="false">
      <c r="A1960" s="0" t="n">
        <v>468153</v>
      </c>
      <c r="B1960" s="0" t="n">
        <v>468153</v>
      </c>
      <c r="C1960" s="0" t="n">
        <v>1</v>
      </c>
      <c r="D1960" s="0" t="n">
        <v>6</v>
      </c>
      <c r="E1960" s="0" t="n">
        <v>2518</v>
      </c>
      <c r="F1960" s="0" t="n">
        <v>82</v>
      </c>
      <c r="G1960" s="0" t="n">
        <v>156</v>
      </c>
      <c r="H1960" s="0" t="s">
        <v>3775</v>
      </c>
      <c r="I1960" s="0" t="s">
        <v>3777</v>
      </c>
      <c r="J1960" s="9" t="n">
        <v>45907</v>
      </c>
      <c r="K1960" s="0" t="s">
        <v>3778</v>
      </c>
      <c r="L1960" s="0" t="n">
        <v>14</v>
      </c>
      <c r="M1960" s="10"/>
      <c r="N1960" s="10"/>
      <c r="O1960" s="0" t="str">
        <f aca="false">VLOOKUP(C1960,statusdetails!$A:$D,4,0)</f>
        <v>READY</v>
      </c>
    </row>
    <row r="1961" customFormat="false" ht="12.8" hidden="true" customHeight="false" outlineLevel="0" collapsed="false">
      <c r="A1961" s="0" t="n">
        <v>468154</v>
      </c>
      <c r="B1961" s="0" t="n">
        <v>468154</v>
      </c>
      <c r="C1961" s="0" t="n">
        <v>1</v>
      </c>
      <c r="D1961" s="0" t="n">
        <v>6</v>
      </c>
      <c r="E1961" s="0" t="n">
        <v>2404</v>
      </c>
      <c r="F1961" s="0" t="n">
        <v>84</v>
      </c>
      <c r="G1961" s="0" t="n">
        <v>150</v>
      </c>
      <c r="H1961" s="0" t="s">
        <v>3767</v>
      </c>
      <c r="I1961" s="0" t="s">
        <v>3779</v>
      </c>
      <c r="J1961" s="9" t="n">
        <v>45907</v>
      </c>
      <c r="K1961" s="0" t="s">
        <v>3780</v>
      </c>
      <c r="L1961" s="0" t="n">
        <v>14</v>
      </c>
      <c r="M1961" s="10"/>
      <c r="N1961" s="10"/>
      <c r="O1961" s="0" t="str">
        <f aca="false">VLOOKUP(C1961,statusdetails!$A:$D,4,0)</f>
        <v>READY</v>
      </c>
    </row>
    <row r="1962" customFormat="false" ht="12.8" hidden="true" customHeight="false" outlineLevel="0" collapsed="false">
      <c r="A1962" s="0" t="n">
        <v>468155</v>
      </c>
      <c r="B1962" s="0" t="n">
        <v>468155</v>
      </c>
      <c r="C1962" s="0" t="n">
        <v>4</v>
      </c>
      <c r="D1962" s="0" t="n">
        <v>16</v>
      </c>
      <c r="E1962" s="0" t="n">
        <v>2461</v>
      </c>
      <c r="F1962" s="0" t="n">
        <v>84</v>
      </c>
      <c r="G1962" s="0" t="n">
        <v>152</v>
      </c>
      <c r="H1962" s="0" t="s">
        <v>3779</v>
      </c>
      <c r="I1962" s="0" t="s">
        <v>3781</v>
      </c>
      <c r="J1962" s="9" t="n">
        <v>45907</v>
      </c>
      <c r="K1962" s="0" t="s">
        <v>3782</v>
      </c>
      <c r="L1962" s="0" t="n">
        <v>14</v>
      </c>
      <c r="M1962" s="10"/>
      <c r="N1962" s="10"/>
      <c r="O1962" s="0" t="str">
        <f aca="false">VLOOKUP(C1962,statusdetails!$A:$D,4,0)</f>
        <v>MAINT</v>
      </c>
    </row>
    <row r="1963" customFormat="false" ht="12.8" hidden="true" customHeight="false" outlineLevel="0" collapsed="false">
      <c r="A1963" s="0" t="n">
        <v>468156</v>
      </c>
      <c r="B1963" s="0" t="n">
        <v>468156</v>
      </c>
      <c r="C1963" s="0" t="n">
        <v>1</v>
      </c>
      <c r="D1963" s="0" t="n">
        <v>6</v>
      </c>
      <c r="E1963" s="0" t="n">
        <v>260</v>
      </c>
      <c r="F1963" s="0" t="n">
        <v>33</v>
      </c>
      <c r="G1963" s="0" t="n">
        <v>98</v>
      </c>
      <c r="H1963" s="0" t="s">
        <v>3783</v>
      </c>
      <c r="I1963" s="0" t="s">
        <v>3784</v>
      </c>
      <c r="J1963" s="9" t="n">
        <v>45907</v>
      </c>
      <c r="K1963" s="0" t="s">
        <v>3785</v>
      </c>
      <c r="L1963" s="0" t="n">
        <v>15</v>
      </c>
      <c r="M1963" s="10"/>
      <c r="N1963" s="10"/>
      <c r="O1963" s="0" t="str">
        <f aca="false">VLOOKUP(C1963,statusdetails!$A:$D,4,0)</f>
        <v>READY</v>
      </c>
    </row>
    <row r="1964" customFormat="false" ht="12.8" hidden="false" customHeight="false" outlineLevel="0" collapsed="false">
      <c r="A1964" s="0" t="n">
        <v>468157</v>
      </c>
      <c r="B1964" s="0" t="n">
        <v>468157</v>
      </c>
      <c r="C1964" s="0" t="n">
        <v>3</v>
      </c>
      <c r="D1964" s="0" t="n">
        <v>14</v>
      </c>
      <c r="E1964" s="0" t="n">
        <v>2503</v>
      </c>
      <c r="F1964" s="0" t="n">
        <v>85</v>
      </c>
      <c r="G1964" s="0" t="n">
        <v>153</v>
      </c>
      <c r="H1964" s="1" t="s">
        <v>3585</v>
      </c>
      <c r="I1964" s="1" t="s">
        <v>3786</v>
      </c>
      <c r="J1964" s="9" t="n">
        <v>45907</v>
      </c>
      <c r="K1964" s="0" t="s">
        <v>3787</v>
      </c>
      <c r="L1964" s="0" t="n">
        <v>15</v>
      </c>
      <c r="M1964" s="10"/>
      <c r="N1964" s="10"/>
      <c r="O1964" s="0" t="str">
        <f aca="false">VLOOKUP(C1964,statusdetails!$A:$D,4,0)</f>
        <v>STANDBY</v>
      </c>
      <c r="P1964" s="0" t="str">
        <f aca="false">VLOOKUP(F1964,equipment!$A:$E,4,0)</f>
        <v>CM02</v>
      </c>
      <c r="Q1964" s="0" t="str">
        <f aca="false">VLOOKUP(F1964,equipment!$A:$E,5,0)</f>
        <v>CM02 - 85</v>
      </c>
    </row>
    <row r="1965" customFormat="false" ht="12.8" hidden="true" customHeight="false" outlineLevel="0" collapsed="false">
      <c r="A1965" s="0" t="n">
        <v>468158</v>
      </c>
      <c r="B1965" s="0" t="n">
        <v>468158</v>
      </c>
      <c r="C1965" s="0" t="n">
        <v>1</v>
      </c>
      <c r="D1965" s="0" t="n">
        <v>6</v>
      </c>
      <c r="E1965" s="0" t="n">
        <v>2404</v>
      </c>
      <c r="F1965" s="0" t="n">
        <v>85</v>
      </c>
      <c r="G1965" s="0" t="n">
        <v>153</v>
      </c>
      <c r="H1965" s="0" t="s">
        <v>3786</v>
      </c>
      <c r="I1965" s="0" t="s">
        <v>3788</v>
      </c>
      <c r="J1965" s="9" t="n">
        <v>45907</v>
      </c>
      <c r="K1965" s="0" t="s">
        <v>3789</v>
      </c>
      <c r="L1965" s="0" t="n">
        <v>15</v>
      </c>
      <c r="M1965" s="10"/>
      <c r="N1965" s="10"/>
      <c r="O1965" s="0" t="str">
        <f aca="false">VLOOKUP(C1965,statusdetails!$A:$D,4,0)</f>
        <v>READY</v>
      </c>
    </row>
    <row r="1966" customFormat="false" ht="12.8" hidden="false" customHeight="false" outlineLevel="0" collapsed="false">
      <c r="A1966" s="0" t="n">
        <v>468159</v>
      </c>
      <c r="B1966" s="0" t="n">
        <v>468159</v>
      </c>
      <c r="C1966" s="0" t="n">
        <v>3</v>
      </c>
      <c r="D1966" s="0" t="n">
        <v>12</v>
      </c>
      <c r="E1966" s="0" t="n">
        <v>2453</v>
      </c>
      <c r="F1966" s="0" t="n">
        <v>90</v>
      </c>
      <c r="G1966" s="0" t="n">
        <v>13</v>
      </c>
      <c r="H1966" s="1" t="s">
        <v>3661</v>
      </c>
      <c r="I1966" s="1" t="s">
        <v>3790</v>
      </c>
      <c r="J1966" s="9" t="n">
        <v>45907</v>
      </c>
      <c r="K1966" s="0" t="s">
        <v>3791</v>
      </c>
      <c r="L1966" s="0" t="n">
        <v>15</v>
      </c>
      <c r="M1966" s="10"/>
      <c r="N1966" s="10"/>
      <c r="O1966" s="0" t="str">
        <f aca="false">VLOOKUP(C1966,statusdetails!$A:$D,4,0)</f>
        <v>STANDBY</v>
      </c>
      <c r="P1966" s="0" t="str">
        <f aca="false">VLOOKUP(F1966,equipment!$A:$E,4,0)</f>
        <v>EX803</v>
      </c>
      <c r="Q1966" s="0" t="str">
        <f aca="false">VLOOKUP(F1966,equipment!$A:$E,5,0)</f>
        <v>EX803 - 90</v>
      </c>
    </row>
    <row r="1967" customFormat="false" ht="12.8" hidden="false" customHeight="false" outlineLevel="0" collapsed="false">
      <c r="A1967" s="0" t="n">
        <v>468160</v>
      </c>
      <c r="B1967" s="0" t="n">
        <v>468160</v>
      </c>
      <c r="C1967" s="0" t="n">
        <v>3</v>
      </c>
      <c r="D1967" s="0" t="n">
        <v>14</v>
      </c>
      <c r="E1967" s="0" t="n">
        <v>2503</v>
      </c>
      <c r="F1967" s="0" t="n">
        <v>86</v>
      </c>
      <c r="G1967" s="0" t="n">
        <v>15</v>
      </c>
      <c r="H1967" s="1" t="s">
        <v>3723</v>
      </c>
      <c r="I1967" s="1" t="s">
        <v>3792</v>
      </c>
      <c r="J1967" s="9" t="n">
        <v>45907</v>
      </c>
      <c r="K1967" s="0" t="s">
        <v>3793</v>
      </c>
      <c r="L1967" s="0" t="n">
        <v>15</v>
      </c>
      <c r="M1967" s="10"/>
      <c r="N1967" s="10"/>
      <c r="O1967" s="0" t="str">
        <f aca="false">VLOOKUP(C1967,statusdetails!$A:$D,4,0)</f>
        <v>STANDBY</v>
      </c>
      <c r="P1967" s="0" t="str">
        <f aca="false">VLOOKUP(F1967,equipment!$A:$E,4,0)</f>
        <v>CM03</v>
      </c>
      <c r="Q1967" s="0" t="str">
        <f aca="false">VLOOKUP(F1967,equipment!$A:$E,5,0)</f>
        <v>CM03 - 86</v>
      </c>
    </row>
    <row r="1968" customFormat="false" ht="12.8" hidden="true" customHeight="false" outlineLevel="0" collapsed="false">
      <c r="A1968" s="0" t="n">
        <v>468161</v>
      </c>
      <c r="B1968" s="0" t="n">
        <v>468161</v>
      </c>
      <c r="C1968" s="0" t="n">
        <v>1</v>
      </c>
      <c r="D1968" s="0" t="n">
        <v>6</v>
      </c>
      <c r="E1968" s="0" t="n">
        <v>2404</v>
      </c>
      <c r="F1968" s="0" t="n">
        <v>84</v>
      </c>
      <c r="G1968" s="0" t="n">
        <v>152</v>
      </c>
      <c r="H1968" s="0" t="s">
        <v>3781</v>
      </c>
      <c r="I1968" s="0" t="s">
        <v>3794</v>
      </c>
      <c r="J1968" s="9" t="n">
        <v>45907</v>
      </c>
      <c r="K1968" s="0" t="s">
        <v>3795</v>
      </c>
      <c r="L1968" s="0" t="n">
        <v>15</v>
      </c>
      <c r="M1968" s="10"/>
      <c r="N1968" s="10"/>
      <c r="O1968" s="0" t="str">
        <f aca="false">VLOOKUP(C1968,statusdetails!$A:$D,4,0)</f>
        <v>READY</v>
      </c>
    </row>
    <row r="1969" customFormat="false" ht="12.8" hidden="true" customHeight="false" outlineLevel="0" collapsed="false">
      <c r="A1969" s="0" t="n">
        <v>468162</v>
      </c>
      <c r="B1969" s="0" t="n">
        <v>468162</v>
      </c>
      <c r="C1969" s="0" t="n">
        <v>1</v>
      </c>
      <c r="D1969" s="0" t="n">
        <v>6</v>
      </c>
      <c r="E1969" s="0" t="n">
        <v>2404</v>
      </c>
      <c r="F1969" s="0" t="n">
        <v>86</v>
      </c>
      <c r="G1969" s="0" t="n">
        <v>15</v>
      </c>
      <c r="H1969" s="0" t="s">
        <v>3792</v>
      </c>
      <c r="I1969" s="0" t="s">
        <v>3796</v>
      </c>
      <c r="J1969" s="9" t="n">
        <v>45907</v>
      </c>
      <c r="K1969" s="0" t="s">
        <v>3797</v>
      </c>
      <c r="L1969" s="0" t="n">
        <v>15</v>
      </c>
      <c r="M1969" s="10"/>
      <c r="N1969" s="10"/>
      <c r="O1969" s="0" t="str">
        <f aca="false">VLOOKUP(C1969,statusdetails!$A:$D,4,0)</f>
        <v>READY</v>
      </c>
    </row>
    <row r="1970" customFormat="false" ht="12.8" hidden="true" customHeight="false" outlineLevel="0" collapsed="false">
      <c r="A1970" s="0" t="n">
        <v>468163</v>
      </c>
      <c r="B1970" s="0" t="n">
        <v>468163</v>
      </c>
      <c r="C1970" s="0" t="n">
        <v>4</v>
      </c>
      <c r="D1970" s="0" t="n">
        <v>16</v>
      </c>
      <c r="E1970" s="0" t="n">
        <v>901</v>
      </c>
      <c r="F1970" s="0" t="n">
        <v>43</v>
      </c>
      <c r="G1970" s="0" t="n">
        <v>83</v>
      </c>
      <c r="H1970" s="0" t="s">
        <v>3761</v>
      </c>
      <c r="I1970" s="0" t="s">
        <v>3798</v>
      </c>
      <c r="J1970" s="9" t="n">
        <v>45907</v>
      </c>
      <c r="K1970" s="0" t="s">
        <v>3799</v>
      </c>
      <c r="L1970" s="0" t="n">
        <v>15</v>
      </c>
      <c r="M1970" s="10"/>
      <c r="N1970" s="10"/>
      <c r="O1970" s="0" t="str">
        <f aca="false">VLOOKUP(C1970,statusdetails!$A:$D,4,0)</f>
        <v>MAINT</v>
      </c>
    </row>
    <row r="1971" customFormat="false" ht="12.8" hidden="false" customHeight="false" outlineLevel="0" collapsed="false">
      <c r="A1971" s="0" t="n">
        <v>468164</v>
      </c>
      <c r="B1971" s="0" t="n">
        <v>468164</v>
      </c>
      <c r="C1971" s="0" t="n">
        <v>3</v>
      </c>
      <c r="D1971" s="0" t="n">
        <v>14</v>
      </c>
      <c r="E1971" s="0" t="n">
        <v>2503</v>
      </c>
      <c r="F1971" s="0" t="n">
        <v>87</v>
      </c>
      <c r="G1971" s="0" t="n">
        <v>154</v>
      </c>
      <c r="H1971" s="1" t="s">
        <v>3720</v>
      </c>
      <c r="I1971" s="1" t="s">
        <v>3800</v>
      </c>
      <c r="J1971" s="9" t="n">
        <v>45907</v>
      </c>
      <c r="K1971" s="0" t="s">
        <v>3801</v>
      </c>
      <c r="L1971" s="0" t="n">
        <v>15</v>
      </c>
      <c r="M1971" s="10"/>
      <c r="N1971" s="10"/>
      <c r="O1971" s="0" t="str">
        <f aca="false">VLOOKUP(C1971,statusdetails!$A:$D,4,0)</f>
        <v>STANDBY</v>
      </c>
      <c r="P1971" s="0" t="str">
        <f aca="false">VLOOKUP(F1971,equipment!$A:$E,4,0)</f>
        <v>CM04</v>
      </c>
      <c r="Q1971" s="0" t="str">
        <f aca="false">VLOOKUP(F1971,equipment!$A:$E,5,0)</f>
        <v>CM04 - 87</v>
      </c>
    </row>
    <row r="1972" customFormat="false" ht="12.8" hidden="true" customHeight="false" outlineLevel="0" collapsed="false">
      <c r="A1972" s="0" t="n">
        <v>468165</v>
      </c>
      <c r="B1972" s="0" t="n">
        <v>468165</v>
      </c>
      <c r="C1972" s="0" t="n">
        <v>4</v>
      </c>
      <c r="D1972" s="0" t="n">
        <v>16</v>
      </c>
      <c r="E1972" s="0" t="n">
        <v>2461</v>
      </c>
      <c r="F1972" s="0" t="n">
        <v>86</v>
      </c>
      <c r="G1972" s="0" t="n">
        <v>15</v>
      </c>
      <c r="H1972" s="0" t="s">
        <v>3796</v>
      </c>
      <c r="I1972" s="0" t="s">
        <v>3802</v>
      </c>
      <c r="J1972" s="9" t="n">
        <v>45907</v>
      </c>
      <c r="K1972" s="0" t="s">
        <v>3803</v>
      </c>
      <c r="L1972" s="0" t="n">
        <v>15</v>
      </c>
      <c r="M1972" s="10"/>
      <c r="N1972" s="10"/>
      <c r="O1972" s="0" t="str">
        <f aca="false">VLOOKUP(C1972,statusdetails!$A:$D,4,0)</f>
        <v>MAINT</v>
      </c>
    </row>
    <row r="1973" customFormat="false" ht="12.8" hidden="false" customHeight="false" outlineLevel="0" collapsed="false">
      <c r="A1973" s="0" t="n">
        <v>468166</v>
      </c>
      <c r="B1973" s="0" t="n">
        <v>468166</v>
      </c>
      <c r="C1973" s="0" t="n">
        <v>3</v>
      </c>
      <c r="D1973" s="0" t="n">
        <v>14</v>
      </c>
      <c r="E1973" s="0" t="n">
        <v>2555</v>
      </c>
      <c r="F1973" s="0" t="n">
        <v>87</v>
      </c>
      <c r="G1973" s="0" t="n">
        <v>154</v>
      </c>
      <c r="H1973" s="1" t="s">
        <v>3800</v>
      </c>
      <c r="I1973" s="1" t="s">
        <v>3804</v>
      </c>
      <c r="J1973" s="9" t="n">
        <v>45907</v>
      </c>
      <c r="K1973" s="0" t="s">
        <v>3805</v>
      </c>
      <c r="L1973" s="0" t="n">
        <v>15</v>
      </c>
      <c r="M1973" s="10"/>
      <c r="N1973" s="10"/>
      <c r="O1973" s="0" t="str">
        <f aca="false">VLOOKUP(C1973,statusdetails!$A:$D,4,0)</f>
        <v>STANDBY</v>
      </c>
      <c r="P1973" s="0" t="str">
        <f aca="false">VLOOKUP(F1973,equipment!$A:$E,4,0)</f>
        <v>CM04</v>
      </c>
      <c r="Q1973" s="0" t="str">
        <f aca="false">VLOOKUP(F1973,equipment!$A:$E,5,0)</f>
        <v>CM04 - 87</v>
      </c>
    </row>
    <row r="1974" customFormat="false" ht="12.8" hidden="true" customHeight="false" outlineLevel="0" collapsed="false">
      <c r="A1974" s="0" t="n">
        <v>468167</v>
      </c>
      <c r="B1974" s="0" t="n">
        <v>468167</v>
      </c>
      <c r="C1974" s="0" t="n">
        <v>1</v>
      </c>
      <c r="D1974" s="0" t="n">
        <v>6</v>
      </c>
      <c r="E1974" s="0" t="n">
        <v>2404</v>
      </c>
      <c r="F1974" s="0" t="n">
        <v>87</v>
      </c>
      <c r="G1974" s="0" t="n">
        <v>154</v>
      </c>
      <c r="H1974" s="0" t="s">
        <v>3804</v>
      </c>
      <c r="I1974" s="0" t="s">
        <v>3806</v>
      </c>
      <c r="J1974" s="9" t="n">
        <v>45907</v>
      </c>
      <c r="K1974" s="0" t="s">
        <v>3807</v>
      </c>
      <c r="L1974" s="0" t="n">
        <v>15</v>
      </c>
      <c r="M1974" s="10"/>
      <c r="N1974" s="10"/>
      <c r="O1974" s="0" t="str">
        <f aca="false">VLOOKUP(C1974,statusdetails!$A:$D,4,0)</f>
        <v>READY</v>
      </c>
    </row>
    <row r="1975" customFormat="false" ht="12.8" hidden="false" customHeight="false" outlineLevel="0" collapsed="false">
      <c r="A1975" s="0" t="n">
        <v>468168</v>
      </c>
      <c r="B1975" s="0" t="n">
        <v>468168</v>
      </c>
      <c r="C1975" s="0" t="n">
        <v>3</v>
      </c>
      <c r="D1975" s="0" t="n">
        <v>14</v>
      </c>
      <c r="E1975" s="0" t="n">
        <v>2503</v>
      </c>
      <c r="F1975" s="0" t="n">
        <v>84</v>
      </c>
      <c r="G1975" s="0" t="n">
        <v>152</v>
      </c>
      <c r="H1975" s="1" t="s">
        <v>3794</v>
      </c>
      <c r="I1975" s="1" t="s">
        <v>3808</v>
      </c>
      <c r="J1975" s="9" t="n">
        <v>45907</v>
      </c>
      <c r="K1975" s="0" t="s">
        <v>3809</v>
      </c>
      <c r="L1975" s="0" t="n">
        <v>15</v>
      </c>
      <c r="M1975" s="10"/>
      <c r="N1975" s="10"/>
      <c r="O1975" s="0" t="str">
        <f aca="false">VLOOKUP(C1975,statusdetails!$A:$D,4,0)</f>
        <v>STANDBY</v>
      </c>
      <c r="P1975" s="0" t="str">
        <f aca="false">VLOOKUP(F1975,equipment!$A:$E,4,0)</f>
        <v>CM01</v>
      </c>
      <c r="Q1975" s="0" t="str">
        <f aca="false">VLOOKUP(F1975,equipment!$A:$E,5,0)</f>
        <v>CM01 - 84</v>
      </c>
    </row>
    <row r="1976" customFormat="false" ht="12.8" hidden="true" customHeight="false" outlineLevel="0" collapsed="false">
      <c r="A1976" s="0" t="n">
        <v>468169</v>
      </c>
      <c r="B1976" s="0" t="n">
        <v>468169</v>
      </c>
      <c r="C1976" s="0" t="n">
        <v>1</v>
      </c>
      <c r="D1976" s="0" t="n">
        <v>6</v>
      </c>
      <c r="E1976" s="0" t="n">
        <v>2404</v>
      </c>
      <c r="F1976" s="0" t="n">
        <v>84</v>
      </c>
      <c r="G1976" s="0" t="n">
        <v>152</v>
      </c>
      <c r="H1976" s="0" t="s">
        <v>3808</v>
      </c>
      <c r="I1976" s="0" t="s">
        <v>3810</v>
      </c>
      <c r="J1976" s="9" t="n">
        <v>45907</v>
      </c>
      <c r="K1976" s="0" t="s">
        <v>3811</v>
      </c>
      <c r="L1976" s="0" t="n">
        <v>15</v>
      </c>
      <c r="M1976" s="10"/>
      <c r="N1976" s="10"/>
      <c r="O1976" s="0" t="str">
        <f aca="false">VLOOKUP(C1976,statusdetails!$A:$D,4,0)</f>
        <v>READY</v>
      </c>
    </row>
    <row r="1977" customFormat="false" ht="12.8" hidden="true" customHeight="false" outlineLevel="0" collapsed="false">
      <c r="A1977" s="0" t="n">
        <v>468170</v>
      </c>
      <c r="B1977" s="0" t="n">
        <v>468170</v>
      </c>
      <c r="C1977" s="0" t="n">
        <v>1</v>
      </c>
      <c r="D1977" s="0" t="n">
        <v>6</v>
      </c>
      <c r="E1977" s="0" t="n">
        <v>811</v>
      </c>
      <c r="F1977" s="0" t="n">
        <v>43</v>
      </c>
      <c r="G1977" s="0" t="n">
        <v>83</v>
      </c>
      <c r="H1977" s="0" t="s">
        <v>3798</v>
      </c>
      <c r="I1977" s="0" t="s">
        <v>3812</v>
      </c>
      <c r="J1977" s="9" t="n">
        <v>45907</v>
      </c>
      <c r="K1977" s="0" t="s">
        <v>3813</v>
      </c>
      <c r="L1977" s="0" t="n">
        <v>15</v>
      </c>
      <c r="M1977" s="10"/>
      <c r="N1977" s="10"/>
      <c r="O1977" s="0" t="str">
        <f aca="false">VLOOKUP(C1977,statusdetails!$A:$D,4,0)</f>
        <v>READY</v>
      </c>
    </row>
    <row r="1978" customFormat="false" ht="12.8" hidden="true" customHeight="false" outlineLevel="0" collapsed="false">
      <c r="A1978" s="0" t="n">
        <v>468171</v>
      </c>
      <c r="B1978" s="0" t="n">
        <v>468171</v>
      </c>
      <c r="C1978" s="0" t="n">
        <v>1</v>
      </c>
      <c r="D1978" s="0" t="n">
        <v>6</v>
      </c>
      <c r="E1978" s="0" t="n">
        <v>2404</v>
      </c>
      <c r="F1978" s="0" t="n">
        <v>86</v>
      </c>
      <c r="G1978" s="0" t="n">
        <v>15</v>
      </c>
      <c r="H1978" s="0" t="s">
        <v>3802</v>
      </c>
      <c r="I1978" s="0" t="s">
        <v>3814</v>
      </c>
      <c r="J1978" s="9" t="n">
        <v>45907</v>
      </c>
      <c r="K1978" s="0" t="s">
        <v>3815</v>
      </c>
      <c r="L1978" s="0" t="n">
        <v>15</v>
      </c>
      <c r="M1978" s="10"/>
      <c r="N1978" s="10"/>
      <c r="O1978" s="0" t="str">
        <f aca="false">VLOOKUP(C1978,statusdetails!$A:$D,4,0)</f>
        <v>READY</v>
      </c>
    </row>
    <row r="1979" customFormat="false" ht="12.8" hidden="false" customHeight="false" outlineLevel="0" collapsed="false">
      <c r="A1979" s="0" t="n">
        <v>468172</v>
      </c>
      <c r="B1979" s="0" t="n">
        <v>468172</v>
      </c>
      <c r="C1979" s="0" t="n">
        <v>3</v>
      </c>
      <c r="D1979" s="0" t="n">
        <v>14</v>
      </c>
      <c r="E1979" s="0" t="n">
        <v>1162</v>
      </c>
      <c r="F1979" s="0" t="n">
        <v>35</v>
      </c>
      <c r="G1979" s="0" t="n">
        <v>44</v>
      </c>
      <c r="H1979" s="1" t="s">
        <v>3642</v>
      </c>
      <c r="I1979" s="1" t="s">
        <v>3816</v>
      </c>
      <c r="J1979" s="9" t="n">
        <v>45907</v>
      </c>
      <c r="K1979" s="0" t="s">
        <v>3817</v>
      </c>
      <c r="L1979" s="0" t="n">
        <v>16</v>
      </c>
      <c r="M1979" s="10"/>
      <c r="N1979" s="10"/>
      <c r="O1979" s="0" t="str">
        <f aca="false">VLOOKUP(C1979,statusdetails!$A:$D,4,0)</f>
        <v>STANDBY</v>
      </c>
      <c r="P1979" s="0" t="str">
        <f aca="false">VLOOKUP(F1979,equipment!$A:$E,4,0)</f>
        <v>CM405</v>
      </c>
      <c r="Q1979" s="0" t="str">
        <f aca="false">VLOOKUP(F1979,equipment!$A:$E,5,0)</f>
        <v>CM405 - 35</v>
      </c>
    </row>
    <row r="1980" customFormat="false" ht="12.8" hidden="true" customHeight="false" outlineLevel="0" collapsed="false">
      <c r="A1980" s="0" t="n">
        <v>468173</v>
      </c>
      <c r="B1980" s="0" t="n">
        <v>468173</v>
      </c>
      <c r="C1980" s="0" t="n">
        <v>4</v>
      </c>
      <c r="D1980" s="0" t="n">
        <v>16</v>
      </c>
      <c r="E1980" s="0" t="n">
        <v>2505</v>
      </c>
      <c r="F1980" s="0" t="n">
        <v>85</v>
      </c>
      <c r="G1980" s="0" t="n">
        <v>153</v>
      </c>
      <c r="H1980" s="0" t="s">
        <v>3788</v>
      </c>
      <c r="I1980" s="0" t="s">
        <v>3818</v>
      </c>
      <c r="J1980" s="9" t="n">
        <v>45907</v>
      </c>
      <c r="K1980" s="0" t="s">
        <v>3819</v>
      </c>
      <c r="L1980" s="0" t="n">
        <v>16</v>
      </c>
      <c r="M1980" s="10"/>
      <c r="N1980" s="10"/>
      <c r="O1980" s="0" t="str">
        <f aca="false">VLOOKUP(C1980,statusdetails!$A:$D,4,0)</f>
        <v>MAINT</v>
      </c>
    </row>
    <row r="1981" customFormat="false" ht="12.8" hidden="true" customHeight="false" outlineLevel="0" collapsed="false">
      <c r="A1981" s="0" t="n">
        <v>468174</v>
      </c>
      <c r="B1981" s="0" t="n">
        <v>468174</v>
      </c>
      <c r="C1981" s="0" t="n">
        <v>1</v>
      </c>
      <c r="D1981" s="0" t="n">
        <v>6</v>
      </c>
      <c r="E1981" s="0" t="n">
        <v>260</v>
      </c>
      <c r="F1981" s="0" t="n">
        <v>35</v>
      </c>
      <c r="G1981" s="0" t="n">
        <v>44</v>
      </c>
      <c r="H1981" s="0" t="s">
        <v>3816</v>
      </c>
      <c r="I1981" s="0" t="s">
        <v>3820</v>
      </c>
      <c r="J1981" s="9" t="n">
        <v>45907</v>
      </c>
      <c r="K1981" s="0" t="s">
        <v>3821</v>
      </c>
      <c r="L1981" s="0" t="n">
        <v>16</v>
      </c>
      <c r="M1981" s="10"/>
      <c r="N1981" s="10"/>
      <c r="O1981" s="0" t="str">
        <f aca="false">VLOOKUP(C1981,statusdetails!$A:$D,4,0)</f>
        <v>READY</v>
      </c>
    </row>
    <row r="1982" customFormat="false" ht="12.8" hidden="true" customHeight="false" outlineLevel="0" collapsed="false">
      <c r="A1982" s="0" t="n">
        <v>468175</v>
      </c>
      <c r="B1982" s="0" t="n">
        <v>468175</v>
      </c>
      <c r="C1982" s="0" t="n">
        <v>1</v>
      </c>
      <c r="D1982" s="0" t="n">
        <v>6</v>
      </c>
      <c r="E1982" s="0" t="n">
        <v>372</v>
      </c>
      <c r="F1982" s="0" t="n">
        <v>37</v>
      </c>
      <c r="G1982" s="0" t="n">
        <v>45</v>
      </c>
      <c r="H1982" s="0" t="s">
        <v>3753</v>
      </c>
      <c r="I1982" s="0" t="s">
        <v>3822</v>
      </c>
      <c r="J1982" s="9" t="n">
        <v>45907</v>
      </c>
      <c r="K1982" s="0" t="s">
        <v>3823</v>
      </c>
      <c r="L1982" s="0" t="n">
        <v>16</v>
      </c>
      <c r="M1982" s="10"/>
      <c r="N1982" s="10"/>
      <c r="O1982" s="0" t="str">
        <f aca="false">VLOOKUP(C1982,statusdetails!$A:$D,4,0)</f>
        <v>READY</v>
      </c>
    </row>
    <row r="1983" customFormat="false" ht="12.8" hidden="false" customHeight="false" outlineLevel="0" collapsed="false">
      <c r="A1983" s="0" t="n">
        <v>468176</v>
      </c>
      <c r="B1983" s="0" t="n">
        <v>468176</v>
      </c>
      <c r="C1983" s="0" t="n">
        <v>3</v>
      </c>
      <c r="D1983" s="0" t="n">
        <v>14</v>
      </c>
      <c r="E1983" s="0" t="n">
        <v>1162</v>
      </c>
      <c r="F1983" s="0" t="n">
        <v>33</v>
      </c>
      <c r="G1983" s="0" t="n">
        <v>98</v>
      </c>
      <c r="H1983" s="1" t="s">
        <v>3784</v>
      </c>
      <c r="I1983" s="1" t="s">
        <v>3824</v>
      </c>
      <c r="J1983" s="9" t="n">
        <v>45907</v>
      </c>
      <c r="K1983" s="0" t="s">
        <v>3825</v>
      </c>
      <c r="L1983" s="0" t="n">
        <v>16</v>
      </c>
      <c r="M1983" s="10"/>
      <c r="N1983" s="10"/>
      <c r="O1983" s="0" t="str">
        <f aca="false">VLOOKUP(C1983,statusdetails!$A:$D,4,0)</f>
        <v>STANDBY</v>
      </c>
      <c r="P1983" s="0" t="str">
        <f aca="false">VLOOKUP(F1983,equipment!$A:$E,4,0)</f>
        <v>CM406</v>
      </c>
      <c r="Q1983" s="0" t="str">
        <f aca="false">VLOOKUP(F1983,equipment!$A:$E,5,0)</f>
        <v>CM406 - 33</v>
      </c>
    </row>
    <row r="1984" customFormat="false" ht="12.8" hidden="true" customHeight="false" outlineLevel="0" collapsed="false">
      <c r="A1984" s="0" t="n">
        <v>468177</v>
      </c>
      <c r="B1984" s="0" t="n">
        <v>468177</v>
      </c>
      <c r="C1984" s="0" t="n">
        <v>1</v>
      </c>
      <c r="D1984" s="0" t="n">
        <v>6</v>
      </c>
      <c r="E1984" s="0" t="n">
        <v>260</v>
      </c>
      <c r="F1984" s="0" t="n">
        <v>33</v>
      </c>
      <c r="G1984" s="0" t="n">
        <v>98</v>
      </c>
      <c r="H1984" s="0" t="s">
        <v>3824</v>
      </c>
      <c r="I1984" s="0" t="s">
        <v>3826</v>
      </c>
      <c r="J1984" s="9" t="n">
        <v>45907</v>
      </c>
      <c r="K1984" s="0" t="s">
        <v>3827</v>
      </c>
      <c r="L1984" s="0" t="n">
        <v>16</v>
      </c>
      <c r="M1984" s="10"/>
      <c r="N1984" s="10"/>
      <c r="O1984" s="0" t="str">
        <f aca="false">VLOOKUP(C1984,statusdetails!$A:$D,4,0)</f>
        <v>READY</v>
      </c>
    </row>
    <row r="1985" customFormat="false" ht="12.8" hidden="false" customHeight="false" outlineLevel="0" collapsed="false">
      <c r="A1985" s="0" t="n">
        <v>468178</v>
      </c>
      <c r="B1985" s="0" t="n">
        <v>468178</v>
      </c>
      <c r="C1985" s="0" t="n">
        <v>3</v>
      </c>
      <c r="D1985" s="0" t="n">
        <v>14</v>
      </c>
      <c r="E1985" s="0" t="n">
        <v>1162</v>
      </c>
      <c r="F1985" s="0" t="n">
        <v>32</v>
      </c>
      <c r="G1985" s="0" t="n">
        <v>23</v>
      </c>
      <c r="H1985" s="1" t="s">
        <v>3755</v>
      </c>
      <c r="I1985" s="1" t="s">
        <v>3828</v>
      </c>
      <c r="J1985" s="9" t="n">
        <v>45907</v>
      </c>
      <c r="K1985" s="0" t="s">
        <v>3829</v>
      </c>
      <c r="L1985" s="0" t="n">
        <v>16</v>
      </c>
      <c r="M1985" s="10"/>
      <c r="N1985" s="10"/>
      <c r="O1985" s="0" t="str">
        <f aca="false">VLOOKUP(C1985,statusdetails!$A:$D,4,0)</f>
        <v>STANDBY</v>
      </c>
      <c r="P1985" s="0" t="str">
        <f aca="false">VLOOKUP(F1985,equipment!$A:$E,4,0)</f>
        <v>CM403</v>
      </c>
      <c r="Q1985" s="0" t="str">
        <f aca="false">VLOOKUP(F1985,equipment!$A:$E,5,0)</f>
        <v>CM403 - 32</v>
      </c>
    </row>
    <row r="1986" customFormat="false" ht="12.8" hidden="true" customHeight="false" outlineLevel="0" collapsed="false">
      <c r="A1986" s="0" t="n">
        <v>468179</v>
      </c>
      <c r="B1986" s="0" t="n">
        <v>468179</v>
      </c>
      <c r="C1986" s="0" t="n">
        <v>1</v>
      </c>
      <c r="D1986" s="0" t="n">
        <v>6</v>
      </c>
      <c r="E1986" s="0" t="n">
        <v>260</v>
      </c>
      <c r="F1986" s="0" t="n">
        <v>32</v>
      </c>
      <c r="G1986" s="0" t="n">
        <v>23</v>
      </c>
      <c r="H1986" s="0" t="s">
        <v>3828</v>
      </c>
      <c r="I1986" s="13" t="n">
        <v>45907</v>
      </c>
      <c r="J1986" s="2" t="n">
        <v>16</v>
      </c>
      <c r="M1986" s="0"/>
      <c r="N1986" s="0"/>
    </row>
    <row r="1987" customFormat="false" ht="12.8" hidden="true" customHeight="false" outlineLevel="0" collapsed="false">
      <c r="A1987" s="0" t="n">
        <v>468180</v>
      </c>
      <c r="B1987" s="0" t="n">
        <v>468180</v>
      </c>
      <c r="C1987" s="0" t="n">
        <v>1</v>
      </c>
      <c r="D1987" s="0" t="n">
        <v>2303</v>
      </c>
      <c r="E1987" s="0" t="n">
        <v>969</v>
      </c>
      <c r="F1987" s="0" t="n">
        <v>45</v>
      </c>
      <c r="G1987" s="0" t="n">
        <v>0</v>
      </c>
      <c r="H1987" s="0" t="s">
        <v>3773</v>
      </c>
      <c r="I1987" s="0" t="s">
        <v>3830</v>
      </c>
      <c r="J1987" s="9" t="n">
        <v>45907</v>
      </c>
      <c r="K1987" s="0" t="s">
        <v>3831</v>
      </c>
      <c r="L1987" s="0" t="n">
        <v>16</v>
      </c>
      <c r="M1987" s="10"/>
      <c r="N1987" s="10"/>
      <c r="O1987" s="0" t="str">
        <f aca="false">VLOOKUP(C1987,statusdetails!$A:$D,4,0)</f>
        <v>READY</v>
      </c>
    </row>
    <row r="1988" customFormat="false" ht="12.8" hidden="true" customHeight="false" outlineLevel="0" collapsed="false">
      <c r="A1988" s="0" t="n">
        <v>468181</v>
      </c>
      <c r="B1988" s="0" t="n">
        <v>468181</v>
      </c>
      <c r="C1988" s="0" t="n">
        <v>1</v>
      </c>
      <c r="D1988" s="0" t="n">
        <v>6</v>
      </c>
      <c r="E1988" s="0" t="n">
        <v>372</v>
      </c>
      <c r="F1988" s="0" t="n">
        <v>91</v>
      </c>
      <c r="G1988" s="0" t="n">
        <v>0</v>
      </c>
      <c r="H1988" s="0" t="s">
        <v>3743</v>
      </c>
      <c r="I1988" s="0" t="s">
        <v>3832</v>
      </c>
      <c r="J1988" s="9" t="n">
        <v>45907</v>
      </c>
      <c r="K1988" s="0" t="s">
        <v>3833</v>
      </c>
      <c r="L1988" s="0" t="n">
        <v>16</v>
      </c>
      <c r="M1988" s="10"/>
      <c r="N1988" s="10"/>
      <c r="O1988" s="0" t="str">
        <f aca="false">VLOOKUP(C1988,statusdetails!$A:$D,4,0)</f>
        <v>READY</v>
      </c>
    </row>
    <row r="1989" customFormat="false" ht="12.8" hidden="true" customHeight="false" outlineLevel="0" collapsed="false">
      <c r="H1989" s="0"/>
      <c r="I1989" s="0"/>
      <c r="J1989" s="9"/>
    </row>
    <row r="1990" customFormat="false" ht="12.8" hidden="false" customHeight="false" outlineLevel="0" collapsed="false">
      <c r="A1990" s="0" t="n">
        <v>468183</v>
      </c>
      <c r="B1990" s="0" t="n">
        <v>468183</v>
      </c>
      <c r="C1990" s="0" t="n">
        <v>3</v>
      </c>
      <c r="D1990" s="0" t="n">
        <v>14</v>
      </c>
      <c r="E1990" s="0" t="n">
        <v>2387</v>
      </c>
      <c r="F1990" s="0" t="n">
        <v>96</v>
      </c>
      <c r="G1990" s="0" t="n">
        <v>0</v>
      </c>
      <c r="H1990" s="1" t="s">
        <v>3834</v>
      </c>
      <c r="I1990" s="1" t="s">
        <v>3835</v>
      </c>
      <c r="J1990" s="9" t="n">
        <v>45907</v>
      </c>
      <c r="K1990" s="0" t="s">
        <v>3836</v>
      </c>
      <c r="L1990" s="0" t="n">
        <v>16</v>
      </c>
      <c r="M1990" s="10"/>
      <c r="N1990" s="10"/>
      <c r="O1990" s="0" t="str">
        <f aca="false">VLOOKUP(C1990,statusdetails!$A:$D,4,0)</f>
        <v>STANDBY</v>
      </c>
      <c r="P1990" s="0" t="str">
        <f aca="false">VLOOKUP(F1990,equipment!$A:$E,4,0)</f>
        <v>EX503</v>
      </c>
      <c r="Q1990" s="0" t="str">
        <f aca="false">VLOOKUP(F1990,equipment!$A:$E,5,0)</f>
        <v>EX503 - 96</v>
      </c>
    </row>
    <row r="1991" customFormat="false" ht="12.8" hidden="true" customHeight="false" outlineLevel="0" collapsed="false">
      <c r="H1991" s="0"/>
      <c r="I1991" s="0"/>
      <c r="J1991" s="9"/>
    </row>
    <row r="1992" customFormat="false" ht="12.8" hidden="true" customHeight="false" outlineLevel="0" collapsed="false">
      <c r="A1992" s="0" t="n">
        <v>468185</v>
      </c>
      <c r="B1992" s="0" t="n">
        <v>468185</v>
      </c>
      <c r="C1992" s="0" t="n">
        <v>4</v>
      </c>
      <c r="D1992" s="0" t="n">
        <v>15</v>
      </c>
      <c r="E1992" s="0" t="n">
        <v>415</v>
      </c>
      <c r="F1992" s="0" t="n">
        <v>37</v>
      </c>
      <c r="G1992" s="0" t="n">
        <v>45</v>
      </c>
      <c r="H1992" s="0" t="s">
        <v>3822</v>
      </c>
      <c r="I1992" s="0" t="s">
        <v>3837</v>
      </c>
      <c r="J1992" s="9" t="n">
        <v>45907</v>
      </c>
      <c r="K1992" s="0" t="s">
        <v>3838</v>
      </c>
      <c r="L1992" s="0" t="n">
        <v>16</v>
      </c>
      <c r="M1992" s="10"/>
      <c r="N1992" s="10"/>
      <c r="O1992" s="0" t="str">
        <f aca="false">VLOOKUP(C1992,statusdetails!$A:$D,4,0)</f>
        <v>MAINT</v>
      </c>
    </row>
    <row r="1993" customFormat="false" ht="12.8" hidden="true" customHeight="false" outlineLevel="0" collapsed="false">
      <c r="H1993" s="0"/>
      <c r="I1993" s="0"/>
      <c r="J1993" s="9"/>
    </row>
    <row r="1994" customFormat="false" ht="12.8" hidden="true" customHeight="false" outlineLevel="0" collapsed="false">
      <c r="H1994" s="0"/>
      <c r="I1994" s="0"/>
      <c r="J1994" s="9"/>
    </row>
    <row r="1995" customFormat="false" ht="12.8" hidden="true" customHeight="false" outlineLevel="0" collapsed="false">
      <c r="A1995" s="0" t="n">
        <v>468188</v>
      </c>
      <c r="B1995" s="0" t="n">
        <v>468188</v>
      </c>
      <c r="C1995" s="0" t="n">
        <v>1</v>
      </c>
      <c r="D1995" s="0" t="n">
        <v>6</v>
      </c>
      <c r="E1995" s="0" t="n">
        <v>2404</v>
      </c>
      <c r="F1995" s="0" t="n">
        <v>88</v>
      </c>
      <c r="G1995" s="0" t="n">
        <v>151</v>
      </c>
      <c r="H1995" s="0" t="s">
        <v>3839</v>
      </c>
      <c r="I1995" s="0" t="s">
        <v>3840</v>
      </c>
      <c r="J1995" s="9" t="n">
        <v>45907</v>
      </c>
      <c r="K1995" s="0" t="s">
        <v>3841</v>
      </c>
      <c r="L1995" s="0" t="n">
        <v>16</v>
      </c>
      <c r="M1995" s="10"/>
      <c r="N1995" s="10"/>
      <c r="O1995" s="0" t="str">
        <f aca="false">VLOOKUP(C1995,statusdetails!$A:$D,4,0)</f>
        <v>READY</v>
      </c>
    </row>
    <row r="1996" customFormat="false" ht="12.8" hidden="true" customHeight="false" outlineLevel="0" collapsed="false">
      <c r="A1996" s="0" t="n">
        <v>468189</v>
      </c>
      <c r="B1996" s="0" t="n">
        <v>468189</v>
      </c>
      <c r="C1996" s="0" t="n">
        <v>1</v>
      </c>
      <c r="D1996" s="0" t="n">
        <v>6</v>
      </c>
      <c r="E1996" s="0" t="n">
        <v>2518</v>
      </c>
      <c r="F1996" s="0" t="n">
        <v>96</v>
      </c>
      <c r="G1996" s="0" t="n">
        <v>0</v>
      </c>
      <c r="H1996" s="0" t="s">
        <v>3835</v>
      </c>
      <c r="I1996" s="0" t="s">
        <v>3842</v>
      </c>
      <c r="J1996" s="9" t="n">
        <v>45907</v>
      </c>
      <c r="K1996" s="0" t="s">
        <v>3843</v>
      </c>
      <c r="L1996" s="0" t="n">
        <v>16</v>
      </c>
      <c r="M1996" s="10"/>
      <c r="N1996" s="10"/>
      <c r="O1996" s="0" t="str">
        <f aca="false">VLOOKUP(C1996,statusdetails!$A:$D,4,0)</f>
        <v>READY</v>
      </c>
    </row>
    <row r="1997" customFormat="false" ht="12.8" hidden="true" customHeight="false" outlineLevel="0" collapsed="false">
      <c r="A1997" s="0" t="n">
        <v>468190</v>
      </c>
      <c r="B1997" s="0" t="n">
        <v>468190</v>
      </c>
      <c r="C1997" s="0" t="n">
        <v>1</v>
      </c>
      <c r="D1997" s="0" t="n">
        <v>6</v>
      </c>
      <c r="E1997" s="0" t="n">
        <v>2404</v>
      </c>
      <c r="F1997" s="0" t="n">
        <v>86</v>
      </c>
      <c r="G1997" s="0" t="n">
        <v>155</v>
      </c>
      <c r="H1997" s="0" t="s">
        <v>3844</v>
      </c>
      <c r="I1997" s="0" t="s">
        <v>3845</v>
      </c>
      <c r="J1997" s="9" t="n">
        <v>45907</v>
      </c>
      <c r="K1997" s="0" t="s">
        <v>3846</v>
      </c>
      <c r="L1997" s="0" t="n">
        <v>16</v>
      </c>
      <c r="M1997" s="10"/>
      <c r="N1997" s="10"/>
      <c r="O1997" s="0" t="str">
        <f aca="false">VLOOKUP(C1997,statusdetails!$A:$D,4,0)</f>
        <v>READY</v>
      </c>
    </row>
    <row r="1998" customFormat="false" ht="12.8" hidden="true" customHeight="false" outlineLevel="0" collapsed="false">
      <c r="A1998" s="0" t="n">
        <v>468191</v>
      </c>
      <c r="B1998" s="0" t="n">
        <v>468191</v>
      </c>
      <c r="C1998" s="0" t="n">
        <v>1</v>
      </c>
      <c r="D1998" s="0" t="n">
        <v>6</v>
      </c>
      <c r="E1998" s="0" t="n">
        <v>2404</v>
      </c>
      <c r="F1998" s="0" t="n">
        <v>84</v>
      </c>
      <c r="G1998" s="0" t="n">
        <v>152</v>
      </c>
      <c r="H1998" s="0" t="s">
        <v>3847</v>
      </c>
      <c r="I1998" s="0" t="s">
        <v>3848</v>
      </c>
      <c r="J1998" s="9" t="n">
        <v>45907</v>
      </c>
      <c r="K1998" s="0" t="s">
        <v>3849</v>
      </c>
      <c r="L1998" s="0" t="n">
        <v>16</v>
      </c>
      <c r="M1998" s="10"/>
      <c r="N1998" s="10"/>
      <c r="O1998" s="0" t="str">
        <f aca="false">VLOOKUP(C1998,statusdetails!$A:$D,4,0)</f>
        <v>READY</v>
      </c>
    </row>
    <row r="1999" customFormat="false" ht="12.8" hidden="true" customHeight="false" outlineLevel="0" collapsed="false">
      <c r="A1999" s="0" t="n">
        <v>468192</v>
      </c>
      <c r="B1999" s="0" t="n">
        <v>468192</v>
      </c>
      <c r="C1999" s="0" t="n">
        <v>1</v>
      </c>
      <c r="D1999" s="0" t="n">
        <v>6</v>
      </c>
      <c r="E1999" s="0" t="n">
        <v>2404</v>
      </c>
      <c r="F1999" s="0" t="n">
        <v>87</v>
      </c>
      <c r="G1999" s="0" t="n">
        <v>154</v>
      </c>
      <c r="H1999" s="0" t="s">
        <v>3850</v>
      </c>
      <c r="I1999" s="0" t="s">
        <v>3851</v>
      </c>
      <c r="J1999" s="9" t="n">
        <v>45907</v>
      </c>
      <c r="K1999" s="0" t="s">
        <v>3852</v>
      </c>
      <c r="L1999" s="0" t="n">
        <v>16</v>
      </c>
      <c r="M1999" s="10"/>
      <c r="N1999" s="10"/>
      <c r="O1999" s="0" t="str">
        <f aca="false">VLOOKUP(C1999,statusdetails!$A:$D,4,0)</f>
        <v>READY</v>
      </c>
    </row>
    <row r="2000" customFormat="false" ht="12.8" hidden="true" customHeight="false" outlineLevel="0" collapsed="false">
      <c r="A2000" s="0" t="n">
        <v>468193</v>
      </c>
      <c r="B2000" s="0" t="n">
        <v>468193</v>
      </c>
      <c r="C2000" s="0" t="n">
        <v>1</v>
      </c>
      <c r="D2000" s="0" t="n">
        <v>6</v>
      </c>
      <c r="E2000" s="0" t="n">
        <v>372</v>
      </c>
      <c r="F2000" s="0" t="n">
        <v>37</v>
      </c>
      <c r="G2000" s="0" t="n">
        <v>45</v>
      </c>
      <c r="H2000" s="0" t="s">
        <v>3837</v>
      </c>
      <c r="I2000" s="0" t="s">
        <v>3853</v>
      </c>
      <c r="J2000" s="9" t="n">
        <v>45907</v>
      </c>
      <c r="K2000" s="0" t="s">
        <v>3854</v>
      </c>
      <c r="L2000" s="0" t="n">
        <v>17</v>
      </c>
      <c r="M2000" s="10"/>
      <c r="N2000" s="10"/>
      <c r="O2000" s="0" t="str">
        <f aca="false">VLOOKUP(C2000,statusdetails!$A:$D,4,0)</f>
        <v>READY</v>
      </c>
    </row>
    <row r="2001" customFormat="false" ht="12.8" hidden="true" customHeight="false" outlineLevel="0" collapsed="false">
      <c r="H2001" s="0"/>
      <c r="I2001" s="0"/>
      <c r="J2001" s="9"/>
    </row>
    <row r="2002" customFormat="false" ht="12.8" hidden="true" customHeight="false" outlineLevel="0" collapsed="false">
      <c r="A2002" s="0" t="n">
        <v>468196</v>
      </c>
      <c r="B2002" s="0" t="n">
        <v>468196</v>
      </c>
      <c r="C2002" s="0" t="n">
        <v>1</v>
      </c>
      <c r="D2002" s="0" t="n">
        <v>6</v>
      </c>
      <c r="E2002" s="0" t="n">
        <v>138</v>
      </c>
      <c r="F2002" s="0" t="n">
        <v>45</v>
      </c>
      <c r="G2002" s="0" t="n">
        <v>156</v>
      </c>
      <c r="H2002" s="0" t="s">
        <v>3830</v>
      </c>
      <c r="I2002" s="0" t="s">
        <v>3855</v>
      </c>
      <c r="J2002" s="9" t="n">
        <v>45907</v>
      </c>
      <c r="K2002" s="0" t="s">
        <v>3856</v>
      </c>
      <c r="L2002" s="0" t="n">
        <v>18</v>
      </c>
      <c r="M2002" s="10"/>
      <c r="N2002" s="10"/>
      <c r="O2002" s="0" t="str">
        <f aca="false">VLOOKUP(C2002,statusdetails!$A:$D,4,0)</f>
        <v>READY</v>
      </c>
    </row>
    <row r="2003" customFormat="false" ht="12.8" hidden="true" customHeight="false" outlineLevel="0" collapsed="false">
      <c r="A2003" s="0" t="n">
        <v>468197</v>
      </c>
      <c r="B2003" s="0" t="n">
        <v>468134</v>
      </c>
      <c r="C2003" s="0" t="n">
        <v>1</v>
      </c>
      <c r="D2003" s="0" t="n">
        <v>6</v>
      </c>
      <c r="E2003" s="0" t="n">
        <v>2518</v>
      </c>
      <c r="F2003" s="0" t="n">
        <v>96</v>
      </c>
      <c r="G2003" s="0" t="n">
        <v>109</v>
      </c>
      <c r="H2003" s="11" t="n">
        <v>45907.486875</v>
      </c>
      <c r="I2003" s="0" t="s">
        <v>3834</v>
      </c>
      <c r="J2003" s="9" t="n">
        <v>45907</v>
      </c>
      <c r="K2003" s="0" t="s">
        <v>3857</v>
      </c>
      <c r="L2003" s="0" t="n">
        <v>11</v>
      </c>
      <c r="M2003" s="10"/>
      <c r="N2003" s="10"/>
      <c r="O2003" s="0" t="str">
        <f aca="false">VLOOKUP(C2003,statusdetails!$A:$D,4,0)</f>
        <v>READY</v>
      </c>
    </row>
    <row r="2004" customFormat="false" ht="12.8" hidden="true" customHeight="false" outlineLevel="0" collapsed="false">
      <c r="A2004" s="0" t="n">
        <v>468198</v>
      </c>
      <c r="B2004" s="0" t="n">
        <v>468198</v>
      </c>
      <c r="C2004" s="0" t="n">
        <v>1</v>
      </c>
      <c r="D2004" s="0" t="n">
        <v>2303</v>
      </c>
      <c r="E2004" s="0" t="n">
        <v>2549</v>
      </c>
      <c r="F2004" s="0" t="n">
        <v>60</v>
      </c>
      <c r="G2004" s="0" t="n">
        <v>0</v>
      </c>
      <c r="H2004" s="0" t="s">
        <v>3771</v>
      </c>
      <c r="I2004" s="0" t="s">
        <v>3858</v>
      </c>
      <c r="J2004" s="9" t="n">
        <v>45907</v>
      </c>
      <c r="K2004" s="0" t="s">
        <v>3859</v>
      </c>
      <c r="L2004" s="0" t="n">
        <v>18</v>
      </c>
      <c r="M2004" s="10"/>
      <c r="N2004" s="10"/>
      <c r="O2004" s="0" t="str">
        <f aca="false">VLOOKUP(C2004,statusdetails!$A:$D,4,0)</f>
        <v>READY</v>
      </c>
    </row>
    <row r="2005" customFormat="false" ht="12.8" hidden="true" customHeight="false" outlineLevel="0" collapsed="false">
      <c r="A2005" s="0" t="n">
        <v>468199</v>
      </c>
      <c r="B2005" s="0" t="n">
        <v>468199</v>
      </c>
      <c r="C2005" s="0" t="n">
        <v>1</v>
      </c>
      <c r="D2005" s="0" t="n">
        <v>2303</v>
      </c>
      <c r="E2005" s="0" t="n">
        <v>2149</v>
      </c>
      <c r="F2005" s="0" t="n">
        <v>90</v>
      </c>
      <c r="G2005" s="0" t="n">
        <v>13</v>
      </c>
      <c r="H2005" s="0" t="s">
        <v>3790</v>
      </c>
      <c r="I2005" s="13" t="n">
        <v>45907</v>
      </c>
      <c r="J2005" s="2" t="n">
        <v>18</v>
      </c>
      <c r="M2005" s="0"/>
      <c r="N2005" s="0"/>
    </row>
    <row r="2006" customFormat="false" ht="12.8" hidden="true" customHeight="false" outlineLevel="0" collapsed="false">
      <c r="A2006" s="0" t="n">
        <v>468200</v>
      </c>
      <c r="B2006" s="0" t="n">
        <v>468200</v>
      </c>
      <c r="C2006" s="0" t="n">
        <v>1</v>
      </c>
      <c r="D2006" s="0" t="n">
        <v>2303</v>
      </c>
      <c r="E2006" s="0" t="n">
        <v>2517</v>
      </c>
      <c r="F2006" s="0" t="n">
        <v>96</v>
      </c>
      <c r="G2006" s="0" t="n">
        <v>0</v>
      </c>
      <c r="H2006" s="0" t="s">
        <v>3860</v>
      </c>
      <c r="I2006" s="0" t="s">
        <v>3861</v>
      </c>
      <c r="J2006" s="9" t="n">
        <v>45907</v>
      </c>
      <c r="K2006" s="0" t="s">
        <v>3862</v>
      </c>
      <c r="L2006" s="0" t="n">
        <v>18</v>
      </c>
      <c r="M2006" s="10"/>
      <c r="N2006" s="10"/>
      <c r="O2006" s="0" t="str">
        <f aca="false">VLOOKUP(C2006,statusdetails!$A:$D,4,0)</f>
        <v>READY</v>
      </c>
    </row>
    <row r="2007" customFormat="false" ht="12.8" hidden="false" customHeight="false" outlineLevel="0" collapsed="false">
      <c r="A2007" s="0" t="n">
        <v>468201</v>
      </c>
      <c r="B2007" s="0" t="n">
        <v>468201</v>
      </c>
      <c r="C2007" s="0" t="n">
        <v>3</v>
      </c>
      <c r="D2007" s="0" t="n">
        <v>14</v>
      </c>
      <c r="E2007" s="0" t="n">
        <v>1785</v>
      </c>
      <c r="F2007" s="0" t="n">
        <v>37</v>
      </c>
      <c r="G2007" s="0" t="n">
        <v>45</v>
      </c>
      <c r="H2007" s="1" t="s">
        <v>3853</v>
      </c>
      <c r="I2007" s="1" t="s">
        <v>3863</v>
      </c>
      <c r="J2007" s="9" t="n">
        <v>45907</v>
      </c>
      <c r="K2007" s="0" t="s">
        <v>3864</v>
      </c>
      <c r="L2007" s="0" t="n">
        <v>18</v>
      </c>
      <c r="M2007" s="10"/>
      <c r="N2007" s="10"/>
      <c r="O2007" s="0" t="str">
        <f aca="false">VLOOKUP(C2007,statusdetails!$A:$D,4,0)</f>
        <v>STANDBY</v>
      </c>
      <c r="P2007" s="0" t="str">
        <f aca="false">VLOOKUP(F2007,equipment!$A:$E,4,0)</f>
        <v>DZ201</v>
      </c>
      <c r="Q2007" s="0" t="str">
        <f aca="false">VLOOKUP(F2007,equipment!$A:$E,5,0)</f>
        <v>DZ201 - 37</v>
      </c>
    </row>
    <row r="2008" customFormat="false" ht="12.8" hidden="true" customHeight="false" outlineLevel="0" collapsed="false">
      <c r="H2008" s="0"/>
      <c r="I2008" s="0"/>
      <c r="J2008" s="9"/>
    </row>
    <row r="2009" customFormat="false" ht="12.8" hidden="true" customHeight="false" outlineLevel="0" collapsed="false">
      <c r="H2009" s="0"/>
      <c r="I2009" s="0"/>
      <c r="J2009" s="9"/>
    </row>
    <row r="2010" customFormat="false" ht="12.8" hidden="false" customHeight="false" outlineLevel="0" collapsed="false">
      <c r="A2010" s="0" t="n">
        <v>468204</v>
      </c>
      <c r="B2010" s="0" t="n">
        <v>468204</v>
      </c>
      <c r="C2010" s="0" t="n">
        <v>3</v>
      </c>
      <c r="D2010" s="0" t="n">
        <v>14</v>
      </c>
      <c r="E2010" s="0" t="n">
        <v>2392</v>
      </c>
      <c r="F2010" s="0" t="n">
        <v>82</v>
      </c>
      <c r="G2010" s="0" t="n">
        <v>88</v>
      </c>
      <c r="H2010" s="1" t="s">
        <v>3865</v>
      </c>
      <c r="I2010" s="1" t="s">
        <v>3866</v>
      </c>
      <c r="J2010" s="9" t="n">
        <v>45907</v>
      </c>
      <c r="K2010" s="0" t="s">
        <v>3867</v>
      </c>
      <c r="L2010" s="0" t="n">
        <v>18</v>
      </c>
      <c r="M2010" s="10"/>
      <c r="N2010" s="10"/>
      <c r="O2010" s="0" t="str">
        <f aca="false">VLOOKUP(C2010,statusdetails!$A:$D,4,0)</f>
        <v>STANDBY</v>
      </c>
      <c r="P2010" s="0" t="str">
        <f aca="false">VLOOKUP(F2010,equipment!$A:$E,4,0)</f>
        <v>EX502</v>
      </c>
      <c r="Q2010" s="0" t="str">
        <f aca="false">VLOOKUP(F2010,equipment!$A:$E,5,0)</f>
        <v>EX502 - 82</v>
      </c>
    </row>
    <row r="2011" customFormat="false" ht="12.8" hidden="false" customHeight="false" outlineLevel="0" collapsed="false">
      <c r="A2011" s="0" t="n">
        <v>468205</v>
      </c>
      <c r="B2011" s="0" t="n">
        <v>468205</v>
      </c>
      <c r="C2011" s="0" t="n">
        <v>3</v>
      </c>
      <c r="D2011" s="0" t="n">
        <v>14</v>
      </c>
      <c r="E2011" s="0" t="n">
        <v>2406</v>
      </c>
      <c r="F2011" s="0" t="n">
        <v>86</v>
      </c>
      <c r="G2011" s="0" t="n">
        <v>155</v>
      </c>
      <c r="H2011" s="1" t="s">
        <v>3845</v>
      </c>
      <c r="I2011" s="1" t="s">
        <v>3868</v>
      </c>
      <c r="J2011" s="9" t="n">
        <v>45907</v>
      </c>
      <c r="K2011" s="0" t="s">
        <v>3869</v>
      </c>
      <c r="L2011" s="0" t="n">
        <v>18</v>
      </c>
      <c r="M2011" s="10"/>
      <c r="N2011" s="10"/>
      <c r="O2011" s="0" t="str">
        <f aca="false">VLOOKUP(C2011,statusdetails!$A:$D,4,0)</f>
        <v>STANDBY</v>
      </c>
      <c r="P2011" s="0" t="str">
        <f aca="false">VLOOKUP(F2011,equipment!$A:$E,4,0)</f>
        <v>CM03</v>
      </c>
      <c r="Q2011" s="0" t="str">
        <f aca="false">VLOOKUP(F2011,equipment!$A:$E,5,0)</f>
        <v>CM03 - 86</v>
      </c>
    </row>
    <row r="2012" customFormat="false" ht="12.8" hidden="false" customHeight="false" outlineLevel="0" collapsed="false">
      <c r="A2012" s="0" t="n">
        <v>468206</v>
      </c>
      <c r="B2012" s="0" t="n">
        <v>468206</v>
      </c>
      <c r="C2012" s="0" t="n">
        <v>3</v>
      </c>
      <c r="D2012" s="0" t="n">
        <v>14</v>
      </c>
      <c r="E2012" s="0" t="n">
        <v>1789</v>
      </c>
      <c r="F2012" s="0" t="n">
        <v>35</v>
      </c>
      <c r="G2012" s="0" t="n">
        <v>15</v>
      </c>
      <c r="H2012" s="1" t="s">
        <v>3820</v>
      </c>
      <c r="I2012" s="1" t="s">
        <v>3870</v>
      </c>
      <c r="J2012" s="9" t="n">
        <v>45907</v>
      </c>
      <c r="K2012" s="0" t="s">
        <v>3871</v>
      </c>
      <c r="L2012" s="0" t="n">
        <v>18</v>
      </c>
      <c r="M2012" s="10"/>
      <c r="N2012" s="10"/>
      <c r="O2012" s="0" t="str">
        <f aca="false">VLOOKUP(C2012,statusdetails!$A:$D,4,0)</f>
        <v>STANDBY</v>
      </c>
      <c r="P2012" s="0" t="str">
        <f aca="false">VLOOKUP(F2012,equipment!$A:$E,4,0)</f>
        <v>CM405</v>
      </c>
      <c r="Q2012" s="0" t="str">
        <f aca="false">VLOOKUP(F2012,equipment!$A:$E,5,0)</f>
        <v>CM405 - 35</v>
      </c>
    </row>
    <row r="2013" customFormat="false" ht="12.8" hidden="false" customHeight="false" outlineLevel="0" collapsed="false">
      <c r="A2013" s="0" t="n">
        <v>468207</v>
      </c>
      <c r="B2013" s="0" t="n">
        <v>468207</v>
      </c>
      <c r="C2013" s="0" t="n">
        <v>3</v>
      </c>
      <c r="D2013" s="0" t="n">
        <v>14</v>
      </c>
      <c r="E2013" s="0" t="n">
        <v>2406</v>
      </c>
      <c r="F2013" s="0" t="n">
        <v>84</v>
      </c>
      <c r="G2013" s="0" t="n">
        <v>152</v>
      </c>
      <c r="H2013" s="1" t="s">
        <v>3848</v>
      </c>
      <c r="I2013" s="1" t="s">
        <v>3872</v>
      </c>
      <c r="J2013" s="9" t="n">
        <v>45907</v>
      </c>
      <c r="K2013" s="0" t="s">
        <v>3873</v>
      </c>
      <c r="L2013" s="0" t="n">
        <v>18</v>
      </c>
      <c r="M2013" s="10"/>
      <c r="N2013" s="10"/>
      <c r="O2013" s="0" t="str">
        <f aca="false">VLOOKUP(C2013,statusdetails!$A:$D,4,0)</f>
        <v>STANDBY</v>
      </c>
      <c r="P2013" s="0" t="str">
        <f aca="false">VLOOKUP(F2013,equipment!$A:$E,4,0)</f>
        <v>CM01</v>
      </c>
      <c r="Q2013" s="0" t="str">
        <f aca="false">VLOOKUP(F2013,equipment!$A:$E,5,0)</f>
        <v>CM01 - 84</v>
      </c>
    </row>
    <row r="2014" customFormat="false" ht="12.8" hidden="false" customHeight="false" outlineLevel="0" collapsed="false">
      <c r="A2014" s="0" t="n">
        <v>468208</v>
      </c>
      <c r="B2014" s="0" t="n">
        <v>468208</v>
      </c>
      <c r="C2014" s="0" t="n">
        <v>3</v>
      </c>
      <c r="D2014" s="0" t="n">
        <v>12</v>
      </c>
      <c r="E2014" s="0" t="n">
        <v>608</v>
      </c>
      <c r="F2014" s="0" t="n">
        <v>41</v>
      </c>
      <c r="G2014" s="0" t="n">
        <v>118</v>
      </c>
      <c r="H2014" s="1" t="s">
        <v>3769</v>
      </c>
      <c r="I2014" s="1" t="s">
        <v>3874</v>
      </c>
      <c r="J2014" s="9" t="n">
        <v>45907</v>
      </c>
      <c r="K2014" s="0" t="s">
        <v>3875</v>
      </c>
      <c r="L2014" s="0" t="n">
        <v>18</v>
      </c>
      <c r="M2014" s="10"/>
      <c r="N2014" s="10"/>
      <c r="O2014" s="0" t="str">
        <f aca="false">VLOOKUP(C2014,statusdetails!$A:$D,4,0)</f>
        <v>STANDBY</v>
      </c>
      <c r="P2014" s="0" t="str">
        <f aca="false">VLOOKUP(F2014,equipment!$A:$E,4,0)</f>
        <v>MO102</v>
      </c>
      <c r="Q2014" s="0" t="str">
        <f aca="false">VLOOKUP(F2014,equipment!$A:$E,5,0)</f>
        <v>MO102 - 41</v>
      </c>
    </row>
    <row r="2015" customFormat="false" ht="12.8" hidden="false" customHeight="false" outlineLevel="0" collapsed="false">
      <c r="A2015" s="0" t="n">
        <v>468209</v>
      </c>
      <c r="B2015" s="0" t="n">
        <v>468209</v>
      </c>
      <c r="C2015" s="0" t="n">
        <v>3</v>
      </c>
      <c r="D2015" s="0" t="n">
        <v>12</v>
      </c>
      <c r="E2015" s="0" t="n">
        <v>394</v>
      </c>
      <c r="F2015" s="0" t="n">
        <v>91</v>
      </c>
      <c r="G2015" s="0" t="n">
        <v>0</v>
      </c>
      <c r="H2015" s="1" t="s">
        <v>3832</v>
      </c>
      <c r="I2015" s="1" t="s">
        <v>3876</v>
      </c>
      <c r="J2015" s="9" t="n">
        <v>45907</v>
      </c>
      <c r="K2015" s="0" t="s">
        <v>3877</v>
      </c>
      <c r="L2015" s="0" t="n">
        <v>18</v>
      </c>
      <c r="M2015" s="10"/>
      <c r="N2015" s="10"/>
      <c r="O2015" s="0" t="str">
        <f aca="false">VLOOKUP(C2015,statusdetails!$A:$D,4,0)</f>
        <v>STANDBY</v>
      </c>
      <c r="P2015" s="0" t="str">
        <f aca="false">VLOOKUP(F2015,equipment!$A:$E,4,0)</f>
        <v>DZ205</v>
      </c>
      <c r="Q2015" s="0" t="str">
        <f aca="false">VLOOKUP(F2015,equipment!$A:$E,5,0)</f>
        <v>DZ205 - 91</v>
      </c>
    </row>
    <row r="2016" customFormat="false" ht="12.8" hidden="true" customHeight="false" outlineLevel="0" collapsed="false">
      <c r="A2016" s="0" t="n">
        <v>468210</v>
      </c>
      <c r="B2016" s="0" t="n">
        <v>468210</v>
      </c>
      <c r="C2016" s="0" t="n">
        <v>3</v>
      </c>
      <c r="D2016" s="0" t="n">
        <v>12</v>
      </c>
      <c r="E2016" s="0" t="n">
        <v>2453</v>
      </c>
      <c r="F2016" s="0" t="n">
        <v>60</v>
      </c>
      <c r="G2016" s="0" t="n">
        <v>0</v>
      </c>
      <c r="H2016" s="0" t="s">
        <v>3858</v>
      </c>
      <c r="I2016" s="13" t="n">
        <v>45907</v>
      </c>
      <c r="J2016" s="2" t="n">
        <v>18</v>
      </c>
      <c r="M2016" s="0"/>
      <c r="N2016" s="0"/>
    </row>
    <row r="2017" customFormat="false" ht="12.8" hidden="false" customHeight="false" outlineLevel="0" collapsed="false">
      <c r="A2017" s="0" t="n">
        <v>468211</v>
      </c>
      <c r="B2017" s="0" t="n">
        <v>468211</v>
      </c>
      <c r="C2017" s="0" t="n">
        <v>3</v>
      </c>
      <c r="D2017" s="0" t="n">
        <v>14</v>
      </c>
      <c r="E2017" s="0" t="n">
        <v>2406</v>
      </c>
      <c r="F2017" s="0" t="n">
        <v>88</v>
      </c>
      <c r="G2017" s="0" t="n">
        <v>151</v>
      </c>
      <c r="H2017" s="1" t="s">
        <v>3840</v>
      </c>
      <c r="I2017" s="1" t="s">
        <v>3878</v>
      </c>
      <c r="J2017" s="9" t="n">
        <v>45907</v>
      </c>
      <c r="K2017" s="0" t="s">
        <v>3879</v>
      </c>
      <c r="L2017" s="0" t="n">
        <v>18</v>
      </c>
      <c r="M2017" s="10"/>
      <c r="N2017" s="10"/>
      <c r="O2017" s="0" t="str">
        <f aca="false">VLOOKUP(C2017,statusdetails!$A:$D,4,0)</f>
        <v>STANDBY</v>
      </c>
      <c r="P2017" s="0" t="str">
        <f aca="false">VLOOKUP(F2017,equipment!$A:$E,4,0)</f>
        <v>CM05</v>
      </c>
      <c r="Q2017" s="0" t="str">
        <f aca="false">VLOOKUP(F2017,equipment!$A:$E,5,0)</f>
        <v>CM05 - 88</v>
      </c>
    </row>
    <row r="2018" customFormat="false" ht="12.8" hidden="false" customHeight="false" outlineLevel="0" collapsed="false">
      <c r="A2018" s="0" t="n">
        <v>468212</v>
      </c>
      <c r="B2018" s="0" t="n">
        <v>468212</v>
      </c>
      <c r="C2018" s="0" t="n">
        <v>3</v>
      </c>
      <c r="D2018" s="0" t="n">
        <v>14</v>
      </c>
      <c r="E2018" s="0" t="n">
        <v>1789</v>
      </c>
      <c r="F2018" s="0" t="n">
        <v>33</v>
      </c>
      <c r="G2018" s="0" t="n">
        <v>98</v>
      </c>
      <c r="H2018" s="1" t="s">
        <v>3826</v>
      </c>
      <c r="I2018" s="1" t="s">
        <v>3880</v>
      </c>
      <c r="J2018" s="9" t="n">
        <v>45907</v>
      </c>
      <c r="K2018" s="0" t="s">
        <v>3881</v>
      </c>
      <c r="L2018" s="0" t="n">
        <v>18</v>
      </c>
      <c r="M2018" s="10"/>
      <c r="N2018" s="10"/>
      <c r="O2018" s="0" t="str">
        <f aca="false">VLOOKUP(C2018,statusdetails!$A:$D,4,0)</f>
        <v>STANDBY</v>
      </c>
      <c r="P2018" s="0" t="str">
        <f aca="false">VLOOKUP(F2018,equipment!$A:$E,4,0)</f>
        <v>CM406</v>
      </c>
      <c r="Q2018" s="0" t="str">
        <f aca="false">VLOOKUP(F2018,equipment!$A:$E,5,0)</f>
        <v>CM406 - 33</v>
      </c>
    </row>
    <row r="2019" customFormat="false" ht="12.8" hidden="true" customHeight="false" outlineLevel="0" collapsed="false">
      <c r="A2019" s="0" t="n">
        <v>468213</v>
      </c>
      <c r="B2019" s="0" t="n">
        <v>468213</v>
      </c>
      <c r="C2019" s="0" t="n">
        <v>1</v>
      </c>
      <c r="D2019" s="0" t="n">
        <v>6</v>
      </c>
      <c r="E2019" s="0" t="n">
        <v>372</v>
      </c>
      <c r="F2019" s="0" t="n">
        <v>91</v>
      </c>
      <c r="G2019" s="0" t="n">
        <v>54</v>
      </c>
      <c r="H2019" s="0" t="s">
        <v>3876</v>
      </c>
      <c r="I2019" s="13" t="n">
        <v>45907</v>
      </c>
      <c r="J2019" s="2" t="n">
        <v>18</v>
      </c>
      <c r="M2019" s="0"/>
      <c r="N2019" s="0"/>
    </row>
    <row r="2020" customFormat="false" ht="12.8" hidden="true" customHeight="false" outlineLevel="0" collapsed="false">
      <c r="A2020" s="0" t="n">
        <v>468214</v>
      </c>
      <c r="B2020" s="0" t="n">
        <v>468214</v>
      </c>
      <c r="C2020" s="0" t="n">
        <v>1</v>
      </c>
      <c r="D2020" s="0" t="n">
        <v>6</v>
      </c>
      <c r="E2020" s="0" t="n">
        <v>260</v>
      </c>
      <c r="F2020" s="0" t="n">
        <v>35</v>
      </c>
      <c r="G2020" s="0" t="n">
        <v>62</v>
      </c>
      <c r="H2020" s="0" t="s">
        <v>3870</v>
      </c>
      <c r="I2020" s="0" t="s">
        <v>3882</v>
      </c>
      <c r="J2020" s="9" t="n">
        <v>45907</v>
      </c>
      <c r="K2020" s="0" t="s">
        <v>3883</v>
      </c>
      <c r="L2020" s="0" t="n">
        <v>18</v>
      </c>
      <c r="M2020" s="10"/>
      <c r="N2020" s="10"/>
      <c r="O2020" s="0" t="str">
        <f aca="false">VLOOKUP(C2020,statusdetails!$A:$D,4,0)</f>
        <v>READY</v>
      </c>
    </row>
    <row r="2021" customFormat="false" ht="12.8" hidden="false" customHeight="false" outlineLevel="0" collapsed="false">
      <c r="A2021" s="0" t="n">
        <v>468215</v>
      </c>
      <c r="B2021" s="0" t="n">
        <v>468215</v>
      </c>
      <c r="C2021" s="0" t="n">
        <v>3</v>
      </c>
      <c r="D2021" s="0" t="n">
        <v>14</v>
      </c>
      <c r="E2021" s="0" t="n">
        <v>1790</v>
      </c>
      <c r="F2021" s="0" t="n">
        <v>45</v>
      </c>
      <c r="G2021" s="0" t="n">
        <v>156</v>
      </c>
      <c r="H2021" s="1" t="s">
        <v>3855</v>
      </c>
      <c r="I2021" s="1" t="s">
        <v>3884</v>
      </c>
      <c r="J2021" s="9" t="n">
        <v>45907</v>
      </c>
      <c r="K2021" s="0" t="s">
        <v>3885</v>
      </c>
      <c r="L2021" s="0" t="n">
        <v>18</v>
      </c>
      <c r="M2021" s="10"/>
      <c r="N2021" s="10"/>
      <c r="O2021" s="0" t="str">
        <f aca="false">VLOOKUP(C2021,statusdetails!$A:$D,4,0)</f>
        <v>STANDBY</v>
      </c>
      <c r="P2021" s="0" t="str">
        <f aca="false">VLOOKUP(F2021,equipment!$A:$E,4,0)</f>
        <v>EX501</v>
      </c>
      <c r="Q2021" s="0" t="str">
        <f aca="false">VLOOKUP(F2021,equipment!$A:$E,5,0)</f>
        <v>EX501 - 45</v>
      </c>
    </row>
    <row r="2022" customFormat="false" ht="12.8" hidden="true" customHeight="false" outlineLevel="0" collapsed="false">
      <c r="A2022" s="0" t="n">
        <v>468216</v>
      </c>
      <c r="B2022" s="0" t="n">
        <v>468216</v>
      </c>
      <c r="C2022" s="0" t="n">
        <v>1</v>
      </c>
      <c r="D2022" s="0" t="n">
        <v>6</v>
      </c>
      <c r="E2022" s="0" t="n">
        <v>2518</v>
      </c>
      <c r="F2022" s="0" t="n">
        <v>96</v>
      </c>
      <c r="G2022" s="0" t="n">
        <v>89</v>
      </c>
      <c r="H2022" s="0" t="s">
        <v>3861</v>
      </c>
      <c r="I2022" s="13" t="n">
        <v>45907</v>
      </c>
      <c r="J2022" s="2" t="n">
        <v>18</v>
      </c>
      <c r="M2022" s="0"/>
      <c r="N2022" s="0"/>
    </row>
    <row r="2023" customFormat="false" ht="12.8" hidden="true" customHeight="false" outlineLevel="0" collapsed="false">
      <c r="A2023" s="0" t="n">
        <v>468217</v>
      </c>
      <c r="B2023" s="0" t="n">
        <v>468217</v>
      </c>
      <c r="C2023" s="0" t="n">
        <v>1</v>
      </c>
      <c r="D2023" s="0" t="n">
        <v>6</v>
      </c>
      <c r="E2023" s="0" t="n">
        <v>260</v>
      </c>
      <c r="F2023" s="0" t="n">
        <v>33</v>
      </c>
      <c r="G2023" s="0" t="n">
        <v>106</v>
      </c>
      <c r="H2023" s="0" t="s">
        <v>3880</v>
      </c>
      <c r="I2023" s="0" t="s">
        <v>3886</v>
      </c>
      <c r="J2023" s="9" t="n">
        <v>45907</v>
      </c>
      <c r="K2023" s="0" t="s">
        <v>3887</v>
      </c>
      <c r="L2023" s="0" t="n">
        <v>19</v>
      </c>
      <c r="M2023" s="10"/>
      <c r="N2023" s="10"/>
      <c r="O2023" s="0" t="str">
        <f aca="false">VLOOKUP(C2023,statusdetails!$A:$D,4,0)</f>
        <v>READY</v>
      </c>
    </row>
    <row r="2024" customFormat="false" ht="12.8" hidden="true" customHeight="false" outlineLevel="0" collapsed="false">
      <c r="A2024" s="0" t="n">
        <v>468218</v>
      </c>
      <c r="B2024" s="0" t="n">
        <v>468218</v>
      </c>
      <c r="C2024" s="0" t="n">
        <v>1</v>
      </c>
      <c r="D2024" s="0" t="n">
        <v>6</v>
      </c>
      <c r="E2024" s="0" t="n">
        <v>2404</v>
      </c>
      <c r="F2024" s="0" t="n">
        <v>84</v>
      </c>
      <c r="G2024" s="0" t="n">
        <v>82</v>
      </c>
      <c r="H2024" s="0" t="s">
        <v>3872</v>
      </c>
      <c r="I2024" s="13" t="n">
        <v>45907</v>
      </c>
      <c r="J2024" s="2" t="n">
        <v>19</v>
      </c>
      <c r="M2024" s="0"/>
      <c r="N2024" s="0"/>
    </row>
    <row r="2025" customFormat="false" ht="12.8" hidden="true" customHeight="false" outlineLevel="0" collapsed="false">
      <c r="A2025" s="0" t="n">
        <v>468219</v>
      </c>
      <c r="B2025" s="0" t="n">
        <v>468219</v>
      </c>
      <c r="C2025" s="0" t="n">
        <v>1</v>
      </c>
      <c r="D2025" s="0" t="n">
        <v>6</v>
      </c>
      <c r="E2025" s="0" t="n">
        <v>138</v>
      </c>
      <c r="F2025" s="0" t="n">
        <v>45</v>
      </c>
      <c r="G2025" s="0" t="n">
        <v>156</v>
      </c>
      <c r="H2025" s="0" t="s">
        <v>3884</v>
      </c>
      <c r="I2025" s="13" t="n">
        <v>45907</v>
      </c>
      <c r="J2025" s="2" t="n">
        <v>19</v>
      </c>
      <c r="M2025" s="0"/>
      <c r="N2025" s="0"/>
    </row>
    <row r="2026" customFormat="false" ht="12.8" hidden="false" customHeight="false" outlineLevel="0" collapsed="false">
      <c r="A2026" s="0" t="n">
        <v>468220</v>
      </c>
      <c r="B2026" s="0" t="n">
        <v>468220</v>
      </c>
      <c r="C2026" s="0" t="n">
        <v>3</v>
      </c>
      <c r="D2026" s="0" t="n">
        <v>12</v>
      </c>
      <c r="E2026" s="0" t="n">
        <v>2389</v>
      </c>
      <c r="F2026" s="0" t="n">
        <v>82</v>
      </c>
      <c r="G2026" s="0" t="n">
        <v>88</v>
      </c>
      <c r="H2026" s="1" t="s">
        <v>3866</v>
      </c>
      <c r="I2026" s="12" t="n">
        <v>45907.8067708333</v>
      </c>
      <c r="J2026" s="9" t="n">
        <v>45907</v>
      </c>
      <c r="K2026" s="0" t="s">
        <v>3888</v>
      </c>
      <c r="L2026" s="0" t="n">
        <v>19</v>
      </c>
      <c r="M2026" s="10"/>
      <c r="N2026" s="10"/>
      <c r="O2026" s="0" t="str">
        <f aca="false">VLOOKUP(C2026,statusdetails!$A:$D,4,0)</f>
        <v>STANDBY</v>
      </c>
      <c r="P2026" s="0" t="str">
        <f aca="false">VLOOKUP(F2026,equipment!$A:$E,4,0)</f>
        <v>EX502</v>
      </c>
      <c r="Q2026" s="0" t="str">
        <f aca="false">VLOOKUP(F2026,equipment!$A:$E,5,0)</f>
        <v>EX502 - 82</v>
      </c>
    </row>
    <row r="2027" customFormat="false" ht="12.8" hidden="true" customHeight="false" outlineLevel="0" collapsed="false">
      <c r="A2027" s="0" t="n">
        <v>468221</v>
      </c>
      <c r="B2027" s="0" t="n">
        <v>468221</v>
      </c>
      <c r="C2027" s="0" t="n">
        <v>1</v>
      </c>
      <c r="D2027" s="0" t="n">
        <v>6</v>
      </c>
      <c r="E2027" s="0" t="n">
        <v>2404</v>
      </c>
      <c r="F2027" s="0" t="n">
        <v>86</v>
      </c>
      <c r="G2027" s="0" t="n">
        <v>149</v>
      </c>
      <c r="H2027" s="0" t="s">
        <v>3868</v>
      </c>
      <c r="I2027" s="13" t="n">
        <v>45907</v>
      </c>
      <c r="J2027" s="2" t="n">
        <v>19</v>
      </c>
      <c r="M2027" s="0"/>
      <c r="N2027" s="0"/>
    </row>
    <row r="2028" customFormat="false" ht="12.8" hidden="true" customHeight="false" outlineLevel="0" collapsed="false">
      <c r="A2028" s="0" t="n">
        <v>468222</v>
      </c>
      <c r="B2028" s="0" t="n">
        <v>468222</v>
      </c>
      <c r="C2028" s="0" t="n">
        <v>1</v>
      </c>
      <c r="D2028" s="0" t="n">
        <v>6</v>
      </c>
      <c r="E2028" s="0" t="n">
        <v>2404</v>
      </c>
      <c r="F2028" s="0" t="n">
        <v>88</v>
      </c>
      <c r="G2028" s="0" t="n">
        <v>148</v>
      </c>
      <c r="H2028" s="0" t="s">
        <v>3878</v>
      </c>
      <c r="I2028" s="13" t="n">
        <v>45907</v>
      </c>
      <c r="J2028" s="2" t="n">
        <v>19</v>
      </c>
      <c r="M2028" s="0"/>
      <c r="N2028" s="0"/>
    </row>
    <row r="2029" customFormat="false" ht="12.8" hidden="false" customHeight="false" outlineLevel="0" collapsed="false">
      <c r="A2029" s="0" t="n">
        <v>468223</v>
      </c>
      <c r="B2029" s="0" t="n">
        <v>468223</v>
      </c>
      <c r="C2029" s="0" t="n">
        <v>3</v>
      </c>
      <c r="D2029" s="0" t="n">
        <v>12</v>
      </c>
      <c r="E2029" s="0" t="n">
        <v>2504</v>
      </c>
      <c r="F2029" s="0" t="n">
        <v>85</v>
      </c>
      <c r="G2029" s="0" t="n">
        <v>153</v>
      </c>
      <c r="H2029" s="1" t="s">
        <v>3818</v>
      </c>
      <c r="I2029" s="1" t="s">
        <v>3889</v>
      </c>
      <c r="J2029" s="9" t="n">
        <v>45907</v>
      </c>
      <c r="K2029" s="0" t="s">
        <v>3890</v>
      </c>
      <c r="L2029" s="0" t="n">
        <v>19</v>
      </c>
      <c r="M2029" s="10"/>
      <c r="N2029" s="10"/>
      <c r="O2029" s="0" t="str">
        <f aca="false">VLOOKUP(C2029,statusdetails!$A:$D,4,0)</f>
        <v>STANDBY</v>
      </c>
      <c r="P2029" s="0" t="str">
        <f aca="false">VLOOKUP(F2029,equipment!$A:$E,4,0)</f>
        <v>CM02</v>
      </c>
      <c r="Q2029" s="0" t="str">
        <f aca="false">VLOOKUP(F2029,equipment!$A:$E,5,0)</f>
        <v>CM02 - 85</v>
      </c>
    </row>
    <row r="2030" customFormat="false" ht="12.8" hidden="true" customHeight="false" outlineLevel="0" collapsed="false">
      <c r="A2030" s="0" t="n">
        <v>468224</v>
      </c>
      <c r="B2030" s="0" t="n">
        <v>468224</v>
      </c>
      <c r="C2030" s="0" t="n">
        <v>4</v>
      </c>
      <c r="D2030" s="0" t="n">
        <v>16</v>
      </c>
      <c r="E2030" s="0" t="n">
        <v>2461</v>
      </c>
      <c r="F2030" s="0" t="n">
        <v>87</v>
      </c>
      <c r="G2030" s="0" t="n">
        <v>7</v>
      </c>
      <c r="H2030" s="0" t="s">
        <v>3851</v>
      </c>
      <c r="I2030" s="0" t="s">
        <v>3891</v>
      </c>
      <c r="J2030" s="9" t="n">
        <v>45907</v>
      </c>
      <c r="K2030" s="0" t="s">
        <v>3892</v>
      </c>
      <c r="L2030" s="0" t="n">
        <v>19</v>
      </c>
      <c r="M2030" s="10"/>
      <c r="N2030" s="10"/>
      <c r="O2030" s="0" t="str">
        <f aca="false">VLOOKUP(C2030,statusdetails!$A:$D,4,0)</f>
        <v>MAINT</v>
      </c>
    </row>
    <row r="2031" customFormat="false" ht="12.8" hidden="true" customHeight="false" outlineLevel="0" collapsed="false">
      <c r="A2031" s="0" t="n">
        <v>468225</v>
      </c>
      <c r="B2031" s="0" t="n">
        <v>468225</v>
      </c>
      <c r="C2031" s="0" t="n">
        <v>1</v>
      </c>
      <c r="D2031" s="0" t="n">
        <v>6</v>
      </c>
      <c r="E2031" s="0" t="n">
        <v>372</v>
      </c>
      <c r="F2031" s="0" t="n">
        <v>37</v>
      </c>
      <c r="G2031" s="0" t="n">
        <v>61</v>
      </c>
      <c r="H2031" s="0" t="s">
        <v>3863</v>
      </c>
      <c r="I2031" s="0" t="s">
        <v>3893</v>
      </c>
      <c r="J2031" s="9" t="n">
        <v>45907</v>
      </c>
      <c r="K2031" s="0" t="s">
        <v>3894</v>
      </c>
      <c r="L2031" s="0" t="n">
        <v>19</v>
      </c>
      <c r="M2031" s="10"/>
      <c r="N2031" s="10"/>
      <c r="O2031" s="0" t="str">
        <f aca="false">VLOOKUP(C2031,statusdetails!$A:$D,4,0)</f>
        <v>READY</v>
      </c>
    </row>
    <row r="2032" customFormat="false" ht="12.8" hidden="true" customHeight="false" outlineLevel="0" collapsed="false">
      <c r="A2032" s="0" t="n">
        <v>468228</v>
      </c>
      <c r="B2032" s="0" t="n">
        <v>468228</v>
      </c>
      <c r="C2032" s="0" t="n">
        <v>1</v>
      </c>
      <c r="D2032" s="0" t="n">
        <v>6</v>
      </c>
      <c r="E2032" s="0" t="n">
        <v>2404</v>
      </c>
      <c r="F2032" s="0" t="n">
        <v>85</v>
      </c>
      <c r="G2032" s="0" t="n">
        <v>153</v>
      </c>
      <c r="H2032" s="0" t="s">
        <v>3889</v>
      </c>
      <c r="I2032" s="13" t="n">
        <v>45907</v>
      </c>
      <c r="J2032" s="2" t="n">
        <v>19</v>
      </c>
      <c r="M2032" s="0"/>
      <c r="N2032" s="0"/>
    </row>
    <row r="2033" customFormat="false" ht="12.8" hidden="true" customHeight="false" outlineLevel="0" collapsed="false">
      <c r="A2033" s="0" t="n">
        <v>468229</v>
      </c>
      <c r="B2033" s="0" t="n">
        <v>468229</v>
      </c>
      <c r="C2033" s="0" t="n">
        <v>1</v>
      </c>
      <c r="D2033" s="0" t="n">
        <v>6</v>
      </c>
      <c r="E2033" s="0" t="n">
        <v>586</v>
      </c>
      <c r="F2033" s="0" t="n">
        <v>41</v>
      </c>
      <c r="G2033" s="0" t="n">
        <v>118</v>
      </c>
      <c r="H2033" s="0" t="s">
        <v>3874</v>
      </c>
      <c r="I2033" s="13" t="n">
        <v>45907</v>
      </c>
      <c r="J2033" s="2" t="n">
        <v>19</v>
      </c>
      <c r="M2033" s="0"/>
      <c r="N2033" s="0"/>
    </row>
    <row r="2034" customFormat="false" ht="12.8" hidden="false" customHeight="false" outlineLevel="0" collapsed="false">
      <c r="A2034" s="0" t="n">
        <v>468230</v>
      </c>
      <c r="B2034" s="0" t="n">
        <v>468227</v>
      </c>
      <c r="C2034" s="0" t="n">
        <v>3</v>
      </c>
      <c r="D2034" s="0" t="n">
        <v>12</v>
      </c>
      <c r="E2034" s="0" t="n">
        <v>2393</v>
      </c>
      <c r="F2034" s="0" t="n">
        <v>82</v>
      </c>
      <c r="G2034" s="0" t="n">
        <v>107</v>
      </c>
      <c r="H2034" s="12" t="n">
        <v>45907.8067708333</v>
      </c>
      <c r="I2034" s="1" t="s">
        <v>3895</v>
      </c>
      <c r="J2034" s="9" t="n">
        <v>45907</v>
      </c>
      <c r="K2034" s="0" t="s">
        <v>3896</v>
      </c>
      <c r="L2034" s="0" t="n">
        <v>19</v>
      </c>
      <c r="M2034" s="10"/>
      <c r="N2034" s="10"/>
      <c r="O2034" s="0" t="str">
        <f aca="false">VLOOKUP(C2034,statusdetails!$A:$D,4,0)</f>
        <v>STANDBY</v>
      </c>
      <c r="P2034" s="0" t="str">
        <f aca="false">VLOOKUP(F2034,equipment!$A:$E,4,0)</f>
        <v>EX502</v>
      </c>
      <c r="Q2034" s="0" t="str">
        <f aca="false">VLOOKUP(F2034,equipment!$A:$E,5,0)</f>
        <v>EX502 - 82</v>
      </c>
    </row>
    <row r="2035" customFormat="false" ht="12.8" hidden="false" customHeight="false" outlineLevel="0" collapsed="false">
      <c r="A2035" s="0" t="n">
        <v>468232</v>
      </c>
      <c r="B2035" s="0" t="n">
        <v>468231</v>
      </c>
      <c r="C2035" s="0" t="n">
        <v>3</v>
      </c>
      <c r="D2035" s="0" t="n">
        <v>12</v>
      </c>
      <c r="E2035" s="0" t="n">
        <v>2504</v>
      </c>
      <c r="F2035" s="0" t="n">
        <v>89</v>
      </c>
      <c r="G2035" s="0" t="n">
        <v>151</v>
      </c>
      <c r="H2035" s="12" t="n">
        <v>45907.8059722222</v>
      </c>
      <c r="I2035" s="1" t="s">
        <v>3897</v>
      </c>
      <c r="J2035" s="9" t="n">
        <v>45907</v>
      </c>
      <c r="K2035" s="0" t="s">
        <v>3898</v>
      </c>
      <c r="L2035" s="0" t="n">
        <v>19</v>
      </c>
      <c r="M2035" s="10"/>
      <c r="N2035" s="10"/>
      <c r="O2035" s="0" t="str">
        <f aca="false">VLOOKUP(C2035,statusdetails!$A:$D,4,0)</f>
        <v>STANDBY</v>
      </c>
      <c r="P2035" s="0" t="str">
        <f aca="false">VLOOKUP(F2035,equipment!$A:$E,4,0)</f>
        <v>CM06</v>
      </c>
      <c r="Q2035" s="0" t="str">
        <f aca="false">VLOOKUP(F2035,equipment!$A:$E,5,0)</f>
        <v>CM06 - 89</v>
      </c>
    </row>
    <row r="2036" customFormat="false" ht="12.8" hidden="true" customHeight="false" outlineLevel="0" collapsed="false">
      <c r="A2036" s="0" t="n">
        <v>468233</v>
      </c>
      <c r="B2036" s="0" t="n">
        <v>468233</v>
      </c>
      <c r="C2036" s="0" t="n">
        <v>1</v>
      </c>
      <c r="D2036" s="0" t="n">
        <v>2303</v>
      </c>
      <c r="E2036" s="0" t="n">
        <v>2517</v>
      </c>
      <c r="F2036" s="0" t="n">
        <v>82</v>
      </c>
      <c r="G2036" s="0" t="n">
        <v>107</v>
      </c>
      <c r="H2036" s="0" t="s">
        <v>3895</v>
      </c>
      <c r="I2036" s="0" t="s">
        <v>3899</v>
      </c>
      <c r="J2036" s="9" t="n">
        <v>45907</v>
      </c>
      <c r="K2036" s="0" t="s">
        <v>3900</v>
      </c>
      <c r="L2036" s="0" t="n">
        <v>19</v>
      </c>
      <c r="M2036" s="10"/>
      <c r="N2036" s="10"/>
      <c r="O2036" s="0" t="str">
        <f aca="false">VLOOKUP(C2036,statusdetails!$A:$D,4,0)</f>
        <v>READY</v>
      </c>
    </row>
    <row r="2037" customFormat="false" ht="12.8" hidden="false" customHeight="false" outlineLevel="0" collapsed="false">
      <c r="A2037" s="0" t="n">
        <v>468234</v>
      </c>
      <c r="B2037" s="0" t="n">
        <v>468234</v>
      </c>
      <c r="C2037" s="0" t="n">
        <v>3</v>
      </c>
      <c r="D2037" s="0" t="n">
        <v>12</v>
      </c>
      <c r="E2037" s="0" t="n">
        <v>2504</v>
      </c>
      <c r="F2037" s="0" t="n">
        <v>87</v>
      </c>
      <c r="G2037" s="0" t="n">
        <v>0</v>
      </c>
      <c r="H2037" s="1" t="s">
        <v>3891</v>
      </c>
      <c r="I2037" s="1" t="s">
        <v>3901</v>
      </c>
      <c r="J2037" s="9" t="n">
        <v>45907</v>
      </c>
      <c r="K2037" s="0" t="s">
        <v>3902</v>
      </c>
      <c r="L2037" s="0" t="n">
        <v>19</v>
      </c>
      <c r="M2037" s="10"/>
      <c r="N2037" s="10"/>
      <c r="O2037" s="0" t="str">
        <f aca="false">VLOOKUP(C2037,statusdetails!$A:$D,4,0)</f>
        <v>STANDBY</v>
      </c>
      <c r="P2037" s="0" t="str">
        <f aca="false">VLOOKUP(F2037,equipment!$A:$E,4,0)</f>
        <v>CM04</v>
      </c>
      <c r="Q2037" s="0" t="str">
        <f aca="false">VLOOKUP(F2037,equipment!$A:$E,5,0)</f>
        <v>CM04 - 87</v>
      </c>
    </row>
    <row r="2038" customFormat="false" ht="12.8" hidden="true" customHeight="false" outlineLevel="0" collapsed="false">
      <c r="A2038" s="0" t="n">
        <v>468235</v>
      </c>
      <c r="B2038" s="0" t="n">
        <v>468235</v>
      </c>
      <c r="C2038" s="0" t="n">
        <v>1</v>
      </c>
      <c r="D2038" s="0" t="n">
        <v>6</v>
      </c>
      <c r="E2038" s="0" t="n">
        <v>2518</v>
      </c>
      <c r="F2038" s="0" t="n">
        <v>82</v>
      </c>
      <c r="G2038" s="0" t="n">
        <v>107</v>
      </c>
      <c r="H2038" s="0" t="s">
        <v>3899</v>
      </c>
      <c r="I2038" s="0" t="s">
        <v>3903</v>
      </c>
      <c r="J2038" s="9" t="n">
        <v>45907</v>
      </c>
      <c r="K2038" s="0" t="s">
        <v>3904</v>
      </c>
      <c r="L2038" s="0" t="n">
        <v>20</v>
      </c>
      <c r="M2038" s="10"/>
      <c r="N2038" s="10"/>
      <c r="O2038" s="0" t="str">
        <f aca="false">VLOOKUP(C2038,statusdetails!$A:$D,4,0)</f>
        <v>READY</v>
      </c>
    </row>
    <row r="2039" customFormat="false" ht="12.8" hidden="true" customHeight="false" outlineLevel="0" collapsed="false">
      <c r="A2039" s="0" t="n">
        <v>468236</v>
      </c>
      <c r="B2039" s="0" t="n">
        <v>468236</v>
      </c>
      <c r="C2039" s="0" t="n">
        <v>1</v>
      </c>
      <c r="D2039" s="0" t="n">
        <v>6</v>
      </c>
      <c r="E2039" s="0" t="n">
        <v>2404</v>
      </c>
      <c r="F2039" s="0" t="n">
        <v>89</v>
      </c>
      <c r="G2039" s="0" t="n">
        <v>0</v>
      </c>
      <c r="H2039" s="0" t="s">
        <v>3897</v>
      </c>
      <c r="I2039" s="0" t="s">
        <v>3905</v>
      </c>
      <c r="J2039" s="9" t="n">
        <v>45907</v>
      </c>
      <c r="K2039" s="0" t="s">
        <v>3906</v>
      </c>
      <c r="L2039" s="0" t="n">
        <v>20</v>
      </c>
      <c r="M2039" s="10"/>
      <c r="N2039" s="10"/>
      <c r="O2039" s="0" t="str">
        <f aca="false">VLOOKUP(C2039,statusdetails!$A:$D,4,0)</f>
        <v>READY</v>
      </c>
    </row>
    <row r="2040" customFormat="false" ht="12.8" hidden="true" customHeight="false" outlineLevel="0" collapsed="false">
      <c r="A2040" s="0" t="n">
        <v>468237</v>
      </c>
      <c r="B2040" s="0" t="n">
        <v>468237</v>
      </c>
      <c r="C2040" s="0" t="n">
        <v>1</v>
      </c>
      <c r="D2040" s="0" t="n">
        <v>6</v>
      </c>
      <c r="E2040" s="0" t="n">
        <v>2404</v>
      </c>
      <c r="F2040" s="0" t="n">
        <v>87</v>
      </c>
      <c r="G2040" s="0" t="n">
        <v>147</v>
      </c>
      <c r="H2040" s="0" t="s">
        <v>3901</v>
      </c>
      <c r="I2040" s="13" t="n">
        <v>45907</v>
      </c>
      <c r="J2040" s="2" t="n">
        <v>20</v>
      </c>
      <c r="M2040" s="0"/>
      <c r="N2040" s="0"/>
    </row>
    <row r="2041" customFormat="false" ht="12.8" hidden="true" customHeight="false" outlineLevel="0" collapsed="false">
      <c r="H2041" s="0"/>
      <c r="I2041" s="0"/>
      <c r="J2041" s="9"/>
    </row>
    <row r="2042" customFormat="false" ht="12.8" hidden="true" customHeight="false" outlineLevel="0" collapsed="false">
      <c r="H2042" s="0"/>
      <c r="I2042" s="0"/>
      <c r="J2042" s="9"/>
    </row>
    <row r="2043" customFormat="false" ht="12.8" hidden="false" customHeight="false" outlineLevel="0" collapsed="false">
      <c r="A2043" s="0" t="n">
        <v>468240</v>
      </c>
      <c r="B2043" s="0" t="n">
        <v>468240</v>
      </c>
      <c r="C2043" s="0" t="n">
        <v>3</v>
      </c>
      <c r="D2043" s="0" t="n">
        <v>14</v>
      </c>
      <c r="E2043" s="0" t="n">
        <v>2387</v>
      </c>
      <c r="F2043" s="0" t="n">
        <v>82</v>
      </c>
      <c r="G2043" s="0" t="n">
        <v>107</v>
      </c>
      <c r="H2043" s="1" t="s">
        <v>3903</v>
      </c>
      <c r="I2043" s="1" t="s">
        <v>3907</v>
      </c>
      <c r="J2043" s="9" t="n">
        <v>45907</v>
      </c>
      <c r="K2043" s="0" t="s">
        <v>3908</v>
      </c>
      <c r="L2043" s="0" t="n">
        <v>20</v>
      </c>
      <c r="M2043" s="10"/>
      <c r="N2043" s="10"/>
      <c r="O2043" s="0" t="str">
        <f aca="false">VLOOKUP(C2043,statusdetails!$A:$D,4,0)</f>
        <v>STANDBY</v>
      </c>
      <c r="P2043" s="0" t="str">
        <f aca="false">VLOOKUP(F2043,equipment!$A:$E,4,0)</f>
        <v>EX502</v>
      </c>
      <c r="Q2043" s="0" t="str">
        <f aca="false">VLOOKUP(F2043,equipment!$A:$E,5,0)</f>
        <v>EX502 - 82</v>
      </c>
    </row>
    <row r="2044" customFormat="false" ht="12.8" hidden="true" customHeight="false" outlineLevel="0" collapsed="false">
      <c r="A2044" s="0" t="n">
        <v>468241</v>
      </c>
      <c r="B2044" s="0" t="n">
        <v>468241</v>
      </c>
      <c r="C2044" s="0" t="n">
        <v>1</v>
      </c>
      <c r="D2044" s="0" t="n">
        <v>6</v>
      </c>
      <c r="E2044" s="0" t="n">
        <v>2518</v>
      </c>
      <c r="F2044" s="0" t="n">
        <v>82</v>
      </c>
      <c r="G2044" s="0" t="n">
        <v>107</v>
      </c>
      <c r="H2044" s="0" t="s">
        <v>3907</v>
      </c>
      <c r="I2044" s="13" t="n">
        <v>45907</v>
      </c>
      <c r="J2044" s="2" t="n">
        <v>20</v>
      </c>
      <c r="M2044" s="0"/>
      <c r="N2044" s="0"/>
    </row>
    <row r="2045" customFormat="false" ht="12.8" hidden="true" customHeight="false" outlineLevel="0" collapsed="false">
      <c r="A2045" s="0" t="n">
        <v>468242</v>
      </c>
      <c r="B2045" s="0" t="n">
        <v>468242</v>
      </c>
      <c r="C2045" s="0" t="n">
        <v>1</v>
      </c>
      <c r="D2045" s="0" t="n">
        <v>6</v>
      </c>
      <c r="E2045" s="0" t="n">
        <v>260</v>
      </c>
      <c r="F2045" s="0" t="n">
        <v>33</v>
      </c>
      <c r="G2045" s="0" t="n">
        <v>106</v>
      </c>
      <c r="H2045" s="0" t="s">
        <v>3909</v>
      </c>
      <c r="I2045" s="13" t="n">
        <v>45907</v>
      </c>
      <c r="J2045" s="2" t="n">
        <v>20</v>
      </c>
      <c r="M2045" s="0"/>
      <c r="N2045" s="0"/>
    </row>
    <row r="2046" customFormat="false" ht="12.8" hidden="true" customHeight="false" outlineLevel="0" collapsed="false">
      <c r="A2046" s="0" t="n">
        <v>468243</v>
      </c>
      <c r="B2046" s="0" t="n">
        <v>468243</v>
      </c>
      <c r="C2046" s="0" t="n">
        <v>1</v>
      </c>
      <c r="D2046" s="0" t="n">
        <v>6</v>
      </c>
      <c r="E2046" s="0" t="n">
        <v>260</v>
      </c>
      <c r="F2046" s="0" t="n">
        <v>35</v>
      </c>
      <c r="G2046" s="0" t="n">
        <v>62</v>
      </c>
      <c r="H2046" s="0" t="s">
        <v>3910</v>
      </c>
      <c r="I2046" s="13" t="n">
        <v>45907</v>
      </c>
      <c r="J2046" s="2" t="n">
        <v>20</v>
      </c>
      <c r="M2046" s="0"/>
      <c r="N2046" s="0"/>
    </row>
    <row r="2047" customFormat="false" ht="12.8" hidden="true" customHeight="false" outlineLevel="0" collapsed="false">
      <c r="A2047" s="0" t="n">
        <v>468244</v>
      </c>
      <c r="B2047" s="0" t="n">
        <v>468244</v>
      </c>
      <c r="C2047" s="0" t="n">
        <v>4</v>
      </c>
      <c r="D2047" s="0" t="n">
        <v>16</v>
      </c>
      <c r="E2047" s="0" t="n">
        <v>474</v>
      </c>
      <c r="F2047" s="0" t="n">
        <v>37</v>
      </c>
      <c r="G2047" s="0" t="n">
        <v>61</v>
      </c>
      <c r="H2047" s="0" t="s">
        <v>3893</v>
      </c>
      <c r="I2047" s="13" t="n">
        <v>45907</v>
      </c>
      <c r="J2047" s="2" t="n">
        <v>20</v>
      </c>
      <c r="M2047" s="0"/>
      <c r="N2047" s="0"/>
    </row>
    <row r="2048" customFormat="false" ht="12.8" hidden="true" customHeight="false" outlineLevel="0" collapsed="false">
      <c r="H2048" s="0"/>
      <c r="I2048" s="0"/>
      <c r="J2048" s="9"/>
    </row>
    <row r="2049" customFormat="false" ht="12.8" hidden="true" customHeight="false" outlineLevel="0" collapsed="false">
      <c r="A2049" s="0" t="n">
        <v>468246</v>
      </c>
      <c r="B2049" s="0" t="n">
        <v>468246</v>
      </c>
      <c r="C2049" s="0" t="n">
        <v>1</v>
      </c>
      <c r="D2049" s="0" t="n">
        <v>6</v>
      </c>
      <c r="E2049" s="0" t="n">
        <v>811</v>
      </c>
      <c r="F2049" s="0" t="n">
        <v>43</v>
      </c>
      <c r="G2049" s="0" t="n">
        <v>16</v>
      </c>
      <c r="H2049" s="0" t="s">
        <v>3911</v>
      </c>
      <c r="I2049" s="0" t="s">
        <v>3912</v>
      </c>
      <c r="J2049" s="9" t="n">
        <v>45907</v>
      </c>
      <c r="K2049" s="0" t="s">
        <v>3913</v>
      </c>
      <c r="L2049" s="0" t="n">
        <v>20</v>
      </c>
      <c r="M2049" s="10"/>
      <c r="N2049" s="10"/>
      <c r="O2049" s="0" t="str">
        <f aca="false">VLOOKUP(C2049,statusdetails!$A:$D,4,0)</f>
        <v>READY</v>
      </c>
    </row>
    <row r="2050" customFormat="false" ht="12.8" hidden="false" customHeight="false" outlineLevel="0" collapsed="false">
      <c r="A2050" s="0" t="n">
        <v>468247</v>
      </c>
      <c r="B2050" s="0" t="n">
        <v>468247</v>
      </c>
      <c r="C2050" s="0" t="n">
        <v>3</v>
      </c>
      <c r="D2050" s="0" t="n">
        <v>14</v>
      </c>
      <c r="E2050" s="0" t="n">
        <v>1159</v>
      </c>
      <c r="F2050" s="0" t="n">
        <v>43</v>
      </c>
      <c r="G2050" s="0" t="n">
        <v>16</v>
      </c>
      <c r="H2050" s="1" t="s">
        <v>3912</v>
      </c>
      <c r="I2050" s="1" t="s">
        <v>3914</v>
      </c>
      <c r="J2050" s="9" t="n">
        <v>45907</v>
      </c>
      <c r="K2050" s="0" t="s">
        <v>3915</v>
      </c>
      <c r="L2050" s="0" t="n">
        <v>21</v>
      </c>
      <c r="M2050" s="10"/>
      <c r="N2050" s="10"/>
      <c r="O2050" s="0" t="str">
        <f aca="false">VLOOKUP(C2050,statusdetails!$A:$D,4,0)</f>
        <v>STANDBY</v>
      </c>
      <c r="P2050" s="0" t="str">
        <f aca="false">VLOOKUP(F2050,equipment!$A:$E,4,0)</f>
        <v>PE302</v>
      </c>
      <c r="Q2050" s="0" t="str">
        <f aca="false">VLOOKUP(F2050,equipment!$A:$E,5,0)</f>
        <v>PE302 - 43</v>
      </c>
    </row>
    <row r="2051" customFormat="false" ht="12.8" hidden="true" customHeight="false" outlineLevel="0" collapsed="false">
      <c r="H2051" s="0"/>
      <c r="I2051" s="0"/>
      <c r="J2051" s="9"/>
    </row>
    <row r="2052" customFormat="false" ht="12.8" hidden="true" customHeight="false" outlineLevel="0" collapsed="false">
      <c r="A2052" s="0" t="n">
        <v>468249</v>
      </c>
      <c r="B2052" s="0" t="n">
        <v>468249</v>
      </c>
      <c r="C2052" s="0" t="n">
        <v>1</v>
      </c>
      <c r="D2052" s="0" t="n">
        <v>6</v>
      </c>
      <c r="E2052" s="0" t="n">
        <v>260</v>
      </c>
      <c r="F2052" s="0" t="n">
        <v>66</v>
      </c>
      <c r="G2052" s="0" t="n">
        <v>66</v>
      </c>
      <c r="H2052" s="0" t="s">
        <v>3916</v>
      </c>
      <c r="I2052" s="13" t="n">
        <v>45907</v>
      </c>
      <c r="J2052" s="2" t="n">
        <v>21</v>
      </c>
      <c r="M2052" s="0"/>
      <c r="N2052" s="0"/>
    </row>
    <row r="2053" customFormat="false" ht="12.8" hidden="true" customHeight="false" outlineLevel="0" collapsed="false">
      <c r="A2053" s="0" t="n">
        <v>468250</v>
      </c>
      <c r="B2053" s="0" t="n">
        <v>468250</v>
      </c>
      <c r="C2053" s="0" t="n">
        <v>1</v>
      </c>
      <c r="D2053" s="0" t="n">
        <v>6</v>
      </c>
      <c r="E2053" s="0" t="n">
        <v>811</v>
      </c>
      <c r="F2053" s="0" t="n">
        <v>43</v>
      </c>
      <c r="G2053" s="0" t="n">
        <v>16</v>
      </c>
      <c r="H2053" s="0" t="s">
        <v>3914</v>
      </c>
      <c r="I2053" s="13" t="n">
        <v>45907</v>
      </c>
      <c r="J2053" s="2" t="n">
        <v>21</v>
      </c>
      <c r="M2053" s="0"/>
      <c r="N2053" s="0"/>
    </row>
    <row r="2054" customFormat="false" ht="12.8" hidden="true" customHeight="false" outlineLevel="0" collapsed="false">
      <c r="A2054" s="0" t="n">
        <v>468251</v>
      </c>
      <c r="B2054" s="0" t="n">
        <v>468251</v>
      </c>
      <c r="C2054" s="0" t="n">
        <v>4</v>
      </c>
      <c r="D2054" s="0" t="n">
        <v>16</v>
      </c>
      <c r="E2054" s="0" t="n">
        <v>2461</v>
      </c>
      <c r="F2054" s="0" t="n">
        <v>89</v>
      </c>
      <c r="G2054" s="0" t="n">
        <v>150</v>
      </c>
      <c r="H2054" s="0" t="s">
        <v>3905</v>
      </c>
      <c r="I2054" s="13" t="n">
        <v>45907</v>
      </c>
      <c r="J2054" s="2" t="n">
        <v>21</v>
      </c>
      <c r="M2054" s="0"/>
      <c r="N2054" s="0"/>
    </row>
    <row r="2055" customFormat="false" ht="12.8" hidden="true" customHeight="false" outlineLevel="0" collapsed="false">
      <c r="H2055" s="0"/>
      <c r="I2055" s="0"/>
      <c r="M2055" s="10"/>
      <c r="N2055" s="10"/>
    </row>
    <row r="2056" customFormat="false" ht="12.8" hidden="true" customHeight="false" outlineLevel="0" collapsed="false">
      <c r="H2056" s="0"/>
      <c r="I2056" s="0"/>
      <c r="M2056" s="10"/>
      <c r="N2056" s="10"/>
    </row>
    <row r="2057" customFormat="false" ht="12.8" hidden="true" customHeight="false" outlineLevel="0" collapsed="false">
      <c r="H2057" s="0"/>
      <c r="I2057" s="0"/>
      <c r="M2057" s="10"/>
      <c r="N2057" s="10"/>
    </row>
    <row r="2058" customFormat="false" ht="12.8" hidden="true" customHeight="false" outlineLevel="0" collapsed="false">
      <c r="H2058" s="0"/>
      <c r="I2058" s="0"/>
      <c r="M2058" s="10"/>
      <c r="N2058" s="10"/>
    </row>
    <row r="2059" customFormat="false" ht="12.8" hidden="true" customHeight="false" outlineLevel="0" collapsed="false">
      <c r="H2059" s="0"/>
      <c r="I2059" s="0"/>
      <c r="M2059" s="10"/>
      <c r="N2059" s="10"/>
    </row>
    <row r="2060" customFormat="false" ht="12.8" hidden="true" customHeight="false" outlineLevel="0" collapsed="false">
      <c r="H2060" s="0"/>
      <c r="I2060" s="0"/>
      <c r="M2060" s="10"/>
      <c r="N2060" s="10"/>
    </row>
    <row r="2061" customFormat="false" ht="12.8" hidden="true" customHeight="false" outlineLevel="0" collapsed="false">
      <c r="H2061" s="0"/>
      <c r="I2061" s="0"/>
      <c r="M2061" s="10"/>
      <c r="N2061" s="10"/>
    </row>
    <row r="2062" customFormat="false" ht="12.8" hidden="true" customHeight="false" outlineLevel="0" collapsed="false">
      <c r="F2062" s="0" t="s">
        <v>2582</v>
      </c>
      <c r="H2062" s="0"/>
      <c r="I2062" s="0"/>
      <c r="M2062" s="10"/>
      <c r="N2062" s="10"/>
    </row>
  </sheetData>
  <autoFilter ref="A1:O2062">
    <filterColumn colId="14">
      <filters>
        <filter val="STANDB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8" activeCellId="0" sqref="F8"/>
    </sheetView>
  </sheetViews>
  <sheetFormatPr defaultColWidth="11.53515625" defaultRowHeight="12.8" customHeight="true" zeroHeight="false" outlineLevelRow="0" outlineLevelCol="0"/>
  <sheetData>
    <row r="1" s="8" customFormat="true" ht="12.8" hidden="false" customHeight="false" outlineLevel="0" collapsed="false">
      <c r="A1" s="8" t="s">
        <v>3917</v>
      </c>
      <c r="B1" s="8" t="s">
        <v>3918</v>
      </c>
      <c r="C1" s="8" t="s">
        <v>3919</v>
      </c>
      <c r="D1" s="8" t="s">
        <v>3920</v>
      </c>
      <c r="E1" s="8" t="s">
        <v>3921</v>
      </c>
      <c r="F1" s="8" t="s">
        <v>3922</v>
      </c>
    </row>
    <row r="2" customFormat="false" ht="12.8" hidden="false" customHeight="false" outlineLevel="0" collapsed="false">
      <c r="A2" s="0" t="n">
        <v>1</v>
      </c>
      <c r="B2" s="0" t="n">
        <v>6</v>
      </c>
      <c r="C2" s="0" t="n">
        <v>18</v>
      </c>
      <c r="D2" s="0" t="s">
        <v>3923</v>
      </c>
      <c r="E2" s="0" t="s">
        <v>3924</v>
      </c>
      <c r="F2" s="0" t="s">
        <v>3925</v>
      </c>
    </row>
    <row r="3" customFormat="false" ht="12.8" hidden="false" customHeight="false" outlineLevel="0" collapsed="false">
      <c r="A3" s="0" t="n">
        <v>1</v>
      </c>
      <c r="B3" s="0" t="n">
        <v>6</v>
      </c>
      <c r="C3" s="0" t="n">
        <v>138</v>
      </c>
      <c r="D3" s="0" t="s">
        <v>3923</v>
      </c>
      <c r="E3" s="0" t="s">
        <v>3924</v>
      </c>
      <c r="F3" s="0" t="s">
        <v>3925</v>
      </c>
    </row>
    <row r="4" customFormat="false" ht="12.8" hidden="false" customHeight="false" outlineLevel="0" collapsed="false">
      <c r="A4" s="0" t="n">
        <v>1</v>
      </c>
      <c r="B4" s="0" t="n">
        <v>6</v>
      </c>
      <c r="C4" s="0" t="n">
        <v>139</v>
      </c>
      <c r="D4" s="0" t="s">
        <v>3923</v>
      </c>
      <c r="E4" s="0" t="s">
        <v>3924</v>
      </c>
      <c r="F4" s="0" t="s">
        <v>3926</v>
      </c>
    </row>
    <row r="5" customFormat="false" ht="12.8" hidden="false" customHeight="false" outlineLevel="0" collapsed="false">
      <c r="A5" s="0" t="n">
        <v>1</v>
      </c>
      <c r="B5" s="0" t="n">
        <v>6</v>
      </c>
      <c r="C5" s="0" t="n">
        <v>260</v>
      </c>
      <c r="D5" s="0" t="s">
        <v>3923</v>
      </c>
      <c r="E5" s="0" t="s">
        <v>3924</v>
      </c>
      <c r="F5" s="0" t="s">
        <v>3925</v>
      </c>
    </row>
    <row r="6" customFormat="false" ht="12.8" hidden="false" customHeight="false" outlineLevel="0" collapsed="false">
      <c r="A6" s="0" t="n">
        <v>1</v>
      </c>
      <c r="B6" s="0" t="n">
        <v>6</v>
      </c>
      <c r="C6" s="0" t="n">
        <v>261</v>
      </c>
      <c r="D6" s="0" t="s">
        <v>3923</v>
      </c>
      <c r="E6" s="0" t="s">
        <v>3924</v>
      </c>
      <c r="F6" s="0" t="s">
        <v>3926</v>
      </c>
    </row>
    <row r="7" customFormat="false" ht="12.8" hidden="false" customHeight="false" outlineLevel="0" collapsed="false">
      <c r="A7" s="0" t="n">
        <v>1</v>
      </c>
      <c r="B7" s="0" t="n">
        <v>6</v>
      </c>
      <c r="C7" s="0" t="n">
        <v>372</v>
      </c>
      <c r="D7" s="0" t="s">
        <v>3923</v>
      </c>
      <c r="E7" s="0" t="s">
        <v>3924</v>
      </c>
      <c r="F7" s="0" t="s">
        <v>3925</v>
      </c>
    </row>
    <row r="8" customFormat="false" ht="12.8" hidden="false" customHeight="false" outlineLevel="0" collapsed="false">
      <c r="A8" s="0" t="n">
        <v>1</v>
      </c>
      <c r="B8" s="0" t="n">
        <v>6</v>
      </c>
      <c r="C8" s="0" t="n">
        <v>373</v>
      </c>
      <c r="D8" s="0" t="s">
        <v>3923</v>
      </c>
      <c r="E8" s="0" t="s">
        <v>3924</v>
      </c>
      <c r="F8" s="0" t="s">
        <v>3926</v>
      </c>
    </row>
    <row r="9" customFormat="false" ht="12.8" hidden="false" customHeight="false" outlineLevel="0" collapsed="false">
      <c r="A9" s="0" t="n">
        <v>1</v>
      </c>
      <c r="B9" s="0" t="n">
        <v>6</v>
      </c>
      <c r="C9" s="0" t="n">
        <v>479</v>
      </c>
      <c r="D9" s="0" t="s">
        <v>3923</v>
      </c>
      <c r="E9" s="0" t="s">
        <v>3924</v>
      </c>
      <c r="F9" s="0" t="s">
        <v>3925</v>
      </c>
    </row>
    <row r="10" customFormat="false" ht="12.8" hidden="false" customHeight="false" outlineLevel="0" collapsed="false">
      <c r="A10" s="0" t="n">
        <v>1</v>
      </c>
      <c r="B10" s="0" t="n">
        <v>6</v>
      </c>
      <c r="C10" s="0" t="n">
        <v>480</v>
      </c>
      <c r="D10" s="0" t="s">
        <v>3923</v>
      </c>
      <c r="E10" s="0" t="s">
        <v>3924</v>
      </c>
      <c r="F10" s="0" t="s">
        <v>3926</v>
      </c>
    </row>
    <row r="11" customFormat="false" ht="12.8" hidden="false" customHeight="false" outlineLevel="0" collapsed="false">
      <c r="A11" s="0" t="n">
        <v>1</v>
      </c>
      <c r="B11" s="0" t="n">
        <v>6</v>
      </c>
      <c r="C11" s="0" t="n">
        <v>586</v>
      </c>
      <c r="D11" s="0" t="s">
        <v>3923</v>
      </c>
      <c r="E11" s="0" t="s">
        <v>3924</v>
      </c>
      <c r="F11" s="0" t="s">
        <v>3925</v>
      </c>
    </row>
    <row r="12" customFormat="false" ht="12.8" hidden="false" customHeight="false" outlineLevel="0" collapsed="false">
      <c r="A12" s="0" t="n">
        <v>1</v>
      </c>
      <c r="B12" s="0" t="n">
        <v>6</v>
      </c>
      <c r="C12" s="0" t="n">
        <v>587</v>
      </c>
      <c r="D12" s="0" t="s">
        <v>3923</v>
      </c>
      <c r="E12" s="0" t="s">
        <v>3924</v>
      </c>
      <c r="F12" s="0" t="s">
        <v>3926</v>
      </c>
    </row>
    <row r="13" customFormat="false" ht="12.8" hidden="false" customHeight="false" outlineLevel="0" collapsed="false">
      <c r="A13" s="0" t="n">
        <v>1</v>
      </c>
      <c r="B13" s="0" t="n">
        <v>6</v>
      </c>
      <c r="C13" s="0" t="n">
        <v>700</v>
      </c>
      <c r="D13" s="0" t="s">
        <v>3923</v>
      </c>
      <c r="E13" s="0" t="s">
        <v>3924</v>
      </c>
      <c r="F13" s="0" t="s">
        <v>3925</v>
      </c>
    </row>
    <row r="14" customFormat="false" ht="12.8" hidden="false" customHeight="false" outlineLevel="0" collapsed="false">
      <c r="A14" s="0" t="n">
        <v>1</v>
      </c>
      <c r="B14" s="0" t="n">
        <v>6</v>
      </c>
      <c r="C14" s="0" t="n">
        <v>701</v>
      </c>
      <c r="D14" s="0" t="s">
        <v>3923</v>
      </c>
      <c r="E14" s="0" t="s">
        <v>3924</v>
      </c>
      <c r="F14" s="0" t="s">
        <v>3926</v>
      </c>
    </row>
    <row r="15" customFormat="false" ht="12.8" hidden="false" customHeight="false" outlineLevel="0" collapsed="false">
      <c r="A15" s="0" t="n">
        <v>1</v>
      </c>
      <c r="B15" s="0" t="n">
        <v>6</v>
      </c>
      <c r="C15" s="0" t="n">
        <v>811</v>
      </c>
      <c r="D15" s="0" t="s">
        <v>3923</v>
      </c>
      <c r="E15" s="0" t="s">
        <v>3924</v>
      </c>
      <c r="F15" s="0" t="s">
        <v>3925</v>
      </c>
    </row>
    <row r="16" customFormat="false" ht="12.8" hidden="false" customHeight="false" outlineLevel="0" collapsed="false">
      <c r="A16" s="0" t="n">
        <v>1</v>
      </c>
      <c r="B16" s="0" t="n">
        <v>6</v>
      </c>
      <c r="C16" s="0" t="n">
        <v>812</v>
      </c>
      <c r="D16" s="0" t="s">
        <v>3923</v>
      </c>
      <c r="E16" s="0" t="s">
        <v>3924</v>
      </c>
      <c r="F16" s="0" t="s">
        <v>3926</v>
      </c>
    </row>
    <row r="17" customFormat="false" ht="12.8" hidden="false" customHeight="false" outlineLevel="0" collapsed="false">
      <c r="A17" s="0" t="n">
        <v>1</v>
      </c>
      <c r="B17" s="0" t="n">
        <v>6</v>
      </c>
      <c r="C17" s="0" t="n">
        <v>932</v>
      </c>
      <c r="D17" s="0" t="s">
        <v>3923</v>
      </c>
      <c r="E17" s="0" t="s">
        <v>3924</v>
      </c>
      <c r="F17" s="0" t="s">
        <v>3926</v>
      </c>
    </row>
    <row r="18" customFormat="false" ht="12.8" hidden="false" customHeight="false" outlineLevel="0" collapsed="false">
      <c r="A18" s="0" t="n">
        <v>1</v>
      </c>
      <c r="B18" s="0" t="n">
        <v>6</v>
      </c>
      <c r="C18" s="0" t="n">
        <v>1038</v>
      </c>
      <c r="D18" s="0" t="s">
        <v>3923</v>
      </c>
      <c r="E18" s="0" t="s">
        <v>3924</v>
      </c>
      <c r="F18" s="0" t="s">
        <v>3927</v>
      </c>
    </row>
    <row r="19" customFormat="false" ht="12.8" hidden="false" customHeight="false" outlineLevel="0" collapsed="false">
      <c r="A19" s="0" t="n">
        <v>1</v>
      </c>
      <c r="B19" s="0" t="n">
        <v>6</v>
      </c>
      <c r="C19" s="0" t="n">
        <v>1040</v>
      </c>
      <c r="D19" s="0" t="s">
        <v>3923</v>
      </c>
      <c r="E19" s="0" t="s">
        <v>3924</v>
      </c>
      <c r="F19" s="0" t="s">
        <v>3925</v>
      </c>
    </row>
    <row r="20" customFormat="false" ht="12.8" hidden="false" customHeight="false" outlineLevel="0" collapsed="false">
      <c r="A20" s="0" t="n">
        <v>1</v>
      </c>
      <c r="B20" s="0" t="n">
        <v>6</v>
      </c>
      <c r="C20" s="0" t="n">
        <v>1053</v>
      </c>
      <c r="D20" s="0" t="s">
        <v>3923</v>
      </c>
      <c r="E20" s="0" t="s">
        <v>3924</v>
      </c>
      <c r="F20" s="0" t="s">
        <v>3928</v>
      </c>
    </row>
    <row r="21" customFormat="false" ht="12.8" hidden="false" customHeight="false" outlineLevel="0" collapsed="false">
      <c r="A21" s="0" t="n">
        <v>1</v>
      </c>
      <c r="B21" s="0" t="n">
        <v>6</v>
      </c>
      <c r="C21" s="0" t="n">
        <v>1220</v>
      </c>
      <c r="D21" s="0" t="s">
        <v>3923</v>
      </c>
      <c r="E21" s="0" t="s">
        <v>3924</v>
      </c>
      <c r="F21" s="0" t="s">
        <v>3925</v>
      </c>
    </row>
    <row r="22" customFormat="false" ht="12.8" hidden="false" customHeight="false" outlineLevel="0" collapsed="false">
      <c r="A22" s="0" t="n">
        <v>1</v>
      </c>
      <c r="B22" s="0" t="n">
        <v>6</v>
      </c>
      <c r="C22" s="0" t="n">
        <v>1397</v>
      </c>
      <c r="D22" s="0" t="s">
        <v>3923</v>
      </c>
      <c r="E22" s="0" t="s">
        <v>3924</v>
      </c>
      <c r="F22" s="0" t="s">
        <v>3925</v>
      </c>
    </row>
    <row r="23" customFormat="false" ht="12.8" hidden="false" customHeight="false" outlineLevel="0" collapsed="false">
      <c r="A23" s="0" t="n">
        <v>1</v>
      </c>
      <c r="B23" s="0" t="n">
        <v>6</v>
      </c>
      <c r="C23" s="0" t="n">
        <v>1523</v>
      </c>
      <c r="D23" s="0" t="s">
        <v>3923</v>
      </c>
      <c r="E23" s="0" t="s">
        <v>3924</v>
      </c>
      <c r="F23" s="0" t="s">
        <v>3929</v>
      </c>
    </row>
    <row r="24" customFormat="false" ht="12.8" hidden="false" customHeight="false" outlineLevel="0" collapsed="false">
      <c r="A24" s="0" t="n">
        <v>1</v>
      </c>
      <c r="B24" s="0" t="n">
        <v>6</v>
      </c>
      <c r="C24" s="0" t="n">
        <v>1524</v>
      </c>
      <c r="D24" s="0" t="s">
        <v>3923</v>
      </c>
      <c r="E24" s="0" t="s">
        <v>3924</v>
      </c>
      <c r="F24" s="0" t="s">
        <v>3929</v>
      </c>
    </row>
    <row r="25" customFormat="false" ht="12.8" hidden="false" customHeight="false" outlineLevel="0" collapsed="false">
      <c r="A25" s="0" t="n">
        <v>1</v>
      </c>
      <c r="B25" s="0" t="n">
        <v>6</v>
      </c>
      <c r="C25" s="0" t="n">
        <v>1525</v>
      </c>
      <c r="D25" s="0" t="s">
        <v>3923</v>
      </c>
      <c r="E25" s="0" t="s">
        <v>3924</v>
      </c>
      <c r="F25" s="0" t="s">
        <v>3929</v>
      </c>
    </row>
    <row r="26" customFormat="false" ht="12.8" hidden="false" customHeight="false" outlineLevel="0" collapsed="false">
      <c r="A26" s="0" t="n">
        <v>1</v>
      </c>
      <c r="B26" s="0" t="n">
        <v>6</v>
      </c>
      <c r="C26" s="0" t="n">
        <v>1526</v>
      </c>
      <c r="D26" s="0" t="s">
        <v>3923</v>
      </c>
      <c r="E26" s="0" t="s">
        <v>3924</v>
      </c>
      <c r="F26" s="0" t="s">
        <v>3929</v>
      </c>
    </row>
    <row r="27" customFormat="false" ht="12.8" hidden="false" customHeight="false" outlineLevel="0" collapsed="false">
      <c r="A27" s="0" t="n">
        <v>1</v>
      </c>
      <c r="B27" s="0" t="n">
        <v>6</v>
      </c>
      <c r="C27" s="0" t="n">
        <v>1527</v>
      </c>
      <c r="D27" s="0" t="s">
        <v>3923</v>
      </c>
      <c r="E27" s="0" t="s">
        <v>3924</v>
      </c>
      <c r="F27" s="0" t="s">
        <v>3929</v>
      </c>
    </row>
    <row r="28" customFormat="false" ht="12.8" hidden="false" customHeight="false" outlineLevel="0" collapsed="false">
      <c r="A28" s="0" t="n">
        <v>1</v>
      </c>
      <c r="B28" s="0" t="n">
        <v>6</v>
      </c>
      <c r="C28" s="0" t="n">
        <v>1528</v>
      </c>
      <c r="D28" s="0" t="s">
        <v>3923</v>
      </c>
      <c r="E28" s="0" t="s">
        <v>3924</v>
      </c>
      <c r="F28" s="0" t="s">
        <v>3929</v>
      </c>
    </row>
    <row r="29" customFormat="false" ht="12.8" hidden="false" customHeight="false" outlineLevel="0" collapsed="false">
      <c r="A29" s="0" t="n">
        <v>1</v>
      </c>
      <c r="B29" s="0" t="n">
        <v>6</v>
      </c>
      <c r="C29" s="0" t="n">
        <v>1529</v>
      </c>
      <c r="D29" s="0" t="s">
        <v>3923</v>
      </c>
      <c r="E29" s="0" t="s">
        <v>3924</v>
      </c>
      <c r="F29" s="0" t="s">
        <v>3929</v>
      </c>
    </row>
    <row r="30" customFormat="false" ht="12.8" hidden="false" customHeight="false" outlineLevel="0" collapsed="false">
      <c r="A30" s="0" t="n">
        <v>1</v>
      </c>
      <c r="B30" s="0" t="n">
        <v>6</v>
      </c>
      <c r="C30" s="0" t="n">
        <v>1530</v>
      </c>
      <c r="D30" s="0" t="s">
        <v>3923</v>
      </c>
      <c r="E30" s="0" t="s">
        <v>3924</v>
      </c>
      <c r="F30" s="0" t="s">
        <v>3929</v>
      </c>
    </row>
    <row r="31" customFormat="false" ht="12.8" hidden="false" customHeight="false" outlineLevel="0" collapsed="false">
      <c r="A31" s="0" t="n">
        <v>1</v>
      </c>
      <c r="B31" s="0" t="n">
        <v>6</v>
      </c>
      <c r="C31" s="0" t="n">
        <v>1531</v>
      </c>
      <c r="D31" s="0" t="s">
        <v>3923</v>
      </c>
      <c r="E31" s="0" t="s">
        <v>3924</v>
      </c>
      <c r="F31" s="0" t="s">
        <v>3929</v>
      </c>
    </row>
    <row r="32" customFormat="false" ht="12.8" hidden="false" customHeight="false" outlineLevel="0" collapsed="false">
      <c r="A32" s="0" t="n">
        <v>1</v>
      </c>
      <c r="B32" s="0" t="n">
        <v>6</v>
      </c>
      <c r="C32" s="0" t="n">
        <v>1532</v>
      </c>
      <c r="D32" s="0" t="s">
        <v>3923</v>
      </c>
      <c r="E32" s="0" t="s">
        <v>3924</v>
      </c>
      <c r="F32" s="0" t="s">
        <v>3929</v>
      </c>
    </row>
    <row r="33" customFormat="false" ht="12.8" hidden="false" customHeight="false" outlineLevel="0" collapsed="false">
      <c r="A33" s="0" t="n">
        <v>1</v>
      </c>
      <c r="B33" s="0" t="n">
        <v>6</v>
      </c>
      <c r="C33" s="0" t="n">
        <v>1533</v>
      </c>
      <c r="D33" s="0" t="s">
        <v>3923</v>
      </c>
      <c r="E33" s="0" t="s">
        <v>3924</v>
      </c>
      <c r="F33" s="0" t="s">
        <v>3929</v>
      </c>
    </row>
    <row r="34" customFormat="false" ht="12.8" hidden="false" customHeight="false" outlineLevel="0" collapsed="false">
      <c r="A34" s="0" t="n">
        <v>1</v>
      </c>
      <c r="B34" s="0" t="n">
        <v>6</v>
      </c>
      <c r="C34" s="0" t="n">
        <v>1534</v>
      </c>
      <c r="D34" s="0" t="s">
        <v>3923</v>
      </c>
      <c r="E34" s="0" t="s">
        <v>3924</v>
      </c>
      <c r="F34" s="0" t="s">
        <v>3929</v>
      </c>
    </row>
    <row r="35" customFormat="false" ht="12.8" hidden="false" customHeight="false" outlineLevel="0" collapsed="false">
      <c r="A35" s="0" t="n">
        <v>1</v>
      </c>
      <c r="B35" s="0" t="n">
        <v>6</v>
      </c>
      <c r="C35" s="0" t="n">
        <v>1572</v>
      </c>
      <c r="D35" s="0" t="s">
        <v>3923</v>
      </c>
      <c r="E35" s="0" t="s">
        <v>3924</v>
      </c>
      <c r="F35" s="0" t="s">
        <v>3925</v>
      </c>
    </row>
    <row r="36" customFormat="false" ht="12.8" hidden="false" customHeight="false" outlineLevel="0" collapsed="false">
      <c r="A36" s="0" t="n">
        <v>1</v>
      </c>
      <c r="B36" s="0" t="n">
        <v>6</v>
      </c>
      <c r="C36" s="0" t="n">
        <v>1690</v>
      </c>
      <c r="D36" s="0" t="s">
        <v>3923</v>
      </c>
      <c r="E36" s="0" t="s">
        <v>3924</v>
      </c>
      <c r="F36" s="0" t="s">
        <v>3929</v>
      </c>
    </row>
    <row r="37" customFormat="false" ht="12.8" hidden="false" customHeight="false" outlineLevel="0" collapsed="false">
      <c r="A37" s="0" t="n">
        <v>1</v>
      </c>
      <c r="B37" s="0" t="n">
        <v>6</v>
      </c>
      <c r="C37" s="0" t="n">
        <v>1795</v>
      </c>
      <c r="D37" s="0" t="s">
        <v>3923</v>
      </c>
      <c r="E37" s="0" t="s">
        <v>3924</v>
      </c>
      <c r="F37" s="0" t="s">
        <v>3930</v>
      </c>
    </row>
    <row r="38" customFormat="false" ht="12.8" hidden="false" customHeight="false" outlineLevel="0" collapsed="false">
      <c r="A38" s="0" t="n">
        <v>1</v>
      </c>
      <c r="B38" s="0" t="n">
        <v>6</v>
      </c>
      <c r="C38" s="0" t="n">
        <v>1796</v>
      </c>
      <c r="D38" s="0" t="s">
        <v>3923</v>
      </c>
      <c r="E38" s="0" t="s">
        <v>3924</v>
      </c>
      <c r="F38" s="0" t="s">
        <v>3930</v>
      </c>
    </row>
    <row r="39" customFormat="false" ht="12.8" hidden="false" customHeight="false" outlineLevel="0" collapsed="false">
      <c r="A39" s="0" t="n">
        <v>1</v>
      </c>
      <c r="B39" s="0" t="n">
        <v>6</v>
      </c>
      <c r="C39" s="0" t="n">
        <v>1797</v>
      </c>
      <c r="D39" s="0" t="s">
        <v>3923</v>
      </c>
      <c r="E39" s="0" t="s">
        <v>3924</v>
      </c>
      <c r="F39" s="0" t="s">
        <v>3930</v>
      </c>
    </row>
    <row r="40" customFormat="false" ht="12.8" hidden="false" customHeight="false" outlineLevel="0" collapsed="false">
      <c r="A40" s="0" t="n">
        <v>1</v>
      </c>
      <c r="B40" s="0" t="n">
        <v>6</v>
      </c>
      <c r="C40" s="0" t="n">
        <v>1876</v>
      </c>
      <c r="D40" s="0" t="s">
        <v>3923</v>
      </c>
      <c r="E40" s="0" t="s">
        <v>3924</v>
      </c>
      <c r="F40" s="0" t="s">
        <v>3931</v>
      </c>
    </row>
    <row r="41" customFormat="false" ht="12.8" hidden="false" customHeight="false" outlineLevel="0" collapsed="false">
      <c r="A41" s="0" t="n">
        <v>1</v>
      </c>
      <c r="B41" s="0" t="n">
        <v>6</v>
      </c>
      <c r="C41" s="0" t="n">
        <v>1942</v>
      </c>
      <c r="D41" s="0" t="s">
        <v>3923</v>
      </c>
      <c r="E41" s="0" t="s">
        <v>3924</v>
      </c>
      <c r="F41" s="0" t="s">
        <v>3929</v>
      </c>
    </row>
    <row r="42" customFormat="false" ht="12.8" hidden="false" customHeight="false" outlineLevel="0" collapsed="false">
      <c r="A42" s="0" t="n">
        <v>1</v>
      </c>
      <c r="B42" s="0" t="n">
        <v>6</v>
      </c>
      <c r="C42" s="0" t="n">
        <v>1943</v>
      </c>
      <c r="D42" s="0" t="s">
        <v>3923</v>
      </c>
      <c r="E42" s="0" t="s">
        <v>3924</v>
      </c>
      <c r="F42" s="0" t="s">
        <v>3925</v>
      </c>
    </row>
    <row r="43" customFormat="false" ht="12.8" hidden="false" customHeight="false" outlineLevel="0" collapsed="false">
      <c r="A43" s="0" t="n">
        <v>1</v>
      </c>
      <c r="B43" s="0" t="n">
        <v>6</v>
      </c>
      <c r="C43" s="0" t="n">
        <v>2009</v>
      </c>
      <c r="D43" s="0" t="s">
        <v>3923</v>
      </c>
      <c r="E43" s="0" t="s">
        <v>3924</v>
      </c>
      <c r="F43" s="0" t="s">
        <v>3931</v>
      </c>
    </row>
    <row r="44" customFormat="false" ht="12.8" hidden="false" customHeight="false" outlineLevel="0" collapsed="false">
      <c r="A44" s="0" t="n">
        <v>1</v>
      </c>
      <c r="B44" s="0" t="n">
        <v>6</v>
      </c>
      <c r="C44" s="0" t="n">
        <v>2098</v>
      </c>
      <c r="D44" s="0" t="s">
        <v>3923</v>
      </c>
      <c r="E44" s="0" t="s">
        <v>3924</v>
      </c>
      <c r="F44" s="0" t="s">
        <v>3930</v>
      </c>
    </row>
    <row r="45" customFormat="false" ht="12.8" hidden="false" customHeight="false" outlineLevel="0" collapsed="false">
      <c r="A45" s="0" t="n">
        <v>1</v>
      </c>
      <c r="B45" s="0" t="n">
        <v>6</v>
      </c>
      <c r="C45" s="0" t="n">
        <v>2099</v>
      </c>
      <c r="D45" s="0" t="s">
        <v>3923</v>
      </c>
      <c r="E45" s="0" t="s">
        <v>3924</v>
      </c>
      <c r="F45" s="0" t="s">
        <v>3930</v>
      </c>
    </row>
    <row r="46" customFormat="false" ht="12.8" hidden="false" customHeight="false" outlineLevel="0" collapsed="false">
      <c r="A46" s="0" t="n">
        <v>1</v>
      </c>
      <c r="B46" s="0" t="n">
        <v>6</v>
      </c>
      <c r="C46" s="0" t="n">
        <v>2100</v>
      </c>
      <c r="D46" s="0" t="s">
        <v>3923</v>
      </c>
      <c r="E46" s="0" t="s">
        <v>3924</v>
      </c>
      <c r="F46" s="0" t="s">
        <v>3930</v>
      </c>
    </row>
    <row r="47" customFormat="false" ht="12.8" hidden="false" customHeight="false" outlineLevel="0" collapsed="false">
      <c r="A47" s="0" t="n">
        <v>1</v>
      </c>
      <c r="B47" s="0" t="n">
        <v>6</v>
      </c>
      <c r="C47" s="0" t="n">
        <v>2101</v>
      </c>
      <c r="D47" s="0" t="s">
        <v>3923</v>
      </c>
      <c r="E47" s="0" t="s">
        <v>3924</v>
      </c>
      <c r="F47" s="0" t="s">
        <v>3930</v>
      </c>
    </row>
    <row r="48" customFormat="false" ht="12.8" hidden="false" customHeight="false" outlineLevel="0" collapsed="false">
      <c r="A48" s="0" t="n">
        <v>1</v>
      </c>
      <c r="B48" s="0" t="n">
        <v>6</v>
      </c>
      <c r="C48" s="0" t="n">
        <v>2117</v>
      </c>
      <c r="D48" s="0" t="s">
        <v>3923</v>
      </c>
      <c r="E48" s="0" t="s">
        <v>3924</v>
      </c>
      <c r="F48" s="0" t="s">
        <v>3932</v>
      </c>
    </row>
    <row r="49" customFormat="false" ht="12.8" hidden="false" customHeight="false" outlineLevel="0" collapsed="false">
      <c r="A49" s="0" t="n">
        <v>1</v>
      </c>
      <c r="B49" s="0" t="n">
        <v>6</v>
      </c>
      <c r="C49" s="0" t="n">
        <v>2118</v>
      </c>
      <c r="D49" s="0" t="s">
        <v>3923</v>
      </c>
      <c r="E49" s="0" t="s">
        <v>3924</v>
      </c>
      <c r="F49" s="0" t="s">
        <v>3932</v>
      </c>
    </row>
    <row r="50" customFormat="false" ht="12.8" hidden="false" customHeight="false" outlineLevel="0" collapsed="false">
      <c r="A50" s="0" t="n">
        <v>1</v>
      </c>
      <c r="B50" s="0" t="n">
        <v>6</v>
      </c>
      <c r="C50" s="0" t="n">
        <v>2119</v>
      </c>
      <c r="D50" s="0" t="s">
        <v>3923</v>
      </c>
      <c r="E50" s="0" t="s">
        <v>3924</v>
      </c>
      <c r="F50" s="0" t="s">
        <v>3932</v>
      </c>
    </row>
    <row r="51" customFormat="false" ht="12.8" hidden="false" customHeight="false" outlineLevel="0" collapsed="false">
      <c r="A51" s="0" t="n">
        <v>1</v>
      </c>
      <c r="B51" s="0" t="n">
        <v>6</v>
      </c>
      <c r="C51" s="0" t="n">
        <v>2120</v>
      </c>
      <c r="D51" s="0" t="s">
        <v>3923</v>
      </c>
      <c r="E51" s="0" t="s">
        <v>3924</v>
      </c>
      <c r="F51" s="0" t="s">
        <v>3932</v>
      </c>
    </row>
    <row r="52" customFormat="false" ht="12.8" hidden="false" customHeight="false" outlineLevel="0" collapsed="false">
      <c r="A52" s="0" t="n">
        <v>1</v>
      </c>
      <c r="B52" s="0" t="n">
        <v>6</v>
      </c>
      <c r="C52" s="0" t="n">
        <v>2121</v>
      </c>
      <c r="D52" s="0" t="s">
        <v>3923</v>
      </c>
      <c r="E52" s="0" t="s">
        <v>3924</v>
      </c>
      <c r="F52" s="0" t="s">
        <v>3932</v>
      </c>
    </row>
    <row r="53" customFormat="false" ht="12.8" hidden="false" customHeight="false" outlineLevel="0" collapsed="false">
      <c r="A53" s="0" t="n">
        <v>1</v>
      </c>
      <c r="B53" s="0" t="n">
        <v>6</v>
      </c>
      <c r="C53" s="0" t="n">
        <v>2197</v>
      </c>
      <c r="D53" s="0" t="s">
        <v>3923</v>
      </c>
      <c r="E53" s="0" t="s">
        <v>3924</v>
      </c>
      <c r="F53" s="0" t="s">
        <v>3925</v>
      </c>
    </row>
    <row r="54" customFormat="false" ht="12.8" hidden="false" customHeight="false" outlineLevel="0" collapsed="false">
      <c r="A54" s="0" t="n">
        <v>1</v>
      </c>
      <c r="B54" s="0" t="n">
        <v>6</v>
      </c>
      <c r="C54" s="0" t="n">
        <v>2198</v>
      </c>
      <c r="D54" s="0" t="s">
        <v>3923</v>
      </c>
      <c r="E54" s="0" t="s">
        <v>3924</v>
      </c>
      <c r="F54" s="0" t="s">
        <v>3929</v>
      </c>
    </row>
    <row r="55" customFormat="false" ht="12.8" hidden="false" customHeight="false" outlineLevel="0" collapsed="false">
      <c r="A55" s="0" t="n">
        <v>1</v>
      </c>
      <c r="B55" s="0" t="n">
        <v>6</v>
      </c>
      <c r="C55" s="0" t="n">
        <v>2350</v>
      </c>
      <c r="D55" s="0" t="s">
        <v>3923</v>
      </c>
      <c r="E55" s="0" t="s">
        <v>3924</v>
      </c>
      <c r="F55" s="0" t="s">
        <v>3925</v>
      </c>
    </row>
    <row r="56" customFormat="false" ht="12.8" hidden="false" customHeight="false" outlineLevel="0" collapsed="false">
      <c r="A56" s="0" t="n">
        <v>1</v>
      </c>
      <c r="B56" s="0" t="n">
        <v>6</v>
      </c>
      <c r="C56" s="0" t="n">
        <v>2374</v>
      </c>
      <c r="D56" s="0" t="s">
        <v>3923</v>
      </c>
      <c r="E56" s="0" t="s">
        <v>3924</v>
      </c>
      <c r="F56" s="0" t="s">
        <v>3925</v>
      </c>
    </row>
    <row r="57" customFormat="false" ht="12.8" hidden="false" customHeight="false" outlineLevel="0" collapsed="false">
      <c r="A57" s="0" t="n">
        <v>1</v>
      </c>
      <c r="B57" s="0" t="n">
        <v>6</v>
      </c>
      <c r="C57" s="0" t="n">
        <v>2404</v>
      </c>
      <c r="D57" s="0" t="s">
        <v>3923</v>
      </c>
      <c r="E57" s="0" t="s">
        <v>3924</v>
      </c>
      <c r="F57" s="0" t="s">
        <v>3925</v>
      </c>
    </row>
    <row r="58" customFormat="false" ht="12.8" hidden="false" customHeight="false" outlineLevel="0" collapsed="false">
      <c r="A58" s="0" t="n">
        <v>1</v>
      </c>
      <c r="B58" s="0" t="n">
        <v>6</v>
      </c>
      <c r="C58" s="0" t="n">
        <v>2518</v>
      </c>
      <c r="D58" s="0" t="s">
        <v>3923</v>
      </c>
      <c r="E58" s="0" t="s">
        <v>3924</v>
      </c>
      <c r="F58" s="0" t="s">
        <v>3925</v>
      </c>
    </row>
    <row r="59" customFormat="false" ht="12.8" hidden="false" customHeight="false" outlineLevel="0" collapsed="false">
      <c r="A59" s="0" t="n">
        <v>1</v>
      </c>
      <c r="B59" s="0" t="n">
        <v>6</v>
      </c>
      <c r="C59" s="0" t="n">
        <v>2524</v>
      </c>
      <c r="D59" s="0" t="s">
        <v>3923</v>
      </c>
      <c r="E59" s="0" t="s">
        <v>3924</v>
      </c>
      <c r="F59" s="0" t="s">
        <v>3925</v>
      </c>
    </row>
    <row r="60" customFormat="false" ht="12.8" hidden="false" customHeight="false" outlineLevel="0" collapsed="false">
      <c r="A60" s="0" t="n">
        <v>1</v>
      </c>
      <c r="B60" s="0" t="n">
        <v>2303</v>
      </c>
      <c r="C60" s="0" t="n">
        <v>969</v>
      </c>
      <c r="D60" s="0" t="s">
        <v>3923</v>
      </c>
      <c r="E60" s="0" t="s">
        <v>3933</v>
      </c>
      <c r="F60" s="0" t="s">
        <v>3934</v>
      </c>
    </row>
    <row r="61" customFormat="false" ht="12.8" hidden="false" customHeight="false" outlineLevel="0" collapsed="false">
      <c r="A61" s="0" t="n">
        <v>1</v>
      </c>
      <c r="B61" s="0" t="n">
        <v>2303</v>
      </c>
      <c r="C61" s="0" t="n">
        <v>1132</v>
      </c>
      <c r="D61" s="0" t="s">
        <v>3923</v>
      </c>
      <c r="E61" s="0" t="s">
        <v>3933</v>
      </c>
      <c r="F61" s="0" t="s">
        <v>3934</v>
      </c>
    </row>
    <row r="62" customFormat="false" ht="12.8" hidden="false" customHeight="false" outlineLevel="0" collapsed="false">
      <c r="A62" s="0" t="n">
        <v>1</v>
      </c>
      <c r="B62" s="0" t="n">
        <v>2303</v>
      </c>
      <c r="C62" s="0" t="n">
        <v>1133</v>
      </c>
      <c r="D62" s="0" t="s">
        <v>3923</v>
      </c>
      <c r="E62" s="0" t="s">
        <v>3933</v>
      </c>
      <c r="F62" s="0" t="s">
        <v>3934</v>
      </c>
    </row>
    <row r="63" customFormat="false" ht="12.8" hidden="false" customHeight="false" outlineLevel="0" collapsed="false">
      <c r="A63" s="0" t="n">
        <v>1</v>
      </c>
      <c r="B63" s="0" t="n">
        <v>2303</v>
      </c>
      <c r="C63" s="0" t="n">
        <v>1502</v>
      </c>
      <c r="D63" s="0" t="s">
        <v>3923</v>
      </c>
      <c r="E63" s="0" t="s">
        <v>3933</v>
      </c>
      <c r="F63" s="0" t="s">
        <v>3934</v>
      </c>
    </row>
    <row r="64" customFormat="false" ht="12.8" hidden="false" customHeight="false" outlineLevel="0" collapsed="false">
      <c r="A64" s="0" t="n">
        <v>1</v>
      </c>
      <c r="B64" s="0" t="n">
        <v>2303</v>
      </c>
      <c r="C64" s="0" t="n">
        <v>1535</v>
      </c>
      <c r="D64" s="0" t="s">
        <v>3923</v>
      </c>
      <c r="E64" s="0" t="s">
        <v>3933</v>
      </c>
      <c r="F64" s="0" t="s">
        <v>3935</v>
      </c>
    </row>
    <row r="65" customFormat="false" ht="12.8" hidden="false" customHeight="false" outlineLevel="0" collapsed="false">
      <c r="A65" s="0" t="n">
        <v>1</v>
      </c>
      <c r="B65" s="0" t="n">
        <v>2303</v>
      </c>
      <c r="C65" s="0" t="n">
        <v>1536</v>
      </c>
      <c r="D65" s="0" t="s">
        <v>3923</v>
      </c>
      <c r="E65" s="0" t="s">
        <v>3933</v>
      </c>
      <c r="F65" s="0" t="s">
        <v>3935</v>
      </c>
    </row>
    <row r="66" customFormat="false" ht="12.8" hidden="false" customHeight="false" outlineLevel="0" collapsed="false">
      <c r="A66" s="0" t="n">
        <v>1</v>
      </c>
      <c r="B66" s="0" t="n">
        <v>2303</v>
      </c>
      <c r="C66" s="0" t="n">
        <v>1537</v>
      </c>
      <c r="D66" s="0" t="s">
        <v>3923</v>
      </c>
      <c r="E66" s="0" t="s">
        <v>3933</v>
      </c>
      <c r="F66" s="0" t="s">
        <v>3935</v>
      </c>
    </row>
    <row r="67" customFormat="false" ht="12.8" hidden="false" customHeight="false" outlineLevel="0" collapsed="false">
      <c r="A67" s="0" t="n">
        <v>1</v>
      </c>
      <c r="B67" s="0" t="n">
        <v>2303</v>
      </c>
      <c r="C67" s="0" t="n">
        <v>1538</v>
      </c>
      <c r="D67" s="0" t="s">
        <v>3923</v>
      </c>
      <c r="E67" s="0" t="s">
        <v>3933</v>
      </c>
      <c r="F67" s="0" t="s">
        <v>3935</v>
      </c>
    </row>
    <row r="68" customFormat="false" ht="12.8" hidden="false" customHeight="false" outlineLevel="0" collapsed="false">
      <c r="A68" s="0" t="n">
        <v>1</v>
      </c>
      <c r="B68" s="0" t="n">
        <v>2303</v>
      </c>
      <c r="C68" s="0" t="n">
        <v>1539</v>
      </c>
      <c r="D68" s="0" t="s">
        <v>3923</v>
      </c>
      <c r="E68" s="0" t="s">
        <v>3933</v>
      </c>
      <c r="F68" s="0" t="s">
        <v>3935</v>
      </c>
    </row>
    <row r="69" customFormat="false" ht="12.8" hidden="false" customHeight="false" outlineLevel="0" collapsed="false">
      <c r="A69" s="0" t="n">
        <v>1</v>
      </c>
      <c r="B69" s="0" t="n">
        <v>2303</v>
      </c>
      <c r="C69" s="0" t="n">
        <v>1540</v>
      </c>
      <c r="D69" s="0" t="s">
        <v>3923</v>
      </c>
      <c r="E69" s="0" t="s">
        <v>3933</v>
      </c>
      <c r="F69" s="0" t="s">
        <v>3936</v>
      </c>
    </row>
    <row r="70" customFormat="false" ht="12.8" hidden="false" customHeight="false" outlineLevel="0" collapsed="false">
      <c r="A70" s="0" t="n">
        <v>1</v>
      </c>
      <c r="B70" s="0" t="n">
        <v>2303</v>
      </c>
      <c r="C70" s="0" t="n">
        <v>1541</v>
      </c>
      <c r="D70" s="0" t="s">
        <v>3923</v>
      </c>
      <c r="E70" s="0" t="s">
        <v>3933</v>
      </c>
      <c r="F70" s="0" t="s">
        <v>3936</v>
      </c>
    </row>
    <row r="71" customFormat="false" ht="12.8" hidden="false" customHeight="false" outlineLevel="0" collapsed="false">
      <c r="A71" s="0" t="n">
        <v>1</v>
      </c>
      <c r="B71" s="0" t="n">
        <v>2303</v>
      </c>
      <c r="C71" s="0" t="n">
        <v>1542</v>
      </c>
      <c r="D71" s="0" t="s">
        <v>3923</v>
      </c>
      <c r="E71" s="0" t="s">
        <v>3933</v>
      </c>
      <c r="F71" s="0" t="s">
        <v>3936</v>
      </c>
    </row>
    <row r="72" customFormat="false" ht="12.8" hidden="false" customHeight="false" outlineLevel="0" collapsed="false">
      <c r="A72" s="0" t="n">
        <v>1</v>
      </c>
      <c r="B72" s="0" t="n">
        <v>2303</v>
      </c>
      <c r="C72" s="0" t="n">
        <v>1543</v>
      </c>
      <c r="D72" s="0" t="s">
        <v>3923</v>
      </c>
      <c r="E72" s="0" t="s">
        <v>3933</v>
      </c>
      <c r="F72" s="0" t="s">
        <v>3936</v>
      </c>
    </row>
    <row r="73" customFormat="false" ht="12.8" hidden="false" customHeight="false" outlineLevel="0" collapsed="false">
      <c r="A73" s="0" t="n">
        <v>1</v>
      </c>
      <c r="B73" s="0" t="n">
        <v>2303</v>
      </c>
      <c r="C73" s="0" t="n">
        <v>1544</v>
      </c>
      <c r="D73" s="0" t="s">
        <v>3923</v>
      </c>
      <c r="E73" s="0" t="s">
        <v>3933</v>
      </c>
      <c r="F73" s="0" t="s">
        <v>3936</v>
      </c>
    </row>
    <row r="74" customFormat="false" ht="12.8" hidden="false" customHeight="false" outlineLevel="0" collapsed="false">
      <c r="A74" s="0" t="n">
        <v>1</v>
      </c>
      <c r="B74" s="0" t="n">
        <v>2303</v>
      </c>
      <c r="C74" s="0" t="n">
        <v>1545</v>
      </c>
      <c r="D74" s="0" t="s">
        <v>3923</v>
      </c>
      <c r="E74" s="0" t="s">
        <v>3933</v>
      </c>
      <c r="F74" s="0" t="s">
        <v>3937</v>
      </c>
    </row>
    <row r="75" customFormat="false" ht="12.8" hidden="false" customHeight="false" outlineLevel="0" collapsed="false">
      <c r="A75" s="0" t="n">
        <v>1</v>
      </c>
      <c r="B75" s="0" t="n">
        <v>2303</v>
      </c>
      <c r="C75" s="0" t="n">
        <v>1546</v>
      </c>
      <c r="D75" s="0" t="s">
        <v>3923</v>
      </c>
      <c r="E75" s="0" t="s">
        <v>3933</v>
      </c>
      <c r="F75" s="0" t="s">
        <v>3937</v>
      </c>
    </row>
    <row r="76" customFormat="false" ht="12.8" hidden="false" customHeight="false" outlineLevel="0" collapsed="false">
      <c r="A76" s="0" t="n">
        <v>1</v>
      </c>
      <c r="B76" s="0" t="n">
        <v>2303</v>
      </c>
      <c r="C76" s="0" t="n">
        <v>1547</v>
      </c>
      <c r="D76" s="0" t="s">
        <v>3923</v>
      </c>
      <c r="E76" s="0" t="s">
        <v>3933</v>
      </c>
      <c r="F76" s="0" t="s">
        <v>3937</v>
      </c>
    </row>
    <row r="77" customFormat="false" ht="12.8" hidden="false" customHeight="false" outlineLevel="0" collapsed="false">
      <c r="A77" s="0" t="n">
        <v>1</v>
      </c>
      <c r="B77" s="0" t="n">
        <v>2303</v>
      </c>
      <c r="C77" s="0" t="n">
        <v>1548</v>
      </c>
      <c r="D77" s="0" t="s">
        <v>3923</v>
      </c>
      <c r="E77" s="0" t="s">
        <v>3933</v>
      </c>
      <c r="F77" s="0" t="s">
        <v>3937</v>
      </c>
    </row>
    <row r="78" customFormat="false" ht="12.8" hidden="false" customHeight="false" outlineLevel="0" collapsed="false">
      <c r="A78" s="0" t="n">
        <v>1</v>
      </c>
      <c r="B78" s="0" t="n">
        <v>2303</v>
      </c>
      <c r="C78" s="0" t="n">
        <v>1549</v>
      </c>
      <c r="D78" s="0" t="s">
        <v>3923</v>
      </c>
      <c r="E78" s="0" t="s">
        <v>3933</v>
      </c>
      <c r="F78" s="0" t="s">
        <v>3937</v>
      </c>
    </row>
    <row r="79" customFormat="false" ht="12.8" hidden="false" customHeight="false" outlineLevel="0" collapsed="false">
      <c r="A79" s="0" t="n">
        <v>1</v>
      </c>
      <c r="B79" s="0" t="n">
        <v>2303</v>
      </c>
      <c r="C79" s="0" t="n">
        <v>1798</v>
      </c>
      <c r="D79" s="0" t="s">
        <v>3923</v>
      </c>
      <c r="E79" s="0" t="s">
        <v>3933</v>
      </c>
      <c r="F79" s="0" t="s">
        <v>3938</v>
      </c>
    </row>
    <row r="80" customFormat="false" ht="12.8" hidden="false" customHeight="false" outlineLevel="0" collapsed="false">
      <c r="A80" s="0" t="n">
        <v>1</v>
      </c>
      <c r="B80" s="0" t="n">
        <v>2303</v>
      </c>
      <c r="C80" s="0" t="n">
        <v>1799</v>
      </c>
      <c r="D80" s="0" t="s">
        <v>3923</v>
      </c>
      <c r="E80" s="0" t="s">
        <v>3933</v>
      </c>
      <c r="F80" s="0" t="s">
        <v>3938</v>
      </c>
    </row>
    <row r="81" customFormat="false" ht="12.8" hidden="false" customHeight="false" outlineLevel="0" collapsed="false">
      <c r="A81" s="0" t="n">
        <v>1</v>
      </c>
      <c r="B81" s="0" t="n">
        <v>2303</v>
      </c>
      <c r="C81" s="0" t="n">
        <v>1803</v>
      </c>
      <c r="D81" s="0" t="s">
        <v>3923</v>
      </c>
      <c r="E81" s="0" t="s">
        <v>3933</v>
      </c>
      <c r="F81" s="0" t="s">
        <v>3939</v>
      </c>
    </row>
    <row r="82" customFormat="false" ht="12.8" hidden="false" customHeight="false" outlineLevel="0" collapsed="false">
      <c r="A82" s="0" t="n">
        <v>1</v>
      </c>
      <c r="B82" s="0" t="n">
        <v>2303</v>
      </c>
      <c r="C82" s="0" t="n">
        <v>1804</v>
      </c>
      <c r="D82" s="0" t="s">
        <v>3923</v>
      </c>
      <c r="E82" s="0" t="s">
        <v>3933</v>
      </c>
      <c r="F82" s="0" t="s">
        <v>3939</v>
      </c>
    </row>
    <row r="83" customFormat="false" ht="12.8" hidden="false" customHeight="false" outlineLevel="0" collapsed="false">
      <c r="A83" s="0" t="n">
        <v>1</v>
      </c>
      <c r="B83" s="0" t="n">
        <v>2303</v>
      </c>
      <c r="C83" s="0" t="n">
        <v>1805</v>
      </c>
      <c r="D83" s="0" t="s">
        <v>3923</v>
      </c>
      <c r="E83" s="0" t="s">
        <v>3933</v>
      </c>
      <c r="F83" s="0" t="s">
        <v>3939</v>
      </c>
    </row>
    <row r="84" customFormat="false" ht="12.8" hidden="false" customHeight="false" outlineLevel="0" collapsed="false">
      <c r="A84" s="0" t="n">
        <v>1</v>
      </c>
      <c r="B84" s="0" t="n">
        <v>2303</v>
      </c>
      <c r="C84" s="0" t="n">
        <v>1806</v>
      </c>
      <c r="D84" s="0" t="s">
        <v>3923</v>
      </c>
      <c r="E84" s="0" t="s">
        <v>3933</v>
      </c>
      <c r="F84" s="0" t="s">
        <v>3939</v>
      </c>
    </row>
    <row r="85" customFormat="false" ht="12.8" hidden="false" customHeight="false" outlineLevel="0" collapsed="false">
      <c r="A85" s="0" t="n">
        <v>1</v>
      </c>
      <c r="B85" s="0" t="n">
        <v>2303</v>
      </c>
      <c r="C85" s="0" t="n">
        <v>1807</v>
      </c>
      <c r="D85" s="0" t="s">
        <v>3923</v>
      </c>
      <c r="E85" s="0" t="s">
        <v>3933</v>
      </c>
      <c r="F85" s="0" t="s">
        <v>3939</v>
      </c>
    </row>
    <row r="86" customFormat="false" ht="12.8" hidden="false" customHeight="false" outlineLevel="0" collapsed="false">
      <c r="A86" s="0" t="n">
        <v>1</v>
      </c>
      <c r="B86" s="0" t="n">
        <v>2303</v>
      </c>
      <c r="C86" s="0" t="n">
        <v>1808</v>
      </c>
      <c r="D86" s="0" t="s">
        <v>3923</v>
      </c>
      <c r="E86" s="0" t="s">
        <v>3933</v>
      </c>
      <c r="F86" s="0" t="s">
        <v>3939</v>
      </c>
    </row>
    <row r="87" customFormat="false" ht="12.8" hidden="false" customHeight="false" outlineLevel="0" collapsed="false">
      <c r="A87" s="0" t="n">
        <v>1</v>
      </c>
      <c r="B87" s="0" t="n">
        <v>2303</v>
      </c>
      <c r="C87" s="0" t="n">
        <v>2113</v>
      </c>
      <c r="D87" s="0" t="s">
        <v>3923</v>
      </c>
      <c r="E87" s="0" t="s">
        <v>3933</v>
      </c>
      <c r="F87" s="0" t="s">
        <v>3934</v>
      </c>
    </row>
    <row r="88" customFormat="false" ht="12.8" hidden="false" customHeight="false" outlineLevel="0" collapsed="false">
      <c r="A88" s="0" t="n">
        <v>1</v>
      </c>
      <c r="B88" s="0" t="n">
        <v>2303</v>
      </c>
      <c r="C88" s="0" t="n">
        <v>2127</v>
      </c>
      <c r="D88" s="0" t="s">
        <v>3923</v>
      </c>
      <c r="E88" s="0" t="s">
        <v>3933</v>
      </c>
      <c r="F88" s="0" t="s">
        <v>3934</v>
      </c>
    </row>
    <row r="89" customFormat="false" ht="12.8" hidden="false" customHeight="false" outlineLevel="0" collapsed="false">
      <c r="A89" s="0" t="n">
        <v>1</v>
      </c>
      <c r="B89" s="0" t="n">
        <v>2303</v>
      </c>
      <c r="C89" s="0" t="n">
        <v>2128</v>
      </c>
      <c r="D89" s="0" t="s">
        <v>3923</v>
      </c>
      <c r="E89" s="0" t="s">
        <v>3933</v>
      </c>
      <c r="F89" s="0" t="s">
        <v>3934</v>
      </c>
    </row>
    <row r="90" customFormat="false" ht="12.8" hidden="false" customHeight="false" outlineLevel="0" collapsed="false">
      <c r="A90" s="0" t="n">
        <v>1</v>
      </c>
      <c r="B90" s="0" t="n">
        <v>2303</v>
      </c>
      <c r="C90" s="0" t="n">
        <v>2149</v>
      </c>
      <c r="D90" s="0" t="s">
        <v>3923</v>
      </c>
      <c r="E90" s="0" t="s">
        <v>3933</v>
      </c>
      <c r="F90" s="0" t="s">
        <v>3940</v>
      </c>
    </row>
    <row r="91" customFormat="false" ht="12.8" hidden="false" customHeight="false" outlineLevel="0" collapsed="false">
      <c r="A91" s="0" t="n">
        <v>1</v>
      </c>
      <c r="B91" s="0" t="n">
        <v>2303</v>
      </c>
      <c r="C91" s="0" t="n">
        <v>2150</v>
      </c>
      <c r="D91" s="0" t="s">
        <v>3923</v>
      </c>
      <c r="E91" s="0" t="s">
        <v>3933</v>
      </c>
      <c r="F91" s="0" t="s">
        <v>3940</v>
      </c>
    </row>
    <row r="92" customFormat="false" ht="12.8" hidden="false" customHeight="false" outlineLevel="0" collapsed="false">
      <c r="A92" s="0" t="n">
        <v>1</v>
      </c>
      <c r="B92" s="0" t="n">
        <v>2303</v>
      </c>
      <c r="C92" s="0" t="n">
        <v>2151</v>
      </c>
      <c r="D92" s="0" t="s">
        <v>3923</v>
      </c>
      <c r="E92" s="0" t="s">
        <v>3933</v>
      </c>
      <c r="F92" s="0" t="s">
        <v>3940</v>
      </c>
    </row>
    <row r="93" customFormat="false" ht="12.8" hidden="false" customHeight="false" outlineLevel="0" collapsed="false">
      <c r="A93" s="0" t="n">
        <v>1</v>
      </c>
      <c r="B93" s="0" t="n">
        <v>2303</v>
      </c>
      <c r="C93" s="0" t="n">
        <v>2152</v>
      </c>
      <c r="D93" s="0" t="s">
        <v>3923</v>
      </c>
      <c r="E93" s="0" t="s">
        <v>3933</v>
      </c>
      <c r="F93" s="0" t="s">
        <v>3941</v>
      </c>
    </row>
    <row r="94" customFormat="false" ht="12.8" hidden="false" customHeight="false" outlineLevel="0" collapsed="false">
      <c r="A94" s="0" t="n">
        <v>1</v>
      </c>
      <c r="B94" s="0" t="n">
        <v>2303</v>
      </c>
      <c r="C94" s="0" t="n">
        <v>2153</v>
      </c>
      <c r="D94" s="0" t="s">
        <v>3923</v>
      </c>
      <c r="E94" s="0" t="s">
        <v>3933</v>
      </c>
      <c r="F94" s="0" t="s">
        <v>3941</v>
      </c>
    </row>
    <row r="95" customFormat="false" ht="12.8" hidden="false" customHeight="false" outlineLevel="0" collapsed="false">
      <c r="A95" s="0" t="n">
        <v>1</v>
      </c>
      <c r="B95" s="0" t="n">
        <v>2303</v>
      </c>
      <c r="C95" s="0" t="n">
        <v>2154</v>
      </c>
      <c r="D95" s="0" t="s">
        <v>3923</v>
      </c>
      <c r="E95" s="0" t="s">
        <v>3933</v>
      </c>
      <c r="F95" s="0" t="s">
        <v>3941</v>
      </c>
    </row>
    <row r="96" customFormat="false" ht="12.8" hidden="false" customHeight="false" outlineLevel="0" collapsed="false">
      <c r="A96" s="0" t="n">
        <v>1</v>
      </c>
      <c r="B96" s="0" t="n">
        <v>2303</v>
      </c>
      <c r="C96" s="0" t="n">
        <v>2155</v>
      </c>
      <c r="D96" s="0" t="s">
        <v>3923</v>
      </c>
      <c r="E96" s="0" t="s">
        <v>3933</v>
      </c>
      <c r="F96" s="0" t="s">
        <v>3941</v>
      </c>
    </row>
    <row r="97" customFormat="false" ht="12.8" hidden="false" customHeight="false" outlineLevel="0" collapsed="false">
      <c r="A97" s="0" t="n">
        <v>1</v>
      </c>
      <c r="B97" s="0" t="n">
        <v>2303</v>
      </c>
      <c r="C97" s="0" t="n">
        <v>2156</v>
      </c>
      <c r="D97" s="0" t="s">
        <v>3923</v>
      </c>
      <c r="E97" s="0" t="s">
        <v>3933</v>
      </c>
      <c r="F97" s="0" t="s">
        <v>3941</v>
      </c>
    </row>
    <row r="98" customFormat="false" ht="12.8" hidden="false" customHeight="false" outlineLevel="0" collapsed="false">
      <c r="A98" s="0" t="n">
        <v>1</v>
      </c>
      <c r="B98" s="0" t="n">
        <v>2303</v>
      </c>
      <c r="C98" s="0" t="n">
        <v>2191</v>
      </c>
      <c r="D98" s="0" t="s">
        <v>3923</v>
      </c>
      <c r="E98" s="0" t="s">
        <v>3933</v>
      </c>
      <c r="F98" s="0" t="s">
        <v>3940</v>
      </c>
    </row>
    <row r="99" customFormat="false" ht="12.8" hidden="false" customHeight="false" outlineLevel="0" collapsed="false">
      <c r="A99" s="0" t="n">
        <v>1</v>
      </c>
      <c r="B99" s="0" t="n">
        <v>2303</v>
      </c>
      <c r="C99" s="0" t="n">
        <v>2351</v>
      </c>
      <c r="D99" s="0" t="s">
        <v>3923</v>
      </c>
      <c r="E99" s="0" t="s">
        <v>3933</v>
      </c>
      <c r="F99" s="0" t="s">
        <v>3941</v>
      </c>
    </row>
    <row r="100" customFormat="false" ht="12.8" hidden="false" customHeight="false" outlineLevel="0" collapsed="false">
      <c r="A100" s="0" t="n">
        <v>1</v>
      </c>
      <c r="B100" s="0" t="n">
        <v>2303</v>
      </c>
      <c r="C100" s="0" t="n">
        <v>2373</v>
      </c>
      <c r="D100" s="0" t="s">
        <v>3923</v>
      </c>
      <c r="E100" s="0" t="s">
        <v>3933</v>
      </c>
      <c r="F100" s="0" t="s">
        <v>3934</v>
      </c>
    </row>
    <row r="101" customFormat="false" ht="12.8" hidden="false" customHeight="false" outlineLevel="0" collapsed="false">
      <c r="A101" s="0" t="n">
        <v>1</v>
      </c>
      <c r="B101" s="0" t="n">
        <v>2303</v>
      </c>
      <c r="C101" s="0" t="n">
        <v>2510</v>
      </c>
      <c r="D101" s="0" t="s">
        <v>3923</v>
      </c>
      <c r="E101" s="0" t="s">
        <v>3933</v>
      </c>
      <c r="F101" s="0" t="s">
        <v>3941</v>
      </c>
    </row>
    <row r="102" customFormat="false" ht="12.8" hidden="false" customHeight="false" outlineLevel="0" collapsed="false">
      <c r="A102" s="0" t="n">
        <v>1</v>
      </c>
      <c r="B102" s="0" t="n">
        <v>2303</v>
      </c>
      <c r="C102" s="0" t="n">
        <v>2517</v>
      </c>
      <c r="D102" s="0" t="s">
        <v>3923</v>
      </c>
      <c r="E102" s="0" t="s">
        <v>3933</v>
      </c>
      <c r="F102" s="0" t="s">
        <v>3934</v>
      </c>
    </row>
    <row r="103" customFormat="false" ht="12.8" hidden="false" customHeight="false" outlineLevel="0" collapsed="false">
      <c r="A103" s="0" t="n">
        <v>1</v>
      </c>
      <c r="B103" s="0" t="n">
        <v>2303</v>
      </c>
      <c r="C103" s="0" t="n">
        <v>2546</v>
      </c>
      <c r="D103" s="0" t="s">
        <v>3923</v>
      </c>
      <c r="E103" s="0" t="s">
        <v>3933</v>
      </c>
      <c r="F103" s="0" t="s">
        <v>3940</v>
      </c>
    </row>
    <row r="104" customFormat="false" ht="12.8" hidden="false" customHeight="false" outlineLevel="0" collapsed="false">
      <c r="A104" s="0" t="n">
        <v>1</v>
      </c>
      <c r="B104" s="0" t="n">
        <v>2303</v>
      </c>
      <c r="C104" s="0" t="n">
        <v>2547</v>
      </c>
      <c r="D104" s="0" t="s">
        <v>3923</v>
      </c>
      <c r="E104" s="0" t="s">
        <v>3933</v>
      </c>
      <c r="F104" s="0" t="s">
        <v>3940</v>
      </c>
    </row>
    <row r="105" customFormat="false" ht="12.8" hidden="false" customHeight="false" outlineLevel="0" collapsed="false">
      <c r="A105" s="0" t="n">
        <v>1</v>
      </c>
      <c r="B105" s="0" t="n">
        <v>2303</v>
      </c>
      <c r="C105" s="0" t="n">
        <v>2548</v>
      </c>
      <c r="D105" s="0" t="s">
        <v>3923</v>
      </c>
      <c r="E105" s="0" t="s">
        <v>3933</v>
      </c>
      <c r="F105" s="0" t="s">
        <v>3942</v>
      </c>
    </row>
    <row r="106" customFormat="false" ht="12.8" hidden="false" customHeight="false" outlineLevel="0" collapsed="false">
      <c r="A106" s="0" t="n">
        <v>1</v>
      </c>
      <c r="B106" s="0" t="n">
        <v>2303</v>
      </c>
      <c r="C106" s="0" t="n">
        <v>2549</v>
      </c>
      <c r="D106" s="0" t="s">
        <v>3923</v>
      </c>
      <c r="E106" s="0" t="s">
        <v>3933</v>
      </c>
      <c r="F106" s="0" t="s">
        <v>3942</v>
      </c>
    </row>
    <row r="107" customFormat="false" ht="12.8" hidden="false" customHeight="false" outlineLevel="0" collapsed="false">
      <c r="A107" s="0" t="n">
        <v>1</v>
      </c>
      <c r="B107" s="0" t="n">
        <v>2303</v>
      </c>
      <c r="C107" s="0" t="n">
        <v>2550</v>
      </c>
      <c r="D107" s="0" t="s">
        <v>3923</v>
      </c>
      <c r="E107" s="0" t="s">
        <v>3933</v>
      </c>
      <c r="F107" s="0" t="s">
        <v>3942</v>
      </c>
    </row>
    <row r="108" customFormat="false" ht="12.8" hidden="false" customHeight="false" outlineLevel="0" collapsed="false">
      <c r="A108" s="0" t="n">
        <v>1</v>
      </c>
      <c r="B108" s="0" t="n">
        <v>2303</v>
      </c>
      <c r="C108" s="0" t="n">
        <v>2551</v>
      </c>
      <c r="D108" s="0" t="s">
        <v>3923</v>
      </c>
      <c r="E108" s="0" t="s">
        <v>3933</v>
      </c>
      <c r="F108" s="0" t="s">
        <v>3942</v>
      </c>
    </row>
    <row r="109" customFormat="false" ht="12.8" hidden="false" customHeight="false" outlineLevel="0" collapsed="false">
      <c r="A109" s="0" t="n">
        <v>1</v>
      </c>
      <c r="B109" s="0" t="n">
        <v>2303</v>
      </c>
      <c r="C109" s="0" t="n">
        <v>2552</v>
      </c>
      <c r="D109" s="0" t="s">
        <v>3923</v>
      </c>
      <c r="E109" s="0" t="s">
        <v>3933</v>
      </c>
      <c r="F109" s="0" t="s">
        <v>3942</v>
      </c>
    </row>
    <row r="110" customFormat="false" ht="12.8" hidden="false" customHeight="false" outlineLevel="0" collapsed="false">
      <c r="A110" s="0" t="n">
        <v>1</v>
      </c>
      <c r="B110" s="0" t="n">
        <v>2303</v>
      </c>
      <c r="C110" s="0" t="n">
        <v>2553</v>
      </c>
      <c r="D110" s="0" t="s">
        <v>3923</v>
      </c>
      <c r="E110" s="0" t="s">
        <v>3933</v>
      </c>
      <c r="F110" s="0" t="s">
        <v>3942</v>
      </c>
    </row>
    <row r="111" customFormat="false" ht="12.8" hidden="false" customHeight="false" outlineLevel="0" collapsed="false">
      <c r="A111" s="0" t="n">
        <v>1</v>
      </c>
      <c r="B111" s="0" t="n">
        <v>2303</v>
      </c>
      <c r="C111" s="0" t="n">
        <v>2554</v>
      </c>
      <c r="D111" s="0" t="s">
        <v>3923</v>
      </c>
      <c r="E111" s="0" t="s">
        <v>3933</v>
      </c>
      <c r="F111" s="0" t="s">
        <v>3942</v>
      </c>
    </row>
    <row r="112" customFormat="false" ht="12.8" hidden="false" customHeight="false" outlineLevel="0" collapsed="false">
      <c r="A112" s="0" t="n">
        <v>1</v>
      </c>
      <c r="B112" s="0" t="n">
        <v>2303</v>
      </c>
      <c r="C112" s="0" t="n">
        <v>2556</v>
      </c>
      <c r="D112" s="0" t="s">
        <v>3923</v>
      </c>
      <c r="E112" s="0" t="s">
        <v>3933</v>
      </c>
      <c r="F112" s="0" t="s">
        <v>3943</v>
      </c>
    </row>
    <row r="113" customFormat="false" ht="12.8" hidden="false" customHeight="false" outlineLevel="0" collapsed="false">
      <c r="A113" s="0" t="n">
        <v>1</v>
      </c>
      <c r="B113" s="0" t="n">
        <v>2303</v>
      </c>
      <c r="C113" s="0" t="n">
        <v>2557</v>
      </c>
      <c r="D113" s="0" t="s">
        <v>3923</v>
      </c>
      <c r="E113" s="0" t="s">
        <v>3933</v>
      </c>
      <c r="F113" s="0" t="s">
        <v>3943</v>
      </c>
    </row>
    <row r="114" customFormat="false" ht="12.8" hidden="false" customHeight="false" outlineLevel="0" collapsed="false">
      <c r="A114" s="0" t="n">
        <v>1</v>
      </c>
      <c r="B114" s="0" t="n">
        <v>2303</v>
      </c>
      <c r="C114" s="0" t="n">
        <v>2558</v>
      </c>
      <c r="D114" s="0" t="s">
        <v>3923</v>
      </c>
      <c r="E114" s="0" t="s">
        <v>3933</v>
      </c>
      <c r="F114" s="0" t="s">
        <v>3943</v>
      </c>
    </row>
    <row r="115" customFormat="false" ht="12.8" hidden="false" customHeight="false" outlineLevel="0" collapsed="false">
      <c r="A115" s="0" t="n">
        <v>1</v>
      </c>
      <c r="B115" s="0" t="n">
        <v>2303</v>
      </c>
      <c r="C115" s="0" t="n">
        <v>2559</v>
      </c>
      <c r="D115" s="0" t="s">
        <v>3923</v>
      </c>
      <c r="E115" s="0" t="s">
        <v>3933</v>
      </c>
      <c r="F115" s="0" t="s">
        <v>3943</v>
      </c>
    </row>
    <row r="116" customFormat="false" ht="12.8" hidden="false" customHeight="false" outlineLevel="0" collapsed="false">
      <c r="A116" s="0" t="n">
        <v>1</v>
      </c>
      <c r="B116" s="0" t="n">
        <v>2303</v>
      </c>
      <c r="C116" s="0" t="n">
        <v>2560</v>
      </c>
      <c r="D116" s="0" t="s">
        <v>3923</v>
      </c>
      <c r="E116" s="0" t="s">
        <v>3933</v>
      </c>
      <c r="F116" s="0" t="s">
        <v>3944</v>
      </c>
    </row>
    <row r="117" customFormat="false" ht="12.8" hidden="false" customHeight="false" outlineLevel="0" collapsed="false">
      <c r="A117" s="0" t="n">
        <v>1</v>
      </c>
      <c r="B117" s="0" t="n">
        <v>2303</v>
      </c>
      <c r="C117" s="0" t="n">
        <v>2565</v>
      </c>
      <c r="D117" s="0" t="s">
        <v>3923</v>
      </c>
      <c r="E117" s="0" t="s">
        <v>3933</v>
      </c>
      <c r="F117" s="0" t="s">
        <v>3941</v>
      </c>
    </row>
    <row r="118" customFormat="false" ht="12.8" hidden="false" customHeight="false" outlineLevel="0" collapsed="false">
      <c r="A118" s="0" t="n">
        <v>1</v>
      </c>
      <c r="B118" s="0" t="n">
        <v>2303</v>
      </c>
      <c r="C118" s="0" t="n">
        <v>2566</v>
      </c>
      <c r="D118" s="0" t="s">
        <v>3923</v>
      </c>
      <c r="E118" s="0" t="s">
        <v>3933</v>
      </c>
      <c r="F118" s="0" t="s">
        <v>3941</v>
      </c>
    </row>
    <row r="119" customFormat="false" ht="12.8" hidden="false" customHeight="false" outlineLevel="0" collapsed="false">
      <c r="A119" s="0" t="n">
        <v>1</v>
      </c>
      <c r="B119" s="0" t="n">
        <v>2303</v>
      </c>
      <c r="C119" s="0" t="n">
        <v>2586</v>
      </c>
      <c r="D119" s="0" t="s">
        <v>3923</v>
      </c>
      <c r="E119" s="0" t="s">
        <v>3933</v>
      </c>
      <c r="F119" s="0" t="s">
        <v>3945</v>
      </c>
    </row>
    <row r="120" customFormat="false" ht="12.8" hidden="false" customHeight="false" outlineLevel="0" collapsed="false">
      <c r="A120" s="0" t="n">
        <v>1</v>
      </c>
      <c r="B120" s="0" t="n">
        <v>2303</v>
      </c>
      <c r="C120" s="0" t="n">
        <v>2587</v>
      </c>
      <c r="D120" s="0" t="s">
        <v>3923</v>
      </c>
      <c r="E120" s="0" t="s">
        <v>3933</v>
      </c>
      <c r="F120" s="0" t="s">
        <v>3945</v>
      </c>
    </row>
    <row r="121" customFormat="false" ht="12.8" hidden="false" customHeight="false" outlineLevel="0" collapsed="false">
      <c r="A121" s="0" t="n">
        <v>1</v>
      </c>
      <c r="B121" s="0" t="n">
        <v>2303</v>
      </c>
      <c r="C121" s="0" t="n">
        <v>2588</v>
      </c>
      <c r="D121" s="0" t="s">
        <v>3923</v>
      </c>
      <c r="E121" s="0" t="s">
        <v>3933</v>
      </c>
      <c r="F121" s="0" t="s">
        <v>3945</v>
      </c>
    </row>
    <row r="122" customFormat="false" ht="12.8" hidden="false" customHeight="false" outlineLevel="0" collapsed="false">
      <c r="A122" s="0" t="n">
        <v>1</v>
      </c>
      <c r="B122" s="0" t="n">
        <v>2303</v>
      </c>
      <c r="C122" s="0" t="n">
        <v>2589</v>
      </c>
      <c r="D122" s="0" t="s">
        <v>3923</v>
      </c>
      <c r="E122" s="0" t="s">
        <v>3933</v>
      </c>
      <c r="F122" s="0" t="s">
        <v>3945</v>
      </c>
    </row>
    <row r="123" customFormat="false" ht="12.8" hidden="false" customHeight="false" outlineLevel="0" collapsed="false">
      <c r="A123" s="0" t="n">
        <v>1</v>
      </c>
      <c r="B123" s="0" t="n">
        <v>2303</v>
      </c>
      <c r="C123" s="0" t="n">
        <v>2591</v>
      </c>
      <c r="D123" s="0" t="s">
        <v>3923</v>
      </c>
      <c r="E123" s="0" t="s">
        <v>3933</v>
      </c>
      <c r="F123" s="0" t="s">
        <v>3946</v>
      </c>
    </row>
    <row r="124" customFormat="false" ht="12.8" hidden="false" customHeight="false" outlineLevel="0" collapsed="false">
      <c r="A124" s="0" t="n">
        <v>1</v>
      </c>
      <c r="B124" s="0" t="n">
        <v>2303</v>
      </c>
      <c r="C124" s="0" t="n">
        <v>2592</v>
      </c>
      <c r="D124" s="0" t="s">
        <v>3923</v>
      </c>
      <c r="E124" s="0" t="s">
        <v>3933</v>
      </c>
      <c r="F124" s="0" t="s">
        <v>3946</v>
      </c>
    </row>
    <row r="125" customFormat="false" ht="12.8" hidden="false" customHeight="false" outlineLevel="0" collapsed="false">
      <c r="A125" s="0" t="n">
        <v>1</v>
      </c>
      <c r="B125" s="0" t="n">
        <v>2303</v>
      </c>
      <c r="C125" s="0" t="n">
        <v>2593</v>
      </c>
      <c r="D125" s="0" t="s">
        <v>3923</v>
      </c>
      <c r="E125" s="0" t="s">
        <v>3933</v>
      </c>
      <c r="F125" s="0" t="s">
        <v>3946</v>
      </c>
    </row>
    <row r="126" customFormat="false" ht="12.8" hidden="false" customHeight="false" outlineLevel="0" collapsed="false">
      <c r="A126" s="0" t="n">
        <v>1</v>
      </c>
      <c r="B126" s="0" t="n">
        <v>2303</v>
      </c>
      <c r="C126" s="0" t="n">
        <v>2594</v>
      </c>
      <c r="D126" s="0" t="s">
        <v>3923</v>
      </c>
      <c r="E126" s="0" t="s">
        <v>3933</v>
      </c>
      <c r="F126" s="0" t="s">
        <v>3946</v>
      </c>
    </row>
    <row r="127" customFormat="false" ht="12.8" hidden="false" customHeight="false" outlineLevel="0" collapsed="false">
      <c r="A127" s="0" t="n">
        <v>1</v>
      </c>
      <c r="B127" s="0" t="n">
        <v>2303</v>
      </c>
      <c r="C127" s="0" t="n">
        <v>2615</v>
      </c>
      <c r="D127" s="0" t="s">
        <v>3923</v>
      </c>
      <c r="E127" s="0" t="s">
        <v>3933</v>
      </c>
      <c r="F127" s="0" t="s">
        <v>3942</v>
      </c>
    </row>
    <row r="128" customFormat="false" ht="12.8" hidden="false" customHeight="false" outlineLevel="0" collapsed="false">
      <c r="A128" s="0" t="n">
        <v>1</v>
      </c>
      <c r="B128" s="0" t="n">
        <v>2303</v>
      </c>
      <c r="C128" s="0" t="n">
        <v>2616</v>
      </c>
      <c r="D128" s="0" t="s">
        <v>3923</v>
      </c>
      <c r="E128" s="0" t="s">
        <v>3933</v>
      </c>
      <c r="F128" s="0" t="s">
        <v>3942</v>
      </c>
    </row>
    <row r="129" customFormat="false" ht="12.8" hidden="false" customHeight="false" outlineLevel="0" collapsed="false">
      <c r="A129" s="0" t="n">
        <v>1</v>
      </c>
      <c r="B129" s="0" t="n">
        <v>2303</v>
      </c>
      <c r="C129" s="0" t="n">
        <v>2625</v>
      </c>
      <c r="D129" s="0" t="s">
        <v>3923</v>
      </c>
      <c r="E129" s="0" t="s">
        <v>3933</v>
      </c>
      <c r="F129" s="0" t="s">
        <v>3939</v>
      </c>
    </row>
    <row r="130" customFormat="false" ht="12.8" hidden="false" customHeight="false" outlineLevel="0" collapsed="false">
      <c r="A130" s="0" t="n">
        <v>2</v>
      </c>
      <c r="B130" s="0" t="n">
        <v>7</v>
      </c>
      <c r="C130" s="0" t="n">
        <v>19</v>
      </c>
      <c r="D130" s="0" t="s">
        <v>3947</v>
      </c>
      <c r="E130" s="0" t="s">
        <v>3948</v>
      </c>
      <c r="F130" s="0" t="s">
        <v>3949</v>
      </c>
    </row>
    <row r="131" customFormat="false" ht="12.8" hidden="false" customHeight="false" outlineLevel="0" collapsed="false">
      <c r="A131" s="0" t="n">
        <v>2</v>
      </c>
      <c r="B131" s="0" t="n">
        <v>7</v>
      </c>
      <c r="C131" s="0" t="n">
        <v>20</v>
      </c>
      <c r="D131" s="0" t="s">
        <v>3947</v>
      </c>
      <c r="E131" s="0" t="s">
        <v>3948</v>
      </c>
      <c r="F131" s="0" t="s">
        <v>3950</v>
      </c>
    </row>
    <row r="132" customFormat="false" ht="12.8" hidden="false" customHeight="false" outlineLevel="0" collapsed="false">
      <c r="A132" s="0" t="n">
        <v>2</v>
      </c>
      <c r="B132" s="0" t="n">
        <v>7</v>
      </c>
      <c r="C132" s="0" t="n">
        <v>21</v>
      </c>
      <c r="D132" s="0" t="s">
        <v>3947</v>
      </c>
      <c r="E132" s="0" t="s">
        <v>3948</v>
      </c>
      <c r="F132" s="0" t="s">
        <v>3951</v>
      </c>
    </row>
    <row r="133" customFormat="false" ht="12.8" hidden="false" customHeight="false" outlineLevel="0" collapsed="false">
      <c r="A133" s="0" t="n">
        <v>2</v>
      </c>
      <c r="B133" s="0" t="n">
        <v>7</v>
      </c>
      <c r="C133" s="0" t="n">
        <v>22</v>
      </c>
      <c r="D133" s="0" t="s">
        <v>3947</v>
      </c>
      <c r="E133" s="0" t="s">
        <v>3948</v>
      </c>
      <c r="F133" s="0" t="s">
        <v>3952</v>
      </c>
    </row>
    <row r="134" customFormat="false" ht="12.8" hidden="false" customHeight="false" outlineLevel="0" collapsed="false">
      <c r="A134" s="0" t="n">
        <v>2</v>
      </c>
      <c r="B134" s="0" t="n">
        <v>7</v>
      </c>
      <c r="C134" s="0" t="n">
        <v>23</v>
      </c>
      <c r="D134" s="0" t="s">
        <v>3947</v>
      </c>
      <c r="E134" s="0" t="s">
        <v>3948</v>
      </c>
      <c r="F134" s="0" t="s">
        <v>3953</v>
      </c>
    </row>
    <row r="135" customFormat="false" ht="12.8" hidden="false" customHeight="false" outlineLevel="0" collapsed="false">
      <c r="A135" s="0" t="n">
        <v>2</v>
      </c>
      <c r="B135" s="0" t="n">
        <v>7</v>
      </c>
      <c r="C135" s="0" t="n">
        <v>24</v>
      </c>
      <c r="D135" s="0" t="s">
        <v>3947</v>
      </c>
      <c r="E135" s="0" t="s">
        <v>3948</v>
      </c>
      <c r="F135" s="0" t="s">
        <v>3954</v>
      </c>
    </row>
    <row r="136" customFormat="false" ht="12.8" hidden="false" customHeight="false" outlineLevel="0" collapsed="false">
      <c r="A136" s="0" t="n">
        <v>2</v>
      </c>
      <c r="B136" s="0" t="n">
        <v>7</v>
      </c>
      <c r="C136" s="0" t="n">
        <v>25</v>
      </c>
      <c r="D136" s="0" t="s">
        <v>3947</v>
      </c>
      <c r="E136" s="0" t="s">
        <v>3948</v>
      </c>
      <c r="F136" s="0" t="s">
        <v>3955</v>
      </c>
    </row>
    <row r="137" customFormat="false" ht="12.8" hidden="false" customHeight="false" outlineLevel="0" collapsed="false">
      <c r="A137" s="0" t="n">
        <v>2</v>
      </c>
      <c r="B137" s="0" t="n">
        <v>7</v>
      </c>
      <c r="C137" s="0" t="n">
        <v>26</v>
      </c>
      <c r="D137" s="0" t="s">
        <v>3947</v>
      </c>
      <c r="E137" s="0" t="s">
        <v>3948</v>
      </c>
      <c r="F137" s="0" t="s">
        <v>3956</v>
      </c>
    </row>
    <row r="138" customFormat="false" ht="12.8" hidden="false" customHeight="false" outlineLevel="0" collapsed="false">
      <c r="A138" s="0" t="n">
        <v>2</v>
      </c>
      <c r="B138" s="0" t="n">
        <v>7</v>
      </c>
      <c r="C138" s="0" t="n">
        <v>140</v>
      </c>
      <c r="D138" s="0" t="s">
        <v>3947</v>
      </c>
      <c r="E138" s="0" t="s">
        <v>3948</v>
      </c>
      <c r="F138" s="0" t="s">
        <v>3949</v>
      </c>
    </row>
    <row r="139" customFormat="false" ht="12.8" hidden="false" customHeight="false" outlineLevel="0" collapsed="false">
      <c r="A139" s="0" t="n">
        <v>2</v>
      </c>
      <c r="B139" s="0" t="n">
        <v>7</v>
      </c>
      <c r="C139" s="0" t="n">
        <v>141</v>
      </c>
      <c r="D139" s="0" t="s">
        <v>3947</v>
      </c>
      <c r="E139" s="0" t="s">
        <v>3948</v>
      </c>
      <c r="F139" s="0" t="s">
        <v>3950</v>
      </c>
    </row>
    <row r="140" customFormat="false" ht="12.8" hidden="false" customHeight="false" outlineLevel="0" collapsed="false">
      <c r="A140" s="0" t="n">
        <v>2</v>
      </c>
      <c r="B140" s="0" t="n">
        <v>7</v>
      </c>
      <c r="C140" s="0" t="n">
        <v>142</v>
      </c>
      <c r="D140" s="0" t="s">
        <v>3947</v>
      </c>
      <c r="E140" s="0" t="s">
        <v>3948</v>
      </c>
      <c r="F140" s="0" t="s">
        <v>3951</v>
      </c>
    </row>
    <row r="141" customFormat="false" ht="12.8" hidden="false" customHeight="false" outlineLevel="0" collapsed="false">
      <c r="A141" s="0" t="n">
        <v>2</v>
      </c>
      <c r="B141" s="0" t="n">
        <v>7</v>
      </c>
      <c r="C141" s="0" t="n">
        <v>143</v>
      </c>
      <c r="D141" s="0" t="s">
        <v>3947</v>
      </c>
      <c r="E141" s="0" t="s">
        <v>3948</v>
      </c>
      <c r="F141" s="0" t="s">
        <v>3952</v>
      </c>
    </row>
    <row r="142" customFormat="false" ht="12.8" hidden="false" customHeight="false" outlineLevel="0" collapsed="false">
      <c r="A142" s="0" t="n">
        <v>2</v>
      </c>
      <c r="B142" s="0" t="n">
        <v>7</v>
      </c>
      <c r="C142" s="0" t="n">
        <v>144</v>
      </c>
      <c r="D142" s="0" t="s">
        <v>3947</v>
      </c>
      <c r="E142" s="0" t="s">
        <v>3948</v>
      </c>
      <c r="F142" s="0" t="s">
        <v>3953</v>
      </c>
    </row>
    <row r="143" customFormat="false" ht="12.8" hidden="false" customHeight="false" outlineLevel="0" collapsed="false">
      <c r="A143" s="0" t="n">
        <v>2</v>
      </c>
      <c r="B143" s="0" t="n">
        <v>7</v>
      </c>
      <c r="C143" s="0" t="n">
        <v>145</v>
      </c>
      <c r="D143" s="0" t="s">
        <v>3947</v>
      </c>
      <c r="E143" s="0" t="s">
        <v>3948</v>
      </c>
      <c r="F143" s="0" t="s">
        <v>3954</v>
      </c>
    </row>
    <row r="144" customFormat="false" ht="12.8" hidden="false" customHeight="false" outlineLevel="0" collapsed="false">
      <c r="A144" s="0" t="n">
        <v>2</v>
      </c>
      <c r="B144" s="0" t="n">
        <v>7</v>
      </c>
      <c r="C144" s="0" t="n">
        <v>146</v>
      </c>
      <c r="D144" s="0" t="s">
        <v>3947</v>
      </c>
      <c r="E144" s="0" t="s">
        <v>3948</v>
      </c>
      <c r="F144" s="0" t="s">
        <v>3955</v>
      </c>
    </row>
    <row r="145" customFormat="false" ht="12.8" hidden="false" customHeight="false" outlineLevel="0" collapsed="false">
      <c r="A145" s="0" t="n">
        <v>2</v>
      </c>
      <c r="B145" s="0" t="n">
        <v>7</v>
      </c>
      <c r="C145" s="0" t="n">
        <v>147</v>
      </c>
      <c r="D145" s="0" t="s">
        <v>3947</v>
      </c>
      <c r="E145" s="0" t="s">
        <v>3948</v>
      </c>
      <c r="F145" s="0" t="s">
        <v>3957</v>
      </c>
    </row>
    <row r="146" customFormat="false" ht="12.8" hidden="false" customHeight="false" outlineLevel="0" collapsed="false">
      <c r="A146" s="0" t="n">
        <v>2</v>
      </c>
      <c r="B146" s="0" t="n">
        <v>7</v>
      </c>
      <c r="C146" s="0" t="n">
        <v>148</v>
      </c>
      <c r="D146" s="0" t="s">
        <v>3947</v>
      </c>
      <c r="E146" s="0" t="s">
        <v>3948</v>
      </c>
      <c r="F146" s="0" t="s">
        <v>3956</v>
      </c>
    </row>
    <row r="147" customFormat="false" ht="12.8" hidden="false" customHeight="false" outlineLevel="0" collapsed="false">
      <c r="A147" s="0" t="n">
        <v>2</v>
      </c>
      <c r="B147" s="0" t="n">
        <v>7</v>
      </c>
      <c r="C147" s="0" t="n">
        <v>262</v>
      </c>
      <c r="D147" s="0" t="s">
        <v>3947</v>
      </c>
      <c r="E147" s="0" t="s">
        <v>3948</v>
      </c>
      <c r="F147" s="0" t="s">
        <v>3949</v>
      </c>
    </row>
    <row r="148" customFormat="false" ht="12.8" hidden="false" customHeight="false" outlineLevel="0" collapsed="false">
      <c r="A148" s="0" t="n">
        <v>2</v>
      </c>
      <c r="B148" s="0" t="n">
        <v>7</v>
      </c>
      <c r="C148" s="0" t="n">
        <v>263</v>
      </c>
      <c r="D148" s="0" t="s">
        <v>3947</v>
      </c>
      <c r="E148" s="0" t="s">
        <v>3948</v>
      </c>
      <c r="F148" s="0" t="s">
        <v>3950</v>
      </c>
    </row>
    <row r="149" customFormat="false" ht="12.8" hidden="false" customHeight="false" outlineLevel="0" collapsed="false">
      <c r="A149" s="0" t="n">
        <v>2</v>
      </c>
      <c r="B149" s="0" t="n">
        <v>7</v>
      </c>
      <c r="C149" s="0" t="n">
        <v>264</v>
      </c>
      <c r="D149" s="0" t="s">
        <v>3947</v>
      </c>
      <c r="E149" s="0" t="s">
        <v>3948</v>
      </c>
      <c r="F149" s="0" t="s">
        <v>3951</v>
      </c>
    </row>
    <row r="150" customFormat="false" ht="12.8" hidden="false" customHeight="false" outlineLevel="0" collapsed="false">
      <c r="A150" s="0" t="n">
        <v>2</v>
      </c>
      <c r="B150" s="0" t="n">
        <v>7</v>
      </c>
      <c r="C150" s="0" t="n">
        <v>265</v>
      </c>
      <c r="D150" s="0" t="s">
        <v>3947</v>
      </c>
      <c r="E150" s="0" t="s">
        <v>3948</v>
      </c>
      <c r="F150" s="0" t="s">
        <v>3952</v>
      </c>
    </row>
    <row r="151" customFormat="false" ht="12.8" hidden="false" customHeight="false" outlineLevel="0" collapsed="false">
      <c r="A151" s="0" t="n">
        <v>2</v>
      </c>
      <c r="B151" s="0" t="n">
        <v>7</v>
      </c>
      <c r="C151" s="0" t="n">
        <v>266</v>
      </c>
      <c r="D151" s="0" t="s">
        <v>3947</v>
      </c>
      <c r="E151" s="0" t="s">
        <v>3948</v>
      </c>
      <c r="F151" s="0" t="s">
        <v>3953</v>
      </c>
    </row>
    <row r="152" customFormat="false" ht="12.8" hidden="false" customHeight="false" outlineLevel="0" collapsed="false">
      <c r="A152" s="0" t="n">
        <v>2</v>
      </c>
      <c r="B152" s="0" t="n">
        <v>7</v>
      </c>
      <c r="C152" s="0" t="n">
        <v>267</v>
      </c>
      <c r="D152" s="0" t="s">
        <v>3947</v>
      </c>
      <c r="E152" s="0" t="s">
        <v>3948</v>
      </c>
      <c r="F152" s="0" t="s">
        <v>3954</v>
      </c>
    </row>
    <row r="153" customFormat="false" ht="12.8" hidden="false" customHeight="false" outlineLevel="0" collapsed="false">
      <c r="A153" s="0" t="n">
        <v>2</v>
      </c>
      <c r="B153" s="0" t="n">
        <v>7</v>
      </c>
      <c r="C153" s="0" t="n">
        <v>268</v>
      </c>
      <c r="D153" s="0" t="s">
        <v>3947</v>
      </c>
      <c r="E153" s="0" t="s">
        <v>3948</v>
      </c>
      <c r="F153" s="0" t="s">
        <v>3955</v>
      </c>
    </row>
    <row r="154" customFormat="false" ht="12.8" hidden="false" customHeight="false" outlineLevel="0" collapsed="false">
      <c r="A154" s="0" t="n">
        <v>2</v>
      </c>
      <c r="B154" s="0" t="n">
        <v>7</v>
      </c>
      <c r="C154" s="0" t="n">
        <v>269</v>
      </c>
      <c r="D154" s="0" t="s">
        <v>3947</v>
      </c>
      <c r="E154" s="0" t="s">
        <v>3948</v>
      </c>
      <c r="F154" s="0" t="s">
        <v>3957</v>
      </c>
    </row>
    <row r="155" customFormat="false" ht="12.8" hidden="false" customHeight="false" outlineLevel="0" collapsed="false">
      <c r="A155" s="0" t="n">
        <v>2</v>
      </c>
      <c r="B155" s="0" t="n">
        <v>7</v>
      </c>
      <c r="C155" s="0" t="n">
        <v>270</v>
      </c>
      <c r="D155" s="0" t="s">
        <v>3947</v>
      </c>
      <c r="E155" s="0" t="s">
        <v>3948</v>
      </c>
      <c r="F155" s="0" t="s">
        <v>3956</v>
      </c>
    </row>
    <row r="156" customFormat="false" ht="12.8" hidden="false" customHeight="false" outlineLevel="0" collapsed="false">
      <c r="A156" s="0" t="n">
        <v>2</v>
      </c>
      <c r="B156" s="0" t="n">
        <v>7</v>
      </c>
      <c r="C156" s="0" t="n">
        <v>374</v>
      </c>
      <c r="D156" s="0" t="s">
        <v>3947</v>
      </c>
      <c r="E156" s="0" t="s">
        <v>3948</v>
      </c>
      <c r="F156" s="0" t="s">
        <v>3949</v>
      </c>
    </row>
    <row r="157" customFormat="false" ht="12.8" hidden="false" customHeight="false" outlineLevel="0" collapsed="false">
      <c r="A157" s="0" t="n">
        <v>2</v>
      </c>
      <c r="B157" s="0" t="n">
        <v>7</v>
      </c>
      <c r="C157" s="0" t="n">
        <v>375</v>
      </c>
      <c r="D157" s="0" t="s">
        <v>3947</v>
      </c>
      <c r="E157" s="0" t="s">
        <v>3948</v>
      </c>
      <c r="F157" s="0" t="s">
        <v>3950</v>
      </c>
    </row>
    <row r="158" customFormat="false" ht="12.8" hidden="false" customHeight="false" outlineLevel="0" collapsed="false">
      <c r="A158" s="0" t="n">
        <v>2</v>
      </c>
      <c r="B158" s="0" t="n">
        <v>7</v>
      </c>
      <c r="C158" s="0" t="n">
        <v>376</v>
      </c>
      <c r="D158" s="0" t="s">
        <v>3947</v>
      </c>
      <c r="E158" s="0" t="s">
        <v>3948</v>
      </c>
      <c r="F158" s="0" t="s">
        <v>3952</v>
      </c>
    </row>
    <row r="159" customFormat="false" ht="12.8" hidden="false" customHeight="false" outlineLevel="0" collapsed="false">
      <c r="A159" s="0" t="n">
        <v>2</v>
      </c>
      <c r="B159" s="0" t="n">
        <v>7</v>
      </c>
      <c r="C159" s="0" t="n">
        <v>377</v>
      </c>
      <c r="D159" s="0" t="s">
        <v>3947</v>
      </c>
      <c r="E159" s="0" t="s">
        <v>3948</v>
      </c>
      <c r="F159" s="0" t="s">
        <v>3953</v>
      </c>
    </row>
    <row r="160" customFormat="false" ht="12.8" hidden="false" customHeight="false" outlineLevel="0" collapsed="false">
      <c r="A160" s="0" t="n">
        <v>2</v>
      </c>
      <c r="B160" s="0" t="n">
        <v>7</v>
      </c>
      <c r="C160" s="0" t="n">
        <v>378</v>
      </c>
      <c r="D160" s="0" t="s">
        <v>3947</v>
      </c>
      <c r="E160" s="0" t="s">
        <v>3948</v>
      </c>
      <c r="F160" s="0" t="s">
        <v>3954</v>
      </c>
    </row>
    <row r="161" customFormat="false" ht="12.8" hidden="false" customHeight="false" outlineLevel="0" collapsed="false">
      <c r="A161" s="0" t="n">
        <v>2</v>
      </c>
      <c r="B161" s="0" t="n">
        <v>7</v>
      </c>
      <c r="C161" s="0" t="n">
        <v>379</v>
      </c>
      <c r="D161" s="0" t="s">
        <v>3947</v>
      </c>
      <c r="E161" s="0" t="s">
        <v>3948</v>
      </c>
      <c r="F161" s="0" t="s">
        <v>3955</v>
      </c>
    </row>
    <row r="162" customFormat="false" ht="12.8" hidden="false" customHeight="false" outlineLevel="0" collapsed="false">
      <c r="A162" s="0" t="n">
        <v>2</v>
      </c>
      <c r="B162" s="0" t="n">
        <v>7</v>
      </c>
      <c r="C162" s="0" t="n">
        <v>380</v>
      </c>
      <c r="D162" s="0" t="s">
        <v>3947</v>
      </c>
      <c r="E162" s="0" t="s">
        <v>3948</v>
      </c>
      <c r="F162" s="0" t="s">
        <v>3957</v>
      </c>
    </row>
    <row r="163" customFormat="false" ht="12.8" hidden="false" customHeight="false" outlineLevel="0" collapsed="false">
      <c r="A163" s="0" t="n">
        <v>2</v>
      </c>
      <c r="B163" s="0" t="n">
        <v>7</v>
      </c>
      <c r="C163" s="0" t="n">
        <v>381</v>
      </c>
      <c r="D163" s="0" t="s">
        <v>3947</v>
      </c>
      <c r="E163" s="0" t="s">
        <v>3948</v>
      </c>
      <c r="F163" s="0" t="s">
        <v>3956</v>
      </c>
    </row>
    <row r="164" customFormat="false" ht="12.8" hidden="false" customHeight="false" outlineLevel="0" collapsed="false">
      <c r="A164" s="0" t="n">
        <v>2</v>
      </c>
      <c r="B164" s="0" t="n">
        <v>7</v>
      </c>
      <c r="C164" s="0" t="n">
        <v>481</v>
      </c>
      <c r="D164" s="0" t="s">
        <v>3947</v>
      </c>
      <c r="E164" s="0" t="s">
        <v>3948</v>
      </c>
      <c r="F164" s="0" t="s">
        <v>3949</v>
      </c>
    </row>
    <row r="165" customFormat="false" ht="12.8" hidden="false" customHeight="false" outlineLevel="0" collapsed="false">
      <c r="A165" s="0" t="n">
        <v>2</v>
      </c>
      <c r="B165" s="0" t="n">
        <v>7</v>
      </c>
      <c r="C165" s="0" t="n">
        <v>482</v>
      </c>
      <c r="D165" s="0" t="s">
        <v>3947</v>
      </c>
      <c r="E165" s="0" t="s">
        <v>3948</v>
      </c>
      <c r="F165" s="0" t="s">
        <v>3950</v>
      </c>
    </row>
    <row r="166" customFormat="false" ht="12.8" hidden="false" customHeight="false" outlineLevel="0" collapsed="false">
      <c r="A166" s="0" t="n">
        <v>2</v>
      </c>
      <c r="B166" s="0" t="n">
        <v>7</v>
      </c>
      <c r="C166" s="0" t="n">
        <v>483</v>
      </c>
      <c r="D166" s="0" t="s">
        <v>3947</v>
      </c>
      <c r="E166" s="0" t="s">
        <v>3948</v>
      </c>
      <c r="F166" s="0" t="s">
        <v>3952</v>
      </c>
    </row>
    <row r="167" customFormat="false" ht="12.8" hidden="false" customHeight="false" outlineLevel="0" collapsed="false">
      <c r="A167" s="0" t="n">
        <v>2</v>
      </c>
      <c r="B167" s="0" t="n">
        <v>7</v>
      </c>
      <c r="C167" s="0" t="n">
        <v>484</v>
      </c>
      <c r="D167" s="0" t="s">
        <v>3947</v>
      </c>
      <c r="E167" s="0" t="s">
        <v>3948</v>
      </c>
      <c r="F167" s="0" t="s">
        <v>3953</v>
      </c>
    </row>
    <row r="168" customFormat="false" ht="12.8" hidden="false" customHeight="false" outlineLevel="0" collapsed="false">
      <c r="A168" s="0" t="n">
        <v>2</v>
      </c>
      <c r="B168" s="0" t="n">
        <v>7</v>
      </c>
      <c r="C168" s="0" t="n">
        <v>485</v>
      </c>
      <c r="D168" s="0" t="s">
        <v>3947</v>
      </c>
      <c r="E168" s="0" t="s">
        <v>3948</v>
      </c>
      <c r="F168" s="0" t="s">
        <v>3954</v>
      </c>
    </row>
    <row r="169" customFormat="false" ht="12.8" hidden="false" customHeight="false" outlineLevel="0" collapsed="false">
      <c r="A169" s="0" t="n">
        <v>2</v>
      </c>
      <c r="B169" s="0" t="n">
        <v>7</v>
      </c>
      <c r="C169" s="0" t="n">
        <v>486</v>
      </c>
      <c r="D169" s="0" t="s">
        <v>3947</v>
      </c>
      <c r="E169" s="0" t="s">
        <v>3948</v>
      </c>
      <c r="F169" s="0" t="s">
        <v>3955</v>
      </c>
    </row>
    <row r="170" customFormat="false" ht="12.8" hidden="false" customHeight="false" outlineLevel="0" collapsed="false">
      <c r="A170" s="0" t="n">
        <v>2</v>
      </c>
      <c r="B170" s="0" t="n">
        <v>7</v>
      </c>
      <c r="C170" s="0" t="n">
        <v>487</v>
      </c>
      <c r="D170" s="0" t="s">
        <v>3947</v>
      </c>
      <c r="E170" s="0" t="s">
        <v>3948</v>
      </c>
      <c r="F170" s="0" t="s">
        <v>3957</v>
      </c>
    </row>
    <row r="171" customFormat="false" ht="12.8" hidden="false" customHeight="false" outlineLevel="0" collapsed="false">
      <c r="A171" s="0" t="n">
        <v>2</v>
      </c>
      <c r="B171" s="0" t="n">
        <v>7</v>
      </c>
      <c r="C171" s="0" t="n">
        <v>488</v>
      </c>
      <c r="D171" s="0" t="s">
        <v>3947</v>
      </c>
      <c r="E171" s="0" t="s">
        <v>3948</v>
      </c>
      <c r="F171" s="0" t="s">
        <v>3956</v>
      </c>
    </row>
    <row r="172" customFormat="false" ht="12.8" hidden="false" customHeight="false" outlineLevel="0" collapsed="false">
      <c r="A172" s="0" t="n">
        <v>2</v>
      </c>
      <c r="B172" s="0" t="n">
        <v>7</v>
      </c>
      <c r="C172" s="0" t="n">
        <v>588</v>
      </c>
      <c r="D172" s="0" t="s">
        <v>3947</v>
      </c>
      <c r="E172" s="0" t="s">
        <v>3948</v>
      </c>
      <c r="F172" s="0" t="s">
        <v>3949</v>
      </c>
    </row>
    <row r="173" customFormat="false" ht="12.8" hidden="false" customHeight="false" outlineLevel="0" collapsed="false">
      <c r="A173" s="0" t="n">
        <v>2</v>
      </c>
      <c r="B173" s="0" t="n">
        <v>7</v>
      </c>
      <c r="C173" s="0" t="n">
        <v>589</v>
      </c>
      <c r="D173" s="0" t="s">
        <v>3947</v>
      </c>
      <c r="E173" s="0" t="s">
        <v>3948</v>
      </c>
      <c r="F173" s="0" t="s">
        <v>3950</v>
      </c>
    </row>
    <row r="174" customFormat="false" ht="12.8" hidden="false" customHeight="false" outlineLevel="0" collapsed="false">
      <c r="A174" s="0" t="n">
        <v>2</v>
      </c>
      <c r="B174" s="0" t="n">
        <v>7</v>
      </c>
      <c r="C174" s="0" t="n">
        <v>590</v>
      </c>
      <c r="D174" s="0" t="s">
        <v>3947</v>
      </c>
      <c r="E174" s="0" t="s">
        <v>3948</v>
      </c>
      <c r="F174" s="0" t="s">
        <v>3952</v>
      </c>
    </row>
    <row r="175" customFormat="false" ht="12.8" hidden="false" customHeight="false" outlineLevel="0" collapsed="false">
      <c r="A175" s="0" t="n">
        <v>2</v>
      </c>
      <c r="B175" s="0" t="n">
        <v>7</v>
      </c>
      <c r="C175" s="0" t="n">
        <v>591</v>
      </c>
      <c r="D175" s="0" t="s">
        <v>3947</v>
      </c>
      <c r="E175" s="0" t="s">
        <v>3948</v>
      </c>
      <c r="F175" s="0" t="s">
        <v>3953</v>
      </c>
    </row>
    <row r="176" customFormat="false" ht="12.8" hidden="false" customHeight="false" outlineLevel="0" collapsed="false">
      <c r="A176" s="0" t="n">
        <v>2</v>
      </c>
      <c r="B176" s="0" t="n">
        <v>7</v>
      </c>
      <c r="C176" s="0" t="n">
        <v>592</v>
      </c>
      <c r="D176" s="0" t="s">
        <v>3947</v>
      </c>
      <c r="E176" s="0" t="s">
        <v>3948</v>
      </c>
      <c r="F176" s="0" t="s">
        <v>3954</v>
      </c>
    </row>
    <row r="177" customFormat="false" ht="12.8" hidden="false" customHeight="false" outlineLevel="0" collapsed="false">
      <c r="A177" s="0" t="n">
        <v>2</v>
      </c>
      <c r="B177" s="0" t="n">
        <v>7</v>
      </c>
      <c r="C177" s="0" t="n">
        <v>593</v>
      </c>
      <c r="D177" s="0" t="s">
        <v>3947</v>
      </c>
      <c r="E177" s="0" t="s">
        <v>3948</v>
      </c>
      <c r="F177" s="0" t="s">
        <v>3955</v>
      </c>
    </row>
    <row r="178" customFormat="false" ht="12.8" hidden="false" customHeight="false" outlineLevel="0" collapsed="false">
      <c r="A178" s="0" t="n">
        <v>2</v>
      </c>
      <c r="B178" s="0" t="n">
        <v>7</v>
      </c>
      <c r="C178" s="0" t="n">
        <v>594</v>
      </c>
      <c r="D178" s="0" t="s">
        <v>3947</v>
      </c>
      <c r="E178" s="0" t="s">
        <v>3948</v>
      </c>
      <c r="F178" s="0" t="s">
        <v>3957</v>
      </c>
    </row>
    <row r="179" customFormat="false" ht="12.8" hidden="false" customHeight="false" outlineLevel="0" collapsed="false">
      <c r="A179" s="0" t="n">
        <v>2</v>
      </c>
      <c r="B179" s="0" t="n">
        <v>7</v>
      </c>
      <c r="C179" s="0" t="n">
        <v>595</v>
      </c>
      <c r="D179" s="0" t="s">
        <v>3947</v>
      </c>
      <c r="E179" s="0" t="s">
        <v>3948</v>
      </c>
      <c r="F179" s="0" t="s">
        <v>3956</v>
      </c>
    </row>
    <row r="180" customFormat="false" ht="12.8" hidden="false" customHeight="false" outlineLevel="0" collapsed="false">
      <c r="A180" s="0" t="n">
        <v>2</v>
      </c>
      <c r="B180" s="0" t="n">
        <v>7</v>
      </c>
      <c r="C180" s="0" t="n">
        <v>702</v>
      </c>
      <c r="D180" s="0" t="s">
        <v>3947</v>
      </c>
      <c r="E180" s="0" t="s">
        <v>3948</v>
      </c>
      <c r="F180" s="0" t="s">
        <v>3949</v>
      </c>
    </row>
    <row r="181" customFormat="false" ht="12.8" hidden="false" customHeight="false" outlineLevel="0" collapsed="false">
      <c r="A181" s="0" t="n">
        <v>2</v>
      </c>
      <c r="B181" s="0" t="n">
        <v>7</v>
      </c>
      <c r="C181" s="0" t="n">
        <v>703</v>
      </c>
      <c r="D181" s="0" t="s">
        <v>3947</v>
      </c>
      <c r="E181" s="0" t="s">
        <v>3948</v>
      </c>
      <c r="F181" s="0" t="s">
        <v>3950</v>
      </c>
    </row>
    <row r="182" customFormat="false" ht="12.8" hidden="false" customHeight="false" outlineLevel="0" collapsed="false">
      <c r="A182" s="0" t="n">
        <v>2</v>
      </c>
      <c r="B182" s="0" t="n">
        <v>7</v>
      </c>
      <c r="C182" s="0" t="n">
        <v>704</v>
      </c>
      <c r="D182" s="0" t="s">
        <v>3947</v>
      </c>
      <c r="E182" s="0" t="s">
        <v>3948</v>
      </c>
      <c r="F182" s="0" t="s">
        <v>3952</v>
      </c>
    </row>
    <row r="183" customFormat="false" ht="12.8" hidden="false" customHeight="false" outlineLevel="0" collapsed="false">
      <c r="A183" s="0" t="n">
        <v>2</v>
      </c>
      <c r="B183" s="0" t="n">
        <v>7</v>
      </c>
      <c r="C183" s="0" t="n">
        <v>705</v>
      </c>
      <c r="D183" s="0" t="s">
        <v>3947</v>
      </c>
      <c r="E183" s="0" t="s">
        <v>3948</v>
      </c>
      <c r="F183" s="0" t="s">
        <v>3953</v>
      </c>
    </row>
    <row r="184" customFormat="false" ht="12.8" hidden="false" customHeight="false" outlineLevel="0" collapsed="false">
      <c r="A184" s="0" t="n">
        <v>2</v>
      </c>
      <c r="B184" s="0" t="n">
        <v>7</v>
      </c>
      <c r="C184" s="0" t="n">
        <v>706</v>
      </c>
      <c r="D184" s="0" t="s">
        <v>3947</v>
      </c>
      <c r="E184" s="0" t="s">
        <v>3948</v>
      </c>
      <c r="F184" s="0" t="s">
        <v>3954</v>
      </c>
    </row>
    <row r="185" customFormat="false" ht="12.8" hidden="false" customHeight="false" outlineLevel="0" collapsed="false">
      <c r="A185" s="0" t="n">
        <v>2</v>
      </c>
      <c r="B185" s="0" t="n">
        <v>7</v>
      </c>
      <c r="C185" s="0" t="n">
        <v>707</v>
      </c>
      <c r="D185" s="0" t="s">
        <v>3947</v>
      </c>
      <c r="E185" s="0" t="s">
        <v>3948</v>
      </c>
      <c r="F185" s="0" t="s">
        <v>3955</v>
      </c>
    </row>
    <row r="186" customFormat="false" ht="12.8" hidden="false" customHeight="false" outlineLevel="0" collapsed="false">
      <c r="A186" s="0" t="n">
        <v>2</v>
      </c>
      <c r="B186" s="0" t="n">
        <v>7</v>
      </c>
      <c r="C186" s="0" t="n">
        <v>708</v>
      </c>
      <c r="D186" s="0" t="s">
        <v>3947</v>
      </c>
      <c r="E186" s="0" t="s">
        <v>3948</v>
      </c>
      <c r="F186" s="0" t="s">
        <v>3957</v>
      </c>
    </row>
    <row r="187" customFormat="false" ht="12.8" hidden="false" customHeight="false" outlineLevel="0" collapsed="false">
      <c r="A187" s="0" t="n">
        <v>2</v>
      </c>
      <c r="B187" s="0" t="n">
        <v>7</v>
      </c>
      <c r="C187" s="0" t="n">
        <v>813</v>
      </c>
      <c r="D187" s="0" t="s">
        <v>3947</v>
      </c>
      <c r="E187" s="0" t="s">
        <v>3948</v>
      </c>
      <c r="F187" s="0" t="s">
        <v>3949</v>
      </c>
    </row>
    <row r="188" customFormat="false" ht="12.8" hidden="false" customHeight="false" outlineLevel="0" collapsed="false">
      <c r="A188" s="0" t="n">
        <v>2</v>
      </c>
      <c r="B188" s="0" t="n">
        <v>7</v>
      </c>
      <c r="C188" s="0" t="n">
        <v>814</v>
      </c>
      <c r="D188" s="0" t="s">
        <v>3947</v>
      </c>
      <c r="E188" s="0" t="s">
        <v>3948</v>
      </c>
      <c r="F188" s="0" t="s">
        <v>3950</v>
      </c>
    </row>
    <row r="189" customFormat="false" ht="12.8" hidden="false" customHeight="false" outlineLevel="0" collapsed="false">
      <c r="A189" s="0" t="n">
        <v>2</v>
      </c>
      <c r="B189" s="0" t="n">
        <v>7</v>
      </c>
      <c r="C189" s="0" t="n">
        <v>815</v>
      </c>
      <c r="D189" s="0" t="s">
        <v>3947</v>
      </c>
      <c r="E189" s="0" t="s">
        <v>3948</v>
      </c>
      <c r="F189" s="0" t="s">
        <v>3958</v>
      </c>
    </row>
    <row r="190" customFormat="false" ht="12.8" hidden="false" customHeight="false" outlineLevel="0" collapsed="false">
      <c r="A190" s="0" t="n">
        <v>2</v>
      </c>
      <c r="B190" s="0" t="n">
        <v>7</v>
      </c>
      <c r="C190" s="0" t="n">
        <v>816</v>
      </c>
      <c r="D190" s="0" t="s">
        <v>3947</v>
      </c>
      <c r="E190" s="0" t="s">
        <v>3948</v>
      </c>
      <c r="F190" s="0" t="s">
        <v>3951</v>
      </c>
    </row>
    <row r="191" customFormat="false" ht="12.8" hidden="false" customHeight="false" outlineLevel="0" collapsed="false">
      <c r="A191" s="0" t="n">
        <v>2</v>
      </c>
      <c r="B191" s="0" t="n">
        <v>7</v>
      </c>
      <c r="C191" s="0" t="n">
        <v>817</v>
      </c>
      <c r="D191" s="0" t="s">
        <v>3947</v>
      </c>
      <c r="E191" s="0" t="s">
        <v>3948</v>
      </c>
      <c r="F191" s="0" t="s">
        <v>3952</v>
      </c>
    </row>
    <row r="192" customFormat="false" ht="12.8" hidden="false" customHeight="false" outlineLevel="0" collapsed="false">
      <c r="A192" s="0" t="n">
        <v>2</v>
      </c>
      <c r="B192" s="0" t="n">
        <v>7</v>
      </c>
      <c r="C192" s="0" t="n">
        <v>818</v>
      </c>
      <c r="D192" s="0" t="s">
        <v>3947</v>
      </c>
      <c r="E192" s="0" t="s">
        <v>3948</v>
      </c>
      <c r="F192" s="0" t="s">
        <v>3953</v>
      </c>
    </row>
    <row r="193" customFormat="false" ht="12.8" hidden="false" customHeight="false" outlineLevel="0" collapsed="false">
      <c r="A193" s="0" t="n">
        <v>2</v>
      </c>
      <c r="B193" s="0" t="n">
        <v>7</v>
      </c>
      <c r="C193" s="0" t="n">
        <v>819</v>
      </c>
      <c r="D193" s="0" t="s">
        <v>3947</v>
      </c>
      <c r="E193" s="0" t="s">
        <v>3948</v>
      </c>
      <c r="F193" s="0" t="s">
        <v>3954</v>
      </c>
    </row>
    <row r="194" customFormat="false" ht="12.8" hidden="false" customHeight="false" outlineLevel="0" collapsed="false">
      <c r="A194" s="0" t="n">
        <v>2</v>
      </c>
      <c r="B194" s="0" t="n">
        <v>7</v>
      </c>
      <c r="C194" s="0" t="n">
        <v>820</v>
      </c>
      <c r="D194" s="0" t="s">
        <v>3947</v>
      </c>
      <c r="E194" s="0" t="s">
        <v>3948</v>
      </c>
      <c r="F194" s="0" t="s">
        <v>3955</v>
      </c>
    </row>
    <row r="195" customFormat="false" ht="12.8" hidden="false" customHeight="false" outlineLevel="0" collapsed="false">
      <c r="A195" s="0" t="n">
        <v>2</v>
      </c>
      <c r="B195" s="0" t="n">
        <v>7</v>
      </c>
      <c r="C195" s="0" t="n">
        <v>821</v>
      </c>
      <c r="D195" s="0" t="s">
        <v>3947</v>
      </c>
      <c r="E195" s="0" t="s">
        <v>3948</v>
      </c>
      <c r="F195" s="0" t="s">
        <v>3959</v>
      </c>
    </row>
    <row r="196" customFormat="false" ht="12.8" hidden="false" customHeight="false" outlineLevel="0" collapsed="false">
      <c r="A196" s="0" t="n">
        <v>2</v>
      </c>
      <c r="B196" s="0" t="n">
        <v>7</v>
      </c>
      <c r="C196" s="0" t="n">
        <v>822</v>
      </c>
      <c r="D196" s="0" t="s">
        <v>3947</v>
      </c>
      <c r="E196" s="0" t="s">
        <v>3948</v>
      </c>
      <c r="F196" s="0" t="s">
        <v>3960</v>
      </c>
    </row>
    <row r="197" customFormat="false" ht="12.8" hidden="false" customHeight="false" outlineLevel="0" collapsed="false">
      <c r="A197" s="0" t="n">
        <v>2</v>
      </c>
      <c r="B197" s="0" t="n">
        <v>7</v>
      </c>
      <c r="C197" s="0" t="n">
        <v>823</v>
      </c>
      <c r="D197" s="0" t="s">
        <v>3947</v>
      </c>
      <c r="E197" s="0" t="s">
        <v>3948</v>
      </c>
      <c r="F197" s="0" t="s">
        <v>3957</v>
      </c>
    </row>
    <row r="198" customFormat="false" ht="12.8" hidden="false" customHeight="false" outlineLevel="0" collapsed="false">
      <c r="A198" s="0" t="n">
        <v>2</v>
      </c>
      <c r="B198" s="0" t="n">
        <v>7</v>
      </c>
      <c r="C198" s="0" t="n">
        <v>824</v>
      </c>
      <c r="D198" s="0" t="s">
        <v>3947</v>
      </c>
      <c r="E198" s="0" t="s">
        <v>3948</v>
      </c>
      <c r="F198" s="0" t="s">
        <v>3956</v>
      </c>
    </row>
    <row r="199" customFormat="false" ht="12.8" hidden="false" customHeight="false" outlineLevel="0" collapsed="false">
      <c r="A199" s="0" t="n">
        <v>2</v>
      </c>
      <c r="B199" s="0" t="n">
        <v>7</v>
      </c>
      <c r="C199" s="0" t="n">
        <v>941</v>
      </c>
      <c r="D199" s="0" t="s">
        <v>3947</v>
      </c>
      <c r="E199" s="0" t="s">
        <v>3948</v>
      </c>
      <c r="F199" s="0" t="s">
        <v>3957</v>
      </c>
    </row>
    <row r="200" customFormat="false" ht="12.8" hidden="false" customHeight="false" outlineLevel="0" collapsed="false">
      <c r="A200" s="0" t="n">
        <v>2</v>
      </c>
      <c r="B200" s="0" t="n">
        <v>7</v>
      </c>
      <c r="C200" s="0" t="n">
        <v>997</v>
      </c>
      <c r="D200" s="0" t="s">
        <v>3947</v>
      </c>
      <c r="E200" s="0" t="s">
        <v>3948</v>
      </c>
      <c r="F200" s="0" t="s">
        <v>3949</v>
      </c>
    </row>
    <row r="201" customFormat="false" ht="12.8" hidden="false" customHeight="false" outlineLevel="0" collapsed="false">
      <c r="A201" s="0" t="n">
        <v>2</v>
      </c>
      <c r="B201" s="0" t="n">
        <v>7</v>
      </c>
      <c r="C201" s="0" t="n">
        <v>1008</v>
      </c>
      <c r="D201" s="0" t="s">
        <v>3947</v>
      </c>
      <c r="E201" s="0" t="s">
        <v>3948</v>
      </c>
      <c r="F201" s="0" t="s">
        <v>3956</v>
      </c>
    </row>
    <row r="202" customFormat="false" ht="12.8" hidden="false" customHeight="false" outlineLevel="0" collapsed="false">
      <c r="A202" s="0" t="n">
        <v>2</v>
      </c>
      <c r="B202" s="0" t="n">
        <v>7</v>
      </c>
      <c r="C202" s="0" t="n">
        <v>1009</v>
      </c>
      <c r="D202" s="0" t="s">
        <v>3947</v>
      </c>
      <c r="E202" s="0" t="s">
        <v>3948</v>
      </c>
      <c r="F202" s="0" t="s">
        <v>3956</v>
      </c>
    </row>
    <row r="203" customFormat="false" ht="12.8" hidden="false" customHeight="false" outlineLevel="0" collapsed="false">
      <c r="A203" s="0" t="n">
        <v>2</v>
      </c>
      <c r="B203" s="0" t="n">
        <v>7</v>
      </c>
      <c r="C203" s="0" t="n">
        <v>1024</v>
      </c>
      <c r="D203" s="0" t="s">
        <v>3947</v>
      </c>
      <c r="E203" s="0" t="s">
        <v>3948</v>
      </c>
      <c r="F203" s="0" t="s">
        <v>3961</v>
      </c>
    </row>
    <row r="204" customFormat="false" ht="12.8" hidden="false" customHeight="false" outlineLevel="0" collapsed="false">
      <c r="A204" s="0" t="n">
        <v>2</v>
      </c>
      <c r="B204" s="0" t="n">
        <v>7</v>
      </c>
      <c r="C204" s="0" t="n">
        <v>1025</v>
      </c>
      <c r="D204" s="0" t="s">
        <v>3947</v>
      </c>
      <c r="E204" s="0" t="s">
        <v>3948</v>
      </c>
      <c r="F204" s="0" t="s">
        <v>3961</v>
      </c>
    </row>
    <row r="205" customFormat="false" ht="12.8" hidden="false" customHeight="false" outlineLevel="0" collapsed="false">
      <c r="A205" s="0" t="n">
        <v>2</v>
      </c>
      <c r="B205" s="0" t="n">
        <v>7</v>
      </c>
      <c r="C205" s="0" t="n">
        <v>1026</v>
      </c>
      <c r="D205" s="0" t="s">
        <v>3947</v>
      </c>
      <c r="E205" s="0" t="s">
        <v>3948</v>
      </c>
      <c r="F205" s="0" t="s">
        <v>3962</v>
      </c>
    </row>
    <row r="206" customFormat="false" ht="12.8" hidden="false" customHeight="false" outlineLevel="0" collapsed="false">
      <c r="A206" s="0" t="n">
        <v>2</v>
      </c>
      <c r="B206" s="0" t="n">
        <v>7</v>
      </c>
      <c r="C206" s="0" t="n">
        <v>1129</v>
      </c>
      <c r="D206" s="0" t="s">
        <v>3947</v>
      </c>
      <c r="E206" s="0" t="s">
        <v>3948</v>
      </c>
      <c r="F206" s="0" t="s">
        <v>3963</v>
      </c>
    </row>
    <row r="207" customFormat="false" ht="12.8" hidden="false" customHeight="false" outlineLevel="0" collapsed="false">
      <c r="A207" s="0" t="n">
        <v>2</v>
      </c>
      <c r="B207" s="0" t="n">
        <v>7</v>
      </c>
      <c r="C207" s="0" t="n">
        <v>1166</v>
      </c>
      <c r="D207" s="0" t="s">
        <v>3947</v>
      </c>
      <c r="E207" s="0" t="s">
        <v>3948</v>
      </c>
      <c r="F207" s="0" t="s">
        <v>3951</v>
      </c>
    </row>
    <row r="208" customFormat="false" ht="12.8" hidden="false" customHeight="false" outlineLevel="0" collapsed="false">
      <c r="A208" s="0" t="n">
        <v>2</v>
      </c>
      <c r="B208" s="0" t="n">
        <v>7</v>
      </c>
      <c r="C208" s="0" t="n">
        <v>1167</v>
      </c>
      <c r="D208" s="0" t="s">
        <v>3947</v>
      </c>
      <c r="E208" s="0" t="s">
        <v>3948</v>
      </c>
      <c r="F208" s="0" t="s">
        <v>3951</v>
      </c>
    </row>
    <row r="209" customFormat="false" ht="12.8" hidden="false" customHeight="false" outlineLevel="0" collapsed="false">
      <c r="A209" s="0" t="n">
        <v>2</v>
      </c>
      <c r="B209" s="0" t="n">
        <v>7</v>
      </c>
      <c r="C209" s="0" t="n">
        <v>1168</v>
      </c>
      <c r="D209" s="0" t="s">
        <v>3947</v>
      </c>
      <c r="E209" s="0" t="s">
        <v>3948</v>
      </c>
      <c r="F209" s="0" t="s">
        <v>3952</v>
      </c>
    </row>
    <row r="210" customFormat="false" ht="12.8" hidden="false" customHeight="false" outlineLevel="0" collapsed="false">
      <c r="A210" s="0" t="n">
        <v>2</v>
      </c>
      <c r="B210" s="0" t="n">
        <v>7</v>
      </c>
      <c r="C210" s="0" t="n">
        <v>1216</v>
      </c>
      <c r="D210" s="0" t="s">
        <v>3947</v>
      </c>
      <c r="E210" s="0" t="s">
        <v>3948</v>
      </c>
      <c r="F210" s="0" t="s">
        <v>3955</v>
      </c>
    </row>
    <row r="211" customFormat="false" ht="12.8" hidden="false" customHeight="false" outlineLevel="0" collapsed="false">
      <c r="A211" s="0" t="n">
        <v>2</v>
      </c>
      <c r="B211" s="0" t="n">
        <v>7</v>
      </c>
      <c r="C211" s="0" t="n">
        <v>1218</v>
      </c>
      <c r="D211" s="0" t="s">
        <v>3947</v>
      </c>
      <c r="E211" s="0" t="s">
        <v>3948</v>
      </c>
      <c r="F211" s="0" t="s">
        <v>3949</v>
      </c>
    </row>
    <row r="212" customFormat="false" ht="12.8" hidden="false" customHeight="false" outlineLevel="0" collapsed="false">
      <c r="A212" s="0" t="n">
        <v>2</v>
      </c>
      <c r="B212" s="0" t="n">
        <v>7</v>
      </c>
      <c r="C212" s="0" t="n">
        <v>1289</v>
      </c>
      <c r="D212" s="0" t="s">
        <v>3947</v>
      </c>
      <c r="E212" s="0" t="s">
        <v>3948</v>
      </c>
      <c r="F212" s="0" t="s">
        <v>3951</v>
      </c>
    </row>
    <row r="213" customFormat="false" ht="12.8" hidden="false" customHeight="false" outlineLevel="0" collapsed="false">
      <c r="A213" s="0" t="n">
        <v>2</v>
      </c>
      <c r="B213" s="0" t="n">
        <v>7</v>
      </c>
      <c r="C213" s="0" t="n">
        <v>1290</v>
      </c>
      <c r="D213" s="0" t="s">
        <v>3947</v>
      </c>
      <c r="E213" s="0" t="s">
        <v>3948</v>
      </c>
      <c r="F213" s="0" t="s">
        <v>3952</v>
      </c>
    </row>
    <row r="214" customFormat="false" ht="12.8" hidden="false" customHeight="false" outlineLevel="0" collapsed="false">
      <c r="A214" s="0" t="n">
        <v>2</v>
      </c>
      <c r="B214" s="0" t="n">
        <v>7</v>
      </c>
      <c r="C214" s="0" t="n">
        <v>1291</v>
      </c>
      <c r="D214" s="0" t="s">
        <v>3947</v>
      </c>
      <c r="E214" s="0" t="s">
        <v>3948</v>
      </c>
      <c r="F214" s="0" t="s">
        <v>3956</v>
      </c>
    </row>
    <row r="215" customFormat="false" ht="12.8" hidden="false" customHeight="false" outlineLevel="0" collapsed="false">
      <c r="A215" s="0" t="n">
        <v>2</v>
      </c>
      <c r="B215" s="0" t="n">
        <v>7</v>
      </c>
      <c r="C215" s="0" t="n">
        <v>1322</v>
      </c>
      <c r="D215" s="0" t="s">
        <v>3947</v>
      </c>
      <c r="E215" s="0" t="s">
        <v>3948</v>
      </c>
      <c r="F215" s="0" t="s">
        <v>3962</v>
      </c>
    </row>
    <row r="216" customFormat="false" ht="12.8" hidden="false" customHeight="false" outlineLevel="0" collapsed="false">
      <c r="A216" s="0" t="n">
        <v>2</v>
      </c>
      <c r="B216" s="0" t="n">
        <v>7</v>
      </c>
      <c r="C216" s="0" t="n">
        <v>1392</v>
      </c>
      <c r="D216" s="0" t="s">
        <v>3947</v>
      </c>
      <c r="E216" s="0" t="s">
        <v>3948</v>
      </c>
      <c r="F216" s="0" t="s">
        <v>3956</v>
      </c>
    </row>
    <row r="217" customFormat="false" ht="12.8" hidden="false" customHeight="false" outlineLevel="0" collapsed="false">
      <c r="A217" s="0" t="n">
        <v>2</v>
      </c>
      <c r="B217" s="0" t="n">
        <v>7</v>
      </c>
      <c r="C217" s="0" t="n">
        <v>1394</v>
      </c>
      <c r="D217" s="0" t="s">
        <v>3947</v>
      </c>
      <c r="E217" s="0" t="s">
        <v>3948</v>
      </c>
      <c r="F217" s="0" t="s">
        <v>3949</v>
      </c>
    </row>
    <row r="218" customFormat="false" ht="12.8" hidden="false" customHeight="false" outlineLevel="0" collapsed="false">
      <c r="A218" s="0" t="n">
        <v>2</v>
      </c>
      <c r="B218" s="0" t="n">
        <v>7</v>
      </c>
      <c r="C218" s="0" t="n">
        <v>1481</v>
      </c>
      <c r="D218" s="0" t="s">
        <v>3947</v>
      </c>
      <c r="E218" s="0" t="s">
        <v>3948</v>
      </c>
      <c r="F218" s="0" t="s">
        <v>3955</v>
      </c>
    </row>
    <row r="219" customFormat="false" ht="12.8" hidden="false" customHeight="false" outlineLevel="0" collapsed="false">
      <c r="A219" s="0" t="n">
        <v>2</v>
      </c>
      <c r="B219" s="0" t="n">
        <v>7</v>
      </c>
      <c r="C219" s="0" t="n">
        <v>1482</v>
      </c>
      <c r="D219" s="0" t="s">
        <v>3947</v>
      </c>
      <c r="E219" s="0" t="s">
        <v>3948</v>
      </c>
      <c r="F219" s="0" t="s">
        <v>3951</v>
      </c>
    </row>
    <row r="220" customFormat="false" ht="12.8" hidden="false" customHeight="false" outlineLevel="0" collapsed="false">
      <c r="A220" s="0" t="n">
        <v>2</v>
      </c>
      <c r="B220" s="0" t="n">
        <v>7</v>
      </c>
      <c r="C220" s="0" t="n">
        <v>1483</v>
      </c>
      <c r="D220" s="0" t="s">
        <v>3947</v>
      </c>
      <c r="E220" s="0" t="s">
        <v>3948</v>
      </c>
      <c r="F220" s="0" t="s">
        <v>3952</v>
      </c>
    </row>
    <row r="221" customFormat="false" ht="12.8" hidden="false" customHeight="false" outlineLevel="0" collapsed="false">
      <c r="A221" s="0" t="n">
        <v>2</v>
      </c>
      <c r="B221" s="0" t="n">
        <v>7</v>
      </c>
      <c r="C221" s="0" t="n">
        <v>1494</v>
      </c>
      <c r="D221" s="0" t="s">
        <v>3947</v>
      </c>
      <c r="E221" s="0" t="s">
        <v>3948</v>
      </c>
      <c r="F221" s="0" t="s">
        <v>3961</v>
      </c>
    </row>
    <row r="222" customFormat="false" ht="12.8" hidden="false" customHeight="false" outlineLevel="0" collapsed="false">
      <c r="A222" s="0" t="n">
        <v>2</v>
      </c>
      <c r="B222" s="0" t="n">
        <v>7</v>
      </c>
      <c r="C222" s="0" t="n">
        <v>1514</v>
      </c>
      <c r="D222" s="0" t="s">
        <v>3947</v>
      </c>
      <c r="E222" s="0" t="s">
        <v>3948</v>
      </c>
      <c r="F222" s="0" t="s">
        <v>3963</v>
      </c>
    </row>
    <row r="223" customFormat="false" ht="12.8" hidden="false" customHeight="false" outlineLevel="0" collapsed="false">
      <c r="A223" s="0" t="n">
        <v>2</v>
      </c>
      <c r="B223" s="0" t="n">
        <v>7</v>
      </c>
      <c r="C223" s="0" t="n">
        <v>1515</v>
      </c>
      <c r="D223" s="0" t="s">
        <v>3947</v>
      </c>
      <c r="E223" s="0" t="s">
        <v>3948</v>
      </c>
      <c r="F223" s="0" t="s">
        <v>3963</v>
      </c>
    </row>
    <row r="224" customFormat="false" ht="12.8" hidden="false" customHeight="false" outlineLevel="0" collapsed="false">
      <c r="A224" s="0" t="n">
        <v>2</v>
      </c>
      <c r="B224" s="0" t="n">
        <v>7</v>
      </c>
      <c r="C224" s="0" t="n">
        <v>1516</v>
      </c>
      <c r="D224" s="0" t="s">
        <v>3947</v>
      </c>
      <c r="E224" s="0" t="s">
        <v>3948</v>
      </c>
      <c r="F224" s="0" t="s">
        <v>3963</v>
      </c>
    </row>
    <row r="225" customFormat="false" ht="12.8" hidden="false" customHeight="false" outlineLevel="0" collapsed="false">
      <c r="A225" s="0" t="n">
        <v>2</v>
      </c>
      <c r="B225" s="0" t="n">
        <v>7</v>
      </c>
      <c r="C225" s="0" t="n">
        <v>1517</v>
      </c>
      <c r="D225" s="0" t="s">
        <v>3947</v>
      </c>
      <c r="E225" s="0" t="s">
        <v>3948</v>
      </c>
      <c r="F225" s="0" t="s">
        <v>3963</v>
      </c>
    </row>
    <row r="226" customFormat="false" ht="12.8" hidden="false" customHeight="false" outlineLevel="0" collapsed="false">
      <c r="A226" s="0" t="n">
        <v>2</v>
      </c>
      <c r="B226" s="0" t="n">
        <v>7</v>
      </c>
      <c r="C226" s="0" t="n">
        <v>1518</v>
      </c>
      <c r="D226" s="0" t="s">
        <v>3947</v>
      </c>
      <c r="E226" s="0" t="s">
        <v>3948</v>
      </c>
      <c r="F226" s="0" t="s">
        <v>3963</v>
      </c>
    </row>
    <row r="227" customFormat="false" ht="12.8" hidden="false" customHeight="false" outlineLevel="0" collapsed="false">
      <c r="A227" s="0" t="n">
        <v>2</v>
      </c>
      <c r="B227" s="0" t="n">
        <v>7</v>
      </c>
      <c r="C227" s="0" t="n">
        <v>1519</v>
      </c>
      <c r="D227" s="0" t="s">
        <v>3947</v>
      </c>
      <c r="E227" s="0" t="s">
        <v>3948</v>
      </c>
      <c r="F227" s="0" t="s">
        <v>3963</v>
      </c>
    </row>
    <row r="228" customFormat="false" ht="12.8" hidden="false" customHeight="false" outlineLevel="0" collapsed="false">
      <c r="A228" s="0" t="n">
        <v>2</v>
      </c>
      <c r="B228" s="0" t="n">
        <v>7</v>
      </c>
      <c r="C228" s="0" t="n">
        <v>1520</v>
      </c>
      <c r="D228" s="0" t="s">
        <v>3947</v>
      </c>
      <c r="E228" s="0" t="s">
        <v>3948</v>
      </c>
      <c r="F228" s="0" t="s">
        <v>3963</v>
      </c>
    </row>
    <row r="229" customFormat="false" ht="12.8" hidden="false" customHeight="false" outlineLevel="0" collapsed="false">
      <c r="A229" s="0" t="n">
        <v>2</v>
      </c>
      <c r="B229" s="0" t="n">
        <v>7</v>
      </c>
      <c r="C229" s="0" t="n">
        <v>1521</v>
      </c>
      <c r="D229" s="0" t="s">
        <v>3947</v>
      </c>
      <c r="E229" s="0" t="s">
        <v>3948</v>
      </c>
      <c r="F229" s="0" t="s">
        <v>3963</v>
      </c>
    </row>
    <row r="230" customFormat="false" ht="12.8" hidden="false" customHeight="false" outlineLevel="0" collapsed="false">
      <c r="A230" s="0" t="n">
        <v>2</v>
      </c>
      <c r="B230" s="0" t="n">
        <v>7</v>
      </c>
      <c r="C230" s="0" t="n">
        <v>1522</v>
      </c>
      <c r="D230" s="0" t="s">
        <v>3947</v>
      </c>
      <c r="E230" s="0" t="s">
        <v>3948</v>
      </c>
      <c r="F230" s="0" t="s">
        <v>3963</v>
      </c>
    </row>
    <row r="231" customFormat="false" ht="12.8" hidden="false" customHeight="false" outlineLevel="0" collapsed="false">
      <c r="A231" s="0" t="n">
        <v>2</v>
      </c>
      <c r="B231" s="0" t="n">
        <v>7</v>
      </c>
      <c r="C231" s="0" t="n">
        <v>1568</v>
      </c>
      <c r="D231" s="0" t="s">
        <v>3947</v>
      </c>
      <c r="E231" s="0" t="s">
        <v>3948</v>
      </c>
      <c r="F231" s="0" t="s">
        <v>3955</v>
      </c>
    </row>
    <row r="232" customFormat="false" ht="12.8" hidden="false" customHeight="false" outlineLevel="0" collapsed="false">
      <c r="A232" s="0" t="n">
        <v>2</v>
      </c>
      <c r="B232" s="0" t="n">
        <v>7</v>
      </c>
      <c r="C232" s="0" t="n">
        <v>1570</v>
      </c>
      <c r="D232" s="0" t="s">
        <v>3947</v>
      </c>
      <c r="E232" s="0" t="s">
        <v>3948</v>
      </c>
      <c r="F232" s="0" t="s">
        <v>3949</v>
      </c>
    </row>
    <row r="233" customFormat="false" ht="12.8" hidden="false" customHeight="false" outlineLevel="0" collapsed="false">
      <c r="A233" s="0" t="n">
        <v>2</v>
      </c>
      <c r="B233" s="0" t="n">
        <v>7</v>
      </c>
      <c r="C233" s="0" t="n">
        <v>1637</v>
      </c>
      <c r="D233" s="0" t="s">
        <v>3947</v>
      </c>
      <c r="E233" s="0" t="s">
        <v>3948</v>
      </c>
      <c r="F233" s="0" t="s">
        <v>3951</v>
      </c>
    </row>
    <row r="234" customFormat="false" ht="12.8" hidden="false" customHeight="false" outlineLevel="0" collapsed="false">
      <c r="A234" s="0" t="n">
        <v>2</v>
      </c>
      <c r="B234" s="0" t="n">
        <v>7</v>
      </c>
      <c r="C234" s="0" t="n">
        <v>1638</v>
      </c>
      <c r="D234" s="0" t="s">
        <v>3947</v>
      </c>
      <c r="E234" s="0" t="s">
        <v>3948</v>
      </c>
      <c r="F234" s="0" t="s">
        <v>3952</v>
      </c>
    </row>
    <row r="235" customFormat="false" ht="12.8" hidden="false" customHeight="false" outlineLevel="0" collapsed="false">
      <c r="A235" s="0" t="n">
        <v>2</v>
      </c>
      <c r="B235" s="0" t="n">
        <v>7</v>
      </c>
      <c r="C235" s="0" t="n">
        <v>1639</v>
      </c>
      <c r="D235" s="0" t="s">
        <v>3947</v>
      </c>
      <c r="E235" s="0" t="s">
        <v>3948</v>
      </c>
      <c r="F235" s="0" t="s">
        <v>3956</v>
      </c>
    </row>
    <row r="236" customFormat="false" ht="12.8" hidden="false" customHeight="false" outlineLevel="0" collapsed="false">
      <c r="A236" s="0" t="n">
        <v>2</v>
      </c>
      <c r="B236" s="0" t="n">
        <v>7</v>
      </c>
      <c r="C236" s="0" t="n">
        <v>1670</v>
      </c>
      <c r="D236" s="0" t="s">
        <v>3947</v>
      </c>
      <c r="E236" s="0" t="s">
        <v>3948</v>
      </c>
      <c r="F236" s="0" t="s">
        <v>3962</v>
      </c>
    </row>
    <row r="237" customFormat="false" ht="12.8" hidden="false" customHeight="false" outlineLevel="0" collapsed="false">
      <c r="A237" s="0" t="n">
        <v>2</v>
      </c>
      <c r="B237" s="0" t="n">
        <v>7</v>
      </c>
      <c r="C237" s="0" t="n">
        <v>1708</v>
      </c>
      <c r="D237" s="0" t="s">
        <v>3947</v>
      </c>
      <c r="E237" s="0" t="s">
        <v>3948</v>
      </c>
      <c r="F237" s="0" t="s">
        <v>3964</v>
      </c>
    </row>
    <row r="238" customFormat="false" ht="12.8" hidden="false" customHeight="false" outlineLevel="0" collapsed="false">
      <c r="A238" s="0" t="n">
        <v>2</v>
      </c>
      <c r="B238" s="0" t="n">
        <v>7</v>
      </c>
      <c r="C238" s="0" t="n">
        <v>1725</v>
      </c>
      <c r="D238" s="0" t="s">
        <v>3947</v>
      </c>
      <c r="E238" s="0" t="s">
        <v>3948</v>
      </c>
      <c r="F238" s="0" t="s">
        <v>3965</v>
      </c>
    </row>
    <row r="239" customFormat="false" ht="12.8" hidden="false" customHeight="false" outlineLevel="0" collapsed="false">
      <c r="A239" s="0" t="n">
        <v>2</v>
      </c>
      <c r="B239" s="0" t="n">
        <v>7</v>
      </c>
      <c r="C239" s="0" t="n">
        <v>1726</v>
      </c>
      <c r="D239" s="0" t="s">
        <v>3947</v>
      </c>
      <c r="E239" s="0" t="s">
        <v>3948</v>
      </c>
      <c r="F239" s="0" t="s">
        <v>3965</v>
      </c>
    </row>
    <row r="240" customFormat="false" ht="12.8" hidden="false" customHeight="false" outlineLevel="0" collapsed="false">
      <c r="A240" s="0" t="n">
        <v>2</v>
      </c>
      <c r="B240" s="0" t="n">
        <v>7</v>
      </c>
      <c r="C240" s="0" t="n">
        <v>1727</v>
      </c>
      <c r="D240" s="0" t="s">
        <v>3947</v>
      </c>
      <c r="E240" s="0" t="s">
        <v>3948</v>
      </c>
      <c r="F240" s="0" t="s">
        <v>3965</v>
      </c>
    </row>
    <row r="241" customFormat="false" ht="12.8" hidden="false" customHeight="false" outlineLevel="0" collapsed="false">
      <c r="A241" s="0" t="n">
        <v>2</v>
      </c>
      <c r="B241" s="0" t="n">
        <v>7</v>
      </c>
      <c r="C241" s="0" t="n">
        <v>1728</v>
      </c>
      <c r="D241" s="0" t="s">
        <v>3947</v>
      </c>
      <c r="E241" s="0" t="s">
        <v>3948</v>
      </c>
      <c r="F241" s="0" t="s">
        <v>3965</v>
      </c>
    </row>
    <row r="242" customFormat="false" ht="12.8" hidden="false" customHeight="false" outlineLevel="0" collapsed="false">
      <c r="A242" s="0" t="n">
        <v>2</v>
      </c>
      <c r="B242" s="0" t="n">
        <v>7</v>
      </c>
      <c r="C242" s="0" t="n">
        <v>1729</v>
      </c>
      <c r="D242" s="0" t="s">
        <v>3947</v>
      </c>
      <c r="E242" s="0" t="s">
        <v>3948</v>
      </c>
      <c r="F242" s="0" t="s">
        <v>3965</v>
      </c>
    </row>
    <row r="243" customFormat="false" ht="12.8" hidden="false" customHeight="false" outlineLevel="0" collapsed="false">
      <c r="A243" s="0" t="n">
        <v>2</v>
      </c>
      <c r="B243" s="0" t="n">
        <v>7</v>
      </c>
      <c r="C243" s="0" t="n">
        <v>1730</v>
      </c>
      <c r="D243" s="0" t="s">
        <v>3947</v>
      </c>
      <c r="E243" s="0" t="s">
        <v>3948</v>
      </c>
      <c r="F243" s="0" t="s">
        <v>3965</v>
      </c>
    </row>
    <row r="244" customFormat="false" ht="12.8" hidden="false" customHeight="false" outlineLevel="0" collapsed="false">
      <c r="A244" s="0" t="n">
        <v>2</v>
      </c>
      <c r="B244" s="0" t="n">
        <v>7</v>
      </c>
      <c r="C244" s="0" t="n">
        <v>1731</v>
      </c>
      <c r="D244" s="0" t="s">
        <v>3947</v>
      </c>
      <c r="E244" s="0" t="s">
        <v>3948</v>
      </c>
      <c r="F244" s="0" t="s">
        <v>3965</v>
      </c>
    </row>
    <row r="245" customFormat="false" ht="12.8" hidden="false" customHeight="false" outlineLevel="0" collapsed="false">
      <c r="A245" s="0" t="n">
        <v>2</v>
      </c>
      <c r="B245" s="0" t="n">
        <v>7</v>
      </c>
      <c r="C245" s="0" t="n">
        <v>1732</v>
      </c>
      <c r="D245" s="0" t="s">
        <v>3947</v>
      </c>
      <c r="E245" s="0" t="s">
        <v>3948</v>
      </c>
      <c r="F245" s="0" t="s">
        <v>3965</v>
      </c>
    </row>
    <row r="246" customFormat="false" ht="12.8" hidden="false" customHeight="false" outlineLevel="0" collapsed="false">
      <c r="A246" s="0" t="n">
        <v>2</v>
      </c>
      <c r="B246" s="0" t="n">
        <v>7</v>
      </c>
      <c r="C246" s="0" t="n">
        <v>1733</v>
      </c>
      <c r="D246" s="0" t="s">
        <v>3947</v>
      </c>
      <c r="E246" s="0" t="s">
        <v>3948</v>
      </c>
      <c r="F246" s="0" t="s">
        <v>3965</v>
      </c>
    </row>
    <row r="247" customFormat="false" ht="12.8" hidden="false" customHeight="false" outlineLevel="0" collapsed="false">
      <c r="A247" s="0" t="n">
        <v>2</v>
      </c>
      <c r="B247" s="0" t="n">
        <v>7</v>
      </c>
      <c r="C247" s="0" t="n">
        <v>1734</v>
      </c>
      <c r="D247" s="0" t="s">
        <v>3947</v>
      </c>
      <c r="E247" s="0" t="s">
        <v>3948</v>
      </c>
      <c r="F247" s="0" t="s">
        <v>3965</v>
      </c>
    </row>
    <row r="248" customFormat="false" ht="12.8" hidden="false" customHeight="false" outlineLevel="0" collapsed="false">
      <c r="A248" s="0" t="n">
        <v>2</v>
      </c>
      <c r="B248" s="0" t="n">
        <v>7</v>
      </c>
      <c r="C248" s="0" t="n">
        <v>1735</v>
      </c>
      <c r="D248" s="0" t="s">
        <v>3947</v>
      </c>
      <c r="E248" s="0" t="s">
        <v>3948</v>
      </c>
      <c r="F248" s="0" t="s">
        <v>3965</v>
      </c>
    </row>
    <row r="249" customFormat="false" ht="12.8" hidden="false" customHeight="false" outlineLevel="0" collapsed="false">
      <c r="A249" s="0" t="n">
        <v>2</v>
      </c>
      <c r="B249" s="0" t="n">
        <v>7</v>
      </c>
      <c r="C249" s="0" t="n">
        <v>1736</v>
      </c>
      <c r="D249" s="0" t="s">
        <v>3947</v>
      </c>
      <c r="E249" s="0" t="s">
        <v>3948</v>
      </c>
      <c r="F249" s="0" t="s">
        <v>3965</v>
      </c>
    </row>
    <row r="250" customFormat="false" ht="12.8" hidden="false" customHeight="false" outlineLevel="0" collapsed="false">
      <c r="A250" s="0" t="n">
        <v>2</v>
      </c>
      <c r="B250" s="0" t="n">
        <v>7</v>
      </c>
      <c r="C250" s="0" t="n">
        <v>1881</v>
      </c>
      <c r="D250" s="0" t="s">
        <v>3947</v>
      </c>
      <c r="E250" s="0" t="s">
        <v>3948</v>
      </c>
      <c r="F250" s="0" t="s">
        <v>3955</v>
      </c>
    </row>
    <row r="251" customFormat="false" ht="12.8" hidden="false" customHeight="false" outlineLevel="0" collapsed="false">
      <c r="A251" s="0" t="n">
        <v>2</v>
      </c>
      <c r="B251" s="0" t="n">
        <v>7</v>
      </c>
      <c r="C251" s="0" t="n">
        <v>1946</v>
      </c>
      <c r="D251" s="0" t="s">
        <v>3947</v>
      </c>
      <c r="E251" s="0" t="s">
        <v>3948</v>
      </c>
      <c r="F251" s="0" t="s">
        <v>3949</v>
      </c>
    </row>
    <row r="252" customFormat="false" ht="12.8" hidden="false" customHeight="false" outlineLevel="0" collapsed="false">
      <c r="A252" s="0" t="n">
        <v>2</v>
      </c>
      <c r="B252" s="0" t="n">
        <v>7</v>
      </c>
      <c r="C252" s="0" t="n">
        <v>1953</v>
      </c>
      <c r="D252" s="0" t="s">
        <v>3947</v>
      </c>
      <c r="E252" s="0" t="s">
        <v>3948</v>
      </c>
      <c r="F252" s="0" t="s">
        <v>3951</v>
      </c>
    </row>
    <row r="253" customFormat="false" ht="12.8" hidden="false" customHeight="false" outlineLevel="0" collapsed="false">
      <c r="A253" s="0" t="n">
        <v>2</v>
      </c>
      <c r="B253" s="0" t="n">
        <v>7</v>
      </c>
      <c r="C253" s="0" t="n">
        <v>1954</v>
      </c>
      <c r="D253" s="0" t="s">
        <v>3947</v>
      </c>
      <c r="E253" s="0" t="s">
        <v>3948</v>
      </c>
      <c r="F253" s="0" t="s">
        <v>3952</v>
      </c>
    </row>
    <row r="254" customFormat="false" ht="12.8" hidden="false" customHeight="false" outlineLevel="0" collapsed="false">
      <c r="A254" s="0" t="n">
        <v>2</v>
      </c>
      <c r="B254" s="0" t="n">
        <v>7</v>
      </c>
      <c r="C254" s="0" t="n">
        <v>1955</v>
      </c>
      <c r="D254" s="0" t="s">
        <v>3947</v>
      </c>
      <c r="E254" s="0" t="s">
        <v>3948</v>
      </c>
      <c r="F254" s="0" t="s">
        <v>3956</v>
      </c>
    </row>
    <row r="255" customFormat="false" ht="12.8" hidden="false" customHeight="false" outlineLevel="0" collapsed="false">
      <c r="A255" s="0" t="n">
        <v>2</v>
      </c>
      <c r="B255" s="0" t="n">
        <v>7</v>
      </c>
      <c r="C255" s="0" t="n">
        <v>1980</v>
      </c>
      <c r="D255" s="0" t="s">
        <v>3947</v>
      </c>
      <c r="E255" s="0" t="s">
        <v>3948</v>
      </c>
      <c r="F255" s="0" t="s">
        <v>3962</v>
      </c>
    </row>
    <row r="256" customFormat="false" ht="12.8" hidden="false" customHeight="false" outlineLevel="0" collapsed="false">
      <c r="A256" s="0" t="n">
        <v>2</v>
      </c>
      <c r="B256" s="0" t="n">
        <v>7</v>
      </c>
      <c r="C256" s="0" t="n">
        <v>1994</v>
      </c>
      <c r="D256" s="0" t="s">
        <v>3947</v>
      </c>
      <c r="E256" s="0" t="s">
        <v>3948</v>
      </c>
      <c r="F256" s="0" t="s">
        <v>3963</v>
      </c>
    </row>
    <row r="257" customFormat="false" ht="12.8" hidden="false" customHeight="false" outlineLevel="0" collapsed="false">
      <c r="A257" s="0" t="n">
        <v>2</v>
      </c>
      <c r="B257" s="0" t="n">
        <v>7</v>
      </c>
      <c r="C257" s="0" t="n">
        <v>2004</v>
      </c>
      <c r="D257" s="0" t="s">
        <v>3947</v>
      </c>
      <c r="E257" s="0" t="s">
        <v>3948</v>
      </c>
      <c r="F257" s="0" t="s">
        <v>3965</v>
      </c>
    </row>
    <row r="258" customFormat="false" ht="12.8" hidden="false" customHeight="false" outlineLevel="0" collapsed="false">
      <c r="A258" s="0" t="n">
        <v>2</v>
      </c>
      <c r="B258" s="0" t="n">
        <v>7</v>
      </c>
      <c r="C258" s="0" t="n">
        <v>2031</v>
      </c>
      <c r="D258" s="0" t="s">
        <v>3947</v>
      </c>
      <c r="E258" s="0" t="s">
        <v>3948</v>
      </c>
      <c r="F258" s="0" t="s">
        <v>3960</v>
      </c>
    </row>
    <row r="259" customFormat="false" ht="12.8" hidden="false" customHeight="false" outlineLevel="0" collapsed="false">
      <c r="A259" s="0" t="n">
        <v>2</v>
      </c>
      <c r="B259" s="0" t="n">
        <v>7</v>
      </c>
      <c r="C259" s="0" t="n">
        <v>2062</v>
      </c>
      <c r="D259" s="0" t="s">
        <v>3947</v>
      </c>
      <c r="E259" s="0" t="s">
        <v>3948</v>
      </c>
      <c r="F259" s="0" t="s">
        <v>3961</v>
      </c>
    </row>
    <row r="260" customFormat="false" ht="12.8" hidden="false" customHeight="false" outlineLevel="0" collapsed="false">
      <c r="A260" s="0" t="n">
        <v>2</v>
      </c>
      <c r="B260" s="0" t="n">
        <v>7</v>
      </c>
      <c r="C260" s="0" t="n">
        <v>2063</v>
      </c>
      <c r="D260" s="0" t="s">
        <v>3947</v>
      </c>
      <c r="E260" s="0" t="s">
        <v>3948</v>
      </c>
      <c r="F260" s="0" t="s">
        <v>3961</v>
      </c>
    </row>
    <row r="261" customFormat="false" ht="12.8" hidden="false" customHeight="false" outlineLevel="0" collapsed="false">
      <c r="A261" s="0" t="n">
        <v>2</v>
      </c>
      <c r="B261" s="0" t="n">
        <v>7</v>
      </c>
      <c r="C261" s="0" t="n">
        <v>2064</v>
      </c>
      <c r="D261" s="0" t="s">
        <v>3947</v>
      </c>
      <c r="E261" s="0" t="s">
        <v>3948</v>
      </c>
      <c r="F261" s="0" t="s">
        <v>3961</v>
      </c>
    </row>
    <row r="262" customFormat="false" ht="12.8" hidden="false" customHeight="false" outlineLevel="0" collapsed="false">
      <c r="A262" s="0" t="n">
        <v>2</v>
      </c>
      <c r="B262" s="0" t="n">
        <v>7</v>
      </c>
      <c r="C262" s="0" t="n">
        <v>2087</v>
      </c>
      <c r="D262" s="0" t="s">
        <v>3947</v>
      </c>
      <c r="E262" s="0" t="s">
        <v>3948</v>
      </c>
      <c r="F262" s="0" t="s">
        <v>3952</v>
      </c>
    </row>
    <row r="263" customFormat="false" ht="12.8" hidden="false" customHeight="false" outlineLevel="0" collapsed="false">
      <c r="A263" s="0" t="n">
        <v>2</v>
      </c>
      <c r="B263" s="0" t="n">
        <v>7</v>
      </c>
      <c r="C263" s="0" t="n">
        <v>2088</v>
      </c>
      <c r="D263" s="0" t="s">
        <v>3947</v>
      </c>
      <c r="E263" s="0" t="s">
        <v>3948</v>
      </c>
      <c r="F263" s="0" t="s">
        <v>3952</v>
      </c>
    </row>
    <row r="264" customFormat="false" ht="12.8" hidden="false" customHeight="false" outlineLevel="0" collapsed="false">
      <c r="A264" s="0" t="n">
        <v>2</v>
      </c>
      <c r="B264" s="0" t="n">
        <v>7</v>
      </c>
      <c r="C264" s="0" t="n">
        <v>2089</v>
      </c>
      <c r="D264" s="0" t="s">
        <v>3947</v>
      </c>
      <c r="E264" s="0" t="s">
        <v>3948</v>
      </c>
      <c r="F264" s="0" t="s">
        <v>3952</v>
      </c>
    </row>
    <row r="265" customFormat="false" ht="12.8" hidden="false" customHeight="false" outlineLevel="0" collapsed="false">
      <c r="A265" s="0" t="n">
        <v>2</v>
      </c>
      <c r="B265" s="0" t="n">
        <v>7</v>
      </c>
      <c r="C265" s="0" t="n">
        <v>2090</v>
      </c>
      <c r="D265" s="0" t="s">
        <v>3947</v>
      </c>
      <c r="E265" s="0" t="s">
        <v>3948</v>
      </c>
      <c r="F265" s="0" t="s">
        <v>3952</v>
      </c>
    </row>
    <row r="266" customFormat="false" ht="12.8" hidden="false" customHeight="false" outlineLevel="0" collapsed="false">
      <c r="A266" s="0" t="n">
        <v>2</v>
      </c>
      <c r="B266" s="0" t="n">
        <v>7</v>
      </c>
      <c r="C266" s="0" t="n">
        <v>2091</v>
      </c>
      <c r="D266" s="0" t="s">
        <v>3947</v>
      </c>
      <c r="E266" s="0" t="s">
        <v>3948</v>
      </c>
      <c r="F266" s="0" t="s">
        <v>3952</v>
      </c>
    </row>
    <row r="267" customFormat="false" ht="12.8" hidden="false" customHeight="false" outlineLevel="0" collapsed="false">
      <c r="A267" s="0" t="n">
        <v>2</v>
      </c>
      <c r="B267" s="0" t="n">
        <v>7</v>
      </c>
      <c r="C267" s="0" t="n">
        <v>2092</v>
      </c>
      <c r="D267" s="0" t="s">
        <v>3947</v>
      </c>
      <c r="E267" s="0" t="s">
        <v>3948</v>
      </c>
      <c r="F267" s="0" t="s">
        <v>3952</v>
      </c>
    </row>
    <row r="268" customFormat="false" ht="12.8" hidden="false" customHeight="false" outlineLevel="0" collapsed="false">
      <c r="A268" s="0" t="n">
        <v>2</v>
      </c>
      <c r="B268" s="0" t="n">
        <v>7</v>
      </c>
      <c r="C268" s="0" t="n">
        <v>2122</v>
      </c>
      <c r="D268" s="0" t="s">
        <v>3947</v>
      </c>
      <c r="E268" s="0" t="s">
        <v>3948</v>
      </c>
      <c r="F268" s="0" t="s">
        <v>3966</v>
      </c>
    </row>
    <row r="269" customFormat="false" ht="12.8" hidden="false" customHeight="false" outlineLevel="0" collapsed="false">
      <c r="A269" s="0" t="n">
        <v>2</v>
      </c>
      <c r="B269" s="0" t="n">
        <v>7</v>
      </c>
      <c r="C269" s="0" t="n">
        <v>2123</v>
      </c>
      <c r="D269" s="0" t="s">
        <v>3947</v>
      </c>
      <c r="E269" s="0" t="s">
        <v>3948</v>
      </c>
      <c r="F269" s="0" t="s">
        <v>3966</v>
      </c>
    </row>
    <row r="270" customFormat="false" ht="12.8" hidden="false" customHeight="false" outlineLevel="0" collapsed="false">
      <c r="A270" s="0" t="n">
        <v>2</v>
      </c>
      <c r="B270" s="0" t="n">
        <v>7</v>
      </c>
      <c r="C270" s="0" t="n">
        <v>2124</v>
      </c>
      <c r="D270" s="0" t="s">
        <v>3947</v>
      </c>
      <c r="E270" s="0" t="s">
        <v>3948</v>
      </c>
      <c r="F270" s="0" t="s">
        <v>3966</v>
      </c>
    </row>
    <row r="271" customFormat="false" ht="12.8" hidden="false" customHeight="false" outlineLevel="0" collapsed="false">
      <c r="A271" s="0" t="n">
        <v>2</v>
      </c>
      <c r="B271" s="0" t="n">
        <v>7</v>
      </c>
      <c r="C271" s="0" t="n">
        <v>2125</v>
      </c>
      <c r="D271" s="0" t="s">
        <v>3947</v>
      </c>
      <c r="E271" s="0" t="s">
        <v>3948</v>
      </c>
      <c r="F271" s="0" t="s">
        <v>3932</v>
      </c>
    </row>
    <row r="272" customFormat="false" ht="12.8" hidden="false" customHeight="false" outlineLevel="0" collapsed="false">
      <c r="A272" s="0" t="n">
        <v>2</v>
      </c>
      <c r="B272" s="0" t="n">
        <v>7</v>
      </c>
      <c r="C272" s="0" t="n">
        <v>2126</v>
      </c>
      <c r="D272" s="0" t="s">
        <v>3947</v>
      </c>
      <c r="E272" s="0" t="s">
        <v>3948</v>
      </c>
      <c r="F272" s="0" t="s">
        <v>3932</v>
      </c>
    </row>
    <row r="273" customFormat="false" ht="12.8" hidden="false" customHeight="false" outlineLevel="0" collapsed="false">
      <c r="A273" s="0" t="n">
        <v>2</v>
      </c>
      <c r="B273" s="0" t="n">
        <v>7</v>
      </c>
      <c r="C273" s="0" t="n">
        <v>2132</v>
      </c>
      <c r="D273" s="0" t="s">
        <v>3947</v>
      </c>
      <c r="E273" s="0" t="s">
        <v>3948</v>
      </c>
      <c r="F273" s="0" t="s">
        <v>3961</v>
      </c>
    </row>
    <row r="274" customFormat="false" ht="12.8" hidden="false" customHeight="false" outlineLevel="0" collapsed="false">
      <c r="A274" s="0" t="n">
        <v>2</v>
      </c>
      <c r="B274" s="0" t="n">
        <v>7</v>
      </c>
      <c r="C274" s="0" t="n">
        <v>2133</v>
      </c>
      <c r="D274" s="0" t="s">
        <v>3947</v>
      </c>
      <c r="E274" s="0" t="s">
        <v>3948</v>
      </c>
      <c r="F274" s="0" t="s">
        <v>3961</v>
      </c>
    </row>
    <row r="275" customFormat="false" ht="12.8" hidden="false" customHeight="false" outlineLevel="0" collapsed="false">
      <c r="A275" s="0" t="n">
        <v>2</v>
      </c>
      <c r="B275" s="0" t="n">
        <v>7</v>
      </c>
      <c r="C275" s="0" t="n">
        <v>2205</v>
      </c>
      <c r="D275" s="0" t="s">
        <v>3947</v>
      </c>
      <c r="E275" s="0" t="s">
        <v>3948</v>
      </c>
      <c r="F275" s="0" t="s">
        <v>3962</v>
      </c>
    </row>
    <row r="276" customFormat="false" ht="12.8" hidden="false" customHeight="false" outlineLevel="0" collapsed="false">
      <c r="A276" s="0" t="n">
        <v>2</v>
      </c>
      <c r="B276" s="0" t="n">
        <v>7</v>
      </c>
      <c r="C276" s="0" t="n">
        <v>2334</v>
      </c>
      <c r="D276" s="0" t="s">
        <v>3947</v>
      </c>
      <c r="E276" s="0" t="s">
        <v>3948</v>
      </c>
      <c r="F276" s="0" t="s">
        <v>3952</v>
      </c>
    </row>
    <row r="277" customFormat="false" ht="12.8" hidden="false" customHeight="false" outlineLevel="0" collapsed="false">
      <c r="A277" s="0" t="n">
        <v>2</v>
      </c>
      <c r="B277" s="0" t="n">
        <v>7</v>
      </c>
      <c r="C277" s="0" t="n">
        <v>2352</v>
      </c>
      <c r="D277" s="0" t="s">
        <v>3947</v>
      </c>
      <c r="E277" s="0" t="s">
        <v>3948</v>
      </c>
      <c r="F277" s="0" t="s">
        <v>3961</v>
      </c>
    </row>
    <row r="278" customFormat="false" ht="12.8" hidden="false" customHeight="false" outlineLevel="0" collapsed="false">
      <c r="A278" s="0" t="n">
        <v>2</v>
      </c>
      <c r="B278" s="0" t="n">
        <v>7</v>
      </c>
      <c r="C278" s="0" t="n">
        <v>2361</v>
      </c>
      <c r="D278" s="0" t="s">
        <v>3947</v>
      </c>
      <c r="E278" s="0" t="s">
        <v>3948</v>
      </c>
      <c r="F278" s="0" t="s">
        <v>3962</v>
      </c>
    </row>
    <row r="279" customFormat="false" ht="12.8" hidden="false" customHeight="false" outlineLevel="0" collapsed="false">
      <c r="A279" s="0" t="n">
        <v>2</v>
      </c>
      <c r="B279" s="0" t="n">
        <v>7</v>
      </c>
      <c r="C279" s="0" t="n">
        <v>2365</v>
      </c>
      <c r="D279" s="0" t="s">
        <v>3947</v>
      </c>
      <c r="E279" s="0" t="s">
        <v>3948</v>
      </c>
      <c r="F279" s="0" t="s">
        <v>3967</v>
      </c>
    </row>
    <row r="280" customFormat="false" ht="12.8" hidden="false" customHeight="false" outlineLevel="0" collapsed="false">
      <c r="A280" s="0" t="n">
        <v>2</v>
      </c>
      <c r="B280" s="0" t="n">
        <v>7</v>
      </c>
      <c r="C280" s="0" t="n">
        <v>2376</v>
      </c>
      <c r="D280" s="0" t="s">
        <v>3947</v>
      </c>
      <c r="E280" s="0" t="s">
        <v>3948</v>
      </c>
      <c r="F280" s="0" t="s">
        <v>3963</v>
      </c>
    </row>
    <row r="281" customFormat="false" ht="12.8" hidden="false" customHeight="false" outlineLevel="0" collapsed="false">
      <c r="A281" s="0" t="n">
        <v>2</v>
      </c>
      <c r="B281" s="0" t="n">
        <v>7</v>
      </c>
      <c r="C281" s="0" t="n">
        <v>2385</v>
      </c>
      <c r="D281" s="0" t="s">
        <v>3947</v>
      </c>
      <c r="E281" s="0" t="s">
        <v>3948</v>
      </c>
      <c r="F281" s="0" t="s">
        <v>3961</v>
      </c>
    </row>
    <row r="282" customFormat="false" ht="12.8" hidden="false" customHeight="false" outlineLevel="0" collapsed="false">
      <c r="A282" s="0" t="n">
        <v>2</v>
      </c>
      <c r="B282" s="0" t="n">
        <v>7</v>
      </c>
      <c r="C282" s="0" t="n">
        <v>2401</v>
      </c>
      <c r="D282" s="0" t="s">
        <v>3947</v>
      </c>
      <c r="E282" s="0" t="s">
        <v>3948</v>
      </c>
      <c r="F282" s="0" t="s">
        <v>3968</v>
      </c>
    </row>
    <row r="283" customFormat="false" ht="12.8" hidden="false" customHeight="false" outlineLevel="0" collapsed="false">
      <c r="A283" s="0" t="n">
        <v>2</v>
      </c>
      <c r="B283" s="0" t="n">
        <v>7</v>
      </c>
      <c r="C283" s="0" t="n">
        <v>2405</v>
      </c>
      <c r="D283" s="0" t="s">
        <v>3947</v>
      </c>
      <c r="E283" s="0" t="s">
        <v>3948</v>
      </c>
      <c r="F283" s="0" t="s">
        <v>3962</v>
      </c>
    </row>
    <row r="284" customFormat="false" ht="12.8" hidden="false" customHeight="false" outlineLevel="0" collapsed="false">
      <c r="A284" s="0" t="n">
        <v>2</v>
      </c>
      <c r="B284" s="0" t="n">
        <v>7</v>
      </c>
      <c r="C284" s="0" t="n">
        <v>2561</v>
      </c>
      <c r="D284" s="0" t="s">
        <v>3947</v>
      </c>
      <c r="E284" s="0" t="s">
        <v>3948</v>
      </c>
      <c r="F284" s="0" t="s">
        <v>3969</v>
      </c>
    </row>
    <row r="285" customFormat="false" ht="12.8" hidden="false" customHeight="false" outlineLevel="0" collapsed="false">
      <c r="A285" s="0" t="n">
        <v>2</v>
      </c>
      <c r="B285" s="0" t="n">
        <v>7</v>
      </c>
      <c r="C285" s="0" t="n">
        <v>2562</v>
      </c>
      <c r="D285" s="0" t="s">
        <v>3947</v>
      </c>
      <c r="E285" s="0" t="s">
        <v>3948</v>
      </c>
      <c r="F285" s="0" t="s">
        <v>3969</v>
      </c>
    </row>
    <row r="286" customFormat="false" ht="12.8" hidden="false" customHeight="false" outlineLevel="0" collapsed="false">
      <c r="A286" s="0" t="n">
        <v>2</v>
      </c>
      <c r="B286" s="0" t="n">
        <v>7</v>
      </c>
      <c r="C286" s="0" t="n">
        <v>2563</v>
      </c>
      <c r="D286" s="0" t="s">
        <v>3947</v>
      </c>
      <c r="E286" s="0" t="s">
        <v>3948</v>
      </c>
      <c r="F286" s="0" t="s">
        <v>3969</v>
      </c>
    </row>
    <row r="287" customFormat="false" ht="12.8" hidden="false" customHeight="false" outlineLevel="0" collapsed="false">
      <c r="A287" s="0" t="n">
        <v>2</v>
      </c>
      <c r="B287" s="0" t="n">
        <v>7</v>
      </c>
      <c r="C287" s="0" t="n">
        <v>2564</v>
      </c>
      <c r="D287" s="0" t="s">
        <v>3947</v>
      </c>
      <c r="E287" s="0" t="s">
        <v>3948</v>
      </c>
      <c r="F287" s="0" t="s">
        <v>3969</v>
      </c>
    </row>
    <row r="288" customFormat="false" ht="12.8" hidden="false" customHeight="false" outlineLevel="0" collapsed="false">
      <c r="A288" s="0" t="n">
        <v>2</v>
      </c>
      <c r="B288" s="0" t="n">
        <v>9</v>
      </c>
      <c r="C288" s="0" t="n">
        <v>27</v>
      </c>
      <c r="D288" s="0" t="s">
        <v>3947</v>
      </c>
      <c r="E288" s="0" t="s">
        <v>3970</v>
      </c>
      <c r="F288" s="0" t="s">
        <v>3971</v>
      </c>
    </row>
    <row r="289" customFormat="false" ht="12.8" hidden="false" customHeight="false" outlineLevel="0" collapsed="false">
      <c r="A289" s="0" t="n">
        <v>2</v>
      </c>
      <c r="B289" s="0" t="n">
        <v>9</v>
      </c>
      <c r="C289" s="0" t="n">
        <v>28</v>
      </c>
      <c r="D289" s="0" t="s">
        <v>3947</v>
      </c>
      <c r="E289" s="0" t="s">
        <v>3970</v>
      </c>
      <c r="F289" s="0" t="s">
        <v>3972</v>
      </c>
    </row>
    <row r="290" customFormat="false" ht="12.8" hidden="false" customHeight="false" outlineLevel="0" collapsed="false">
      <c r="A290" s="0" t="n">
        <v>2</v>
      </c>
      <c r="B290" s="0" t="n">
        <v>9</v>
      </c>
      <c r="C290" s="0" t="n">
        <v>29</v>
      </c>
      <c r="D290" s="0" t="s">
        <v>3947</v>
      </c>
      <c r="E290" s="0" t="s">
        <v>3970</v>
      </c>
      <c r="F290" s="0" t="s">
        <v>3973</v>
      </c>
    </row>
    <row r="291" customFormat="false" ht="12.8" hidden="false" customHeight="false" outlineLevel="0" collapsed="false">
      <c r="A291" s="0" t="n">
        <v>2</v>
      </c>
      <c r="B291" s="0" t="n">
        <v>9</v>
      </c>
      <c r="C291" s="0" t="n">
        <v>30</v>
      </c>
      <c r="D291" s="0" t="s">
        <v>3947</v>
      </c>
      <c r="E291" s="0" t="s">
        <v>3970</v>
      </c>
      <c r="F291" s="0" t="s">
        <v>3974</v>
      </c>
    </row>
    <row r="292" customFormat="false" ht="12.8" hidden="false" customHeight="false" outlineLevel="0" collapsed="false">
      <c r="A292" s="0" t="n">
        <v>2</v>
      </c>
      <c r="B292" s="0" t="n">
        <v>9</v>
      </c>
      <c r="C292" s="0" t="n">
        <v>31</v>
      </c>
      <c r="D292" s="0" t="s">
        <v>3947</v>
      </c>
      <c r="E292" s="0" t="s">
        <v>3970</v>
      </c>
      <c r="F292" s="0" t="s">
        <v>3975</v>
      </c>
    </row>
    <row r="293" customFormat="false" ht="12.8" hidden="false" customHeight="false" outlineLevel="0" collapsed="false">
      <c r="A293" s="0" t="n">
        <v>2</v>
      </c>
      <c r="B293" s="0" t="n">
        <v>9</v>
      </c>
      <c r="C293" s="0" t="n">
        <v>32</v>
      </c>
      <c r="D293" s="0" t="s">
        <v>3947</v>
      </c>
      <c r="E293" s="0" t="s">
        <v>3970</v>
      </c>
      <c r="F293" s="0" t="s">
        <v>3976</v>
      </c>
    </row>
    <row r="294" customFormat="false" ht="12.8" hidden="false" customHeight="false" outlineLevel="0" collapsed="false">
      <c r="A294" s="0" t="n">
        <v>2</v>
      </c>
      <c r="B294" s="0" t="n">
        <v>9</v>
      </c>
      <c r="C294" s="0" t="n">
        <v>33</v>
      </c>
      <c r="D294" s="0" t="s">
        <v>3947</v>
      </c>
      <c r="E294" s="0" t="s">
        <v>3970</v>
      </c>
      <c r="F294" s="0" t="s">
        <v>3937</v>
      </c>
    </row>
    <row r="295" customFormat="false" ht="12.8" hidden="false" customHeight="false" outlineLevel="0" collapsed="false">
      <c r="A295" s="0" t="n">
        <v>2</v>
      </c>
      <c r="B295" s="0" t="n">
        <v>9</v>
      </c>
      <c r="C295" s="0" t="n">
        <v>34</v>
      </c>
      <c r="D295" s="0" t="s">
        <v>3947</v>
      </c>
      <c r="E295" s="0" t="s">
        <v>3970</v>
      </c>
      <c r="F295" s="0" t="s">
        <v>3977</v>
      </c>
    </row>
    <row r="296" customFormat="false" ht="12.8" hidden="false" customHeight="false" outlineLevel="0" collapsed="false">
      <c r="A296" s="0" t="n">
        <v>2</v>
      </c>
      <c r="B296" s="0" t="n">
        <v>9</v>
      </c>
      <c r="C296" s="0" t="n">
        <v>149</v>
      </c>
      <c r="D296" s="0" t="s">
        <v>3947</v>
      </c>
      <c r="E296" s="0" t="s">
        <v>3970</v>
      </c>
      <c r="F296" s="0" t="s">
        <v>3971</v>
      </c>
    </row>
    <row r="297" customFormat="false" ht="12.8" hidden="false" customHeight="false" outlineLevel="0" collapsed="false">
      <c r="A297" s="0" t="n">
        <v>2</v>
      </c>
      <c r="B297" s="0" t="n">
        <v>9</v>
      </c>
      <c r="C297" s="0" t="n">
        <v>150</v>
      </c>
      <c r="D297" s="0" t="s">
        <v>3947</v>
      </c>
      <c r="E297" s="0" t="s">
        <v>3970</v>
      </c>
      <c r="F297" s="0" t="s">
        <v>3973</v>
      </c>
    </row>
    <row r="298" customFormat="false" ht="12.8" hidden="false" customHeight="false" outlineLevel="0" collapsed="false">
      <c r="A298" s="0" t="n">
        <v>2</v>
      </c>
      <c r="B298" s="0" t="n">
        <v>9</v>
      </c>
      <c r="C298" s="0" t="n">
        <v>151</v>
      </c>
      <c r="D298" s="0" t="s">
        <v>3947</v>
      </c>
      <c r="E298" s="0" t="s">
        <v>3970</v>
      </c>
      <c r="F298" s="0" t="s">
        <v>3978</v>
      </c>
    </row>
    <row r="299" customFormat="false" ht="12.8" hidden="false" customHeight="false" outlineLevel="0" collapsed="false">
      <c r="A299" s="0" t="n">
        <v>2</v>
      </c>
      <c r="B299" s="0" t="n">
        <v>9</v>
      </c>
      <c r="C299" s="0" t="n">
        <v>152</v>
      </c>
      <c r="D299" s="0" t="s">
        <v>3947</v>
      </c>
      <c r="E299" s="0" t="s">
        <v>3970</v>
      </c>
      <c r="F299" s="0" t="s">
        <v>3975</v>
      </c>
    </row>
    <row r="300" customFormat="false" ht="12.8" hidden="false" customHeight="false" outlineLevel="0" collapsed="false">
      <c r="A300" s="0" t="n">
        <v>2</v>
      </c>
      <c r="B300" s="0" t="n">
        <v>9</v>
      </c>
      <c r="C300" s="0" t="n">
        <v>153</v>
      </c>
      <c r="D300" s="0" t="s">
        <v>3947</v>
      </c>
      <c r="E300" s="0" t="s">
        <v>3970</v>
      </c>
      <c r="F300" s="0" t="s">
        <v>3976</v>
      </c>
    </row>
    <row r="301" customFormat="false" ht="12.8" hidden="false" customHeight="false" outlineLevel="0" collapsed="false">
      <c r="A301" s="0" t="n">
        <v>2</v>
      </c>
      <c r="B301" s="0" t="n">
        <v>9</v>
      </c>
      <c r="C301" s="0" t="n">
        <v>154</v>
      </c>
      <c r="D301" s="0" t="s">
        <v>3947</v>
      </c>
      <c r="E301" s="0" t="s">
        <v>3970</v>
      </c>
      <c r="F301" s="0" t="s">
        <v>3937</v>
      </c>
    </row>
    <row r="302" customFormat="false" ht="12.8" hidden="false" customHeight="false" outlineLevel="0" collapsed="false">
      <c r="A302" s="0" t="n">
        <v>2</v>
      </c>
      <c r="B302" s="0" t="n">
        <v>9</v>
      </c>
      <c r="C302" s="0" t="n">
        <v>155</v>
      </c>
      <c r="D302" s="0" t="s">
        <v>3947</v>
      </c>
      <c r="E302" s="0" t="s">
        <v>3970</v>
      </c>
      <c r="F302" s="0" t="s">
        <v>3979</v>
      </c>
    </row>
    <row r="303" customFormat="false" ht="12.8" hidden="false" customHeight="false" outlineLevel="0" collapsed="false">
      <c r="A303" s="0" t="n">
        <v>2</v>
      </c>
      <c r="B303" s="0" t="n">
        <v>9</v>
      </c>
      <c r="C303" s="0" t="n">
        <v>156</v>
      </c>
      <c r="D303" s="0" t="s">
        <v>3947</v>
      </c>
      <c r="E303" s="0" t="s">
        <v>3970</v>
      </c>
      <c r="F303" s="0" t="s">
        <v>3977</v>
      </c>
    </row>
    <row r="304" customFormat="false" ht="12.8" hidden="false" customHeight="false" outlineLevel="0" collapsed="false">
      <c r="A304" s="0" t="n">
        <v>2</v>
      </c>
      <c r="B304" s="0" t="n">
        <v>9</v>
      </c>
      <c r="C304" s="0" t="n">
        <v>157</v>
      </c>
      <c r="D304" s="0" t="s">
        <v>3947</v>
      </c>
      <c r="E304" s="0" t="s">
        <v>3970</v>
      </c>
      <c r="F304" s="0" t="s">
        <v>3980</v>
      </c>
    </row>
    <row r="305" customFormat="false" ht="12.8" hidden="false" customHeight="false" outlineLevel="0" collapsed="false">
      <c r="A305" s="0" t="n">
        <v>2</v>
      </c>
      <c r="B305" s="0" t="n">
        <v>9</v>
      </c>
      <c r="C305" s="0" t="n">
        <v>271</v>
      </c>
      <c r="D305" s="0" t="s">
        <v>3947</v>
      </c>
      <c r="E305" s="0" t="s">
        <v>3970</v>
      </c>
      <c r="F305" s="0" t="s">
        <v>3971</v>
      </c>
    </row>
    <row r="306" customFormat="false" ht="12.8" hidden="false" customHeight="false" outlineLevel="0" collapsed="false">
      <c r="A306" s="0" t="n">
        <v>2</v>
      </c>
      <c r="B306" s="0" t="n">
        <v>9</v>
      </c>
      <c r="C306" s="0" t="n">
        <v>272</v>
      </c>
      <c r="D306" s="0" t="s">
        <v>3947</v>
      </c>
      <c r="E306" s="0" t="s">
        <v>3970</v>
      </c>
      <c r="F306" s="0" t="s">
        <v>3973</v>
      </c>
    </row>
    <row r="307" customFormat="false" ht="12.8" hidden="false" customHeight="false" outlineLevel="0" collapsed="false">
      <c r="A307" s="0" t="n">
        <v>2</v>
      </c>
      <c r="B307" s="0" t="n">
        <v>9</v>
      </c>
      <c r="C307" s="0" t="n">
        <v>273</v>
      </c>
      <c r="D307" s="0" t="s">
        <v>3947</v>
      </c>
      <c r="E307" s="0" t="s">
        <v>3970</v>
      </c>
      <c r="F307" s="0" t="s">
        <v>3978</v>
      </c>
    </row>
    <row r="308" customFormat="false" ht="12.8" hidden="false" customHeight="false" outlineLevel="0" collapsed="false">
      <c r="A308" s="0" t="n">
        <v>2</v>
      </c>
      <c r="B308" s="0" t="n">
        <v>9</v>
      </c>
      <c r="C308" s="0" t="n">
        <v>274</v>
      </c>
      <c r="D308" s="0" t="s">
        <v>3947</v>
      </c>
      <c r="E308" s="0" t="s">
        <v>3970</v>
      </c>
      <c r="F308" s="0" t="s">
        <v>3975</v>
      </c>
    </row>
    <row r="309" customFormat="false" ht="12.8" hidden="false" customHeight="false" outlineLevel="0" collapsed="false">
      <c r="A309" s="0" t="n">
        <v>2</v>
      </c>
      <c r="B309" s="0" t="n">
        <v>9</v>
      </c>
      <c r="C309" s="0" t="n">
        <v>275</v>
      </c>
      <c r="D309" s="0" t="s">
        <v>3947</v>
      </c>
      <c r="E309" s="0" t="s">
        <v>3970</v>
      </c>
      <c r="F309" s="0" t="s">
        <v>3976</v>
      </c>
    </row>
    <row r="310" customFormat="false" ht="12.8" hidden="false" customHeight="false" outlineLevel="0" collapsed="false">
      <c r="A310" s="0" t="n">
        <v>2</v>
      </c>
      <c r="B310" s="0" t="n">
        <v>9</v>
      </c>
      <c r="C310" s="0" t="n">
        <v>276</v>
      </c>
      <c r="D310" s="0" t="s">
        <v>3947</v>
      </c>
      <c r="E310" s="0" t="s">
        <v>3970</v>
      </c>
      <c r="F310" s="0" t="s">
        <v>3937</v>
      </c>
    </row>
    <row r="311" customFormat="false" ht="12.8" hidden="false" customHeight="false" outlineLevel="0" collapsed="false">
      <c r="A311" s="0" t="n">
        <v>2</v>
      </c>
      <c r="B311" s="0" t="n">
        <v>9</v>
      </c>
      <c r="C311" s="0" t="n">
        <v>277</v>
      </c>
      <c r="D311" s="0" t="s">
        <v>3947</v>
      </c>
      <c r="E311" s="0" t="s">
        <v>3970</v>
      </c>
      <c r="F311" s="0" t="s">
        <v>3979</v>
      </c>
    </row>
    <row r="312" customFormat="false" ht="12.8" hidden="false" customHeight="false" outlineLevel="0" collapsed="false">
      <c r="A312" s="0" t="n">
        <v>2</v>
      </c>
      <c r="B312" s="0" t="n">
        <v>9</v>
      </c>
      <c r="C312" s="0" t="n">
        <v>278</v>
      </c>
      <c r="D312" s="0" t="s">
        <v>3947</v>
      </c>
      <c r="E312" s="0" t="s">
        <v>3970</v>
      </c>
      <c r="F312" s="0" t="s">
        <v>3977</v>
      </c>
    </row>
    <row r="313" customFormat="false" ht="12.8" hidden="false" customHeight="false" outlineLevel="0" collapsed="false">
      <c r="A313" s="0" t="n">
        <v>2</v>
      </c>
      <c r="B313" s="0" t="n">
        <v>9</v>
      </c>
      <c r="C313" s="0" t="n">
        <v>279</v>
      </c>
      <c r="D313" s="0" t="s">
        <v>3947</v>
      </c>
      <c r="E313" s="0" t="s">
        <v>3970</v>
      </c>
      <c r="F313" s="0" t="s">
        <v>3980</v>
      </c>
    </row>
    <row r="314" customFormat="false" ht="12.8" hidden="false" customHeight="false" outlineLevel="0" collapsed="false">
      <c r="A314" s="0" t="n">
        <v>2</v>
      </c>
      <c r="B314" s="0" t="n">
        <v>9</v>
      </c>
      <c r="C314" s="0" t="n">
        <v>382</v>
      </c>
      <c r="D314" s="0" t="s">
        <v>3947</v>
      </c>
      <c r="E314" s="0" t="s">
        <v>3970</v>
      </c>
      <c r="F314" s="0" t="s">
        <v>3971</v>
      </c>
    </row>
    <row r="315" customFormat="false" ht="12.8" hidden="false" customHeight="false" outlineLevel="0" collapsed="false">
      <c r="A315" s="0" t="n">
        <v>2</v>
      </c>
      <c r="B315" s="0" t="n">
        <v>9</v>
      </c>
      <c r="C315" s="0" t="n">
        <v>383</v>
      </c>
      <c r="D315" s="0" t="s">
        <v>3947</v>
      </c>
      <c r="E315" s="0" t="s">
        <v>3970</v>
      </c>
      <c r="F315" s="0" t="s">
        <v>3973</v>
      </c>
    </row>
    <row r="316" customFormat="false" ht="12.8" hidden="false" customHeight="false" outlineLevel="0" collapsed="false">
      <c r="A316" s="0" t="n">
        <v>2</v>
      </c>
      <c r="B316" s="0" t="n">
        <v>9</v>
      </c>
      <c r="C316" s="0" t="n">
        <v>384</v>
      </c>
      <c r="D316" s="0" t="s">
        <v>3947</v>
      </c>
      <c r="E316" s="0" t="s">
        <v>3970</v>
      </c>
      <c r="F316" s="0" t="s">
        <v>3975</v>
      </c>
    </row>
    <row r="317" customFormat="false" ht="12.8" hidden="false" customHeight="false" outlineLevel="0" collapsed="false">
      <c r="A317" s="0" t="n">
        <v>2</v>
      </c>
      <c r="B317" s="0" t="n">
        <v>9</v>
      </c>
      <c r="C317" s="0" t="n">
        <v>385</v>
      </c>
      <c r="D317" s="0" t="s">
        <v>3947</v>
      </c>
      <c r="E317" s="0" t="s">
        <v>3970</v>
      </c>
      <c r="F317" s="0" t="s">
        <v>3976</v>
      </c>
    </row>
    <row r="318" customFormat="false" ht="12.8" hidden="false" customHeight="false" outlineLevel="0" collapsed="false">
      <c r="A318" s="0" t="n">
        <v>2</v>
      </c>
      <c r="B318" s="0" t="n">
        <v>9</v>
      </c>
      <c r="C318" s="0" t="n">
        <v>386</v>
      </c>
      <c r="D318" s="0" t="s">
        <v>3947</v>
      </c>
      <c r="E318" s="0" t="s">
        <v>3970</v>
      </c>
      <c r="F318" s="0" t="s">
        <v>3937</v>
      </c>
    </row>
    <row r="319" customFormat="false" ht="12.8" hidden="false" customHeight="false" outlineLevel="0" collapsed="false">
      <c r="A319" s="0" t="n">
        <v>2</v>
      </c>
      <c r="B319" s="0" t="n">
        <v>9</v>
      </c>
      <c r="C319" s="0" t="n">
        <v>489</v>
      </c>
      <c r="D319" s="0" t="s">
        <v>3947</v>
      </c>
      <c r="E319" s="0" t="s">
        <v>3970</v>
      </c>
      <c r="F319" s="0" t="s">
        <v>3971</v>
      </c>
    </row>
    <row r="320" customFormat="false" ht="12.8" hidden="false" customHeight="false" outlineLevel="0" collapsed="false">
      <c r="A320" s="0" t="n">
        <v>2</v>
      </c>
      <c r="B320" s="0" t="n">
        <v>9</v>
      </c>
      <c r="C320" s="0" t="n">
        <v>490</v>
      </c>
      <c r="D320" s="0" t="s">
        <v>3947</v>
      </c>
      <c r="E320" s="0" t="s">
        <v>3970</v>
      </c>
      <c r="F320" s="0" t="s">
        <v>3973</v>
      </c>
    </row>
    <row r="321" customFormat="false" ht="12.8" hidden="false" customHeight="false" outlineLevel="0" collapsed="false">
      <c r="A321" s="0" t="n">
        <v>2</v>
      </c>
      <c r="B321" s="0" t="n">
        <v>9</v>
      </c>
      <c r="C321" s="0" t="n">
        <v>491</v>
      </c>
      <c r="D321" s="0" t="s">
        <v>3947</v>
      </c>
      <c r="E321" s="0" t="s">
        <v>3970</v>
      </c>
      <c r="F321" s="0" t="s">
        <v>3975</v>
      </c>
    </row>
    <row r="322" customFormat="false" ht="12.8" hidden="false" customHeight="false" outlineLevel="0" collapsed="false">
      <c r="A322" s="0" t="n">
        <v>2</v>
      </c>
      <c r="B322" s="0" t="n">
        <v>9</v>
      </c>
      <c r="C322" s="0" t="n">
        <v>492</v>
      </c>
      <c r="D322" s="0" t="s">
        <v>3947</v>
      </c>
      <c r="E322" s="0" t="s">
        <v>3970</v>
      </c>
      <c r="F322" s="0" t="s">
        <v>3976</v>
      </c>
    </row>
    <row r="323" customFormat="false" ht="12.8" hidden="false" customHeight="false" outlineLevel="0" collapsed="false">
      <c r="A323" s="0" t="n">
        <v>2</v>
      </c>
      <c r="B323" s="0" t="n">
        <v>9</v>
      </c>
      <c r="C323" s="0" t="n">
        <v>493</v>
      </c>
      <c r="D323" s="0" t="s">
        <v>3947</v>
      </c>
      <c r="E323" s="0" t="s">
        <v>3970</v>
      </c>
      <c r="F323" s="0" t="s">
        <v>3937</v>
      </c>
    </row>
    <row r="324" customFormat="false" ht="12.8" hidden="false" customHeight="false" outlineLevel="0" collapsed="false">
      <c r="A324" s="0" t="n">
        <v>2</v>
      </c>
      <c r="B324" s="0" t="n">
        <v>9</v>
      </c>
      <c r="C324" s="0" t="n">
        <v>596</v>
      </c>
      <c r="D324" s="0" t="s">
        <v>3947</v>
      </c>
      <c r="E324" s="0" t="s">
        <v>3970</v>
      </c>
      <c r="F324" s="0" t="s">
        <v>3971</v>
      </c>
    </row>
    <row r="325" customFormat="false" ht="12.8" hidden="false" customHeight="false" outlineLevel="0" collapsed="false">
      <c r="A325" s="0" t="n">
        <v>2</v>
      </c>
      <c r="B325" s="0" t="n">
        <v>9</v>
      </c>
      <c r="C325" s="0" t="n">
        <v>597</v>
      </c>
      <c r="D325" s="0" t="s">
        <v>3947</v>
      </c>
      <c r="E325" s="0" t="s">
        <v>3970</v>
      </c>
      <c r="F325" s="0" t="s">
        <v>3973</v>
      </c>
    </row>
    <row r="326" customFormat="false" ht="12.8" hidden="false" customHeight="false" outlineLevel="0" collapsed="false">
      <c r="A326" s="0" t="n">
        <v>2</v>
      </c>
      <c r="B326" s="0" t="n">
        <v>9</v>
      </c>
      <c r="C326" s="0" t="n">
        <v>598</v>
      </c>
      <c r="D326" s="0" t="s">
        <v>3947</v>
      </c>
      <c r="E326" s="0" t="s">
        <v>3970</v>
      </c>
      <c r="F326" s="0" t="s">
        <v>3975</v>
      </c>
    </row>
    <row r="327" customFormat="false" ht="12.8" hidden="false" customHeight="false" outlineLevel="0" collapsed="false">
      <c r="A327" s="0" t="n">
        <v>2</v>
      </c>
      <c r="B327" s="0" t="n">
        <v>9</v>
      </c>
      <c r="C327" s="0" t="n">
        <v>599</v>
      </c>
      <c r="D327" s="0" t="s">
        <v>3947</v>
      </c>
      <c r="E327" s="0" t="s">
        <v>3970</v>
      </c>
      <c r="F327" s="0" t="s">
        <v>3976</v>
      </c>
    </row>
    <row r="328" customFormat="false" ht="12.8" hidden="false" customHeight="false" outlineLevel="0" collapsed="false">
      <c r="A328" s="0" t="n">
        <v>2</v>
      </c>
      <c r="B328" s="0" t="n">
        <v>9</v>
      </c>
      <c r="C328" s="0" t="n">
        <v>600</v>
      </c>
      <c r="D328" s="0" t="s">
        <v>3947</v>
      </c>
      <c r="E328" s="0" t="s">
        <v>3970</v>
      </c>
      <c r="F328" s="0" t="s">
        <v>3937</v>
      </c>
    </row>
    <row r="329" customFormat="false" ht="12.8" hidden="false" customHeight="false" outlineLevel="0" collapsed="false">
      <c r="A329" s="0" t="n">
        <v>2</v>
      </c>
      <c r="B329" s="0" t="n">
        <v>9</v>
      </c>
      <c r="C329" s="0" t="n">
        <v>709</v>
      </c>
      <c r="D329" s="0" t="s">
        <v>3947</v>
      </c>
      <c r="E329" s="0" t="s">
        <v>3970</v>
      </c>
      <c r="F329" s="0" t="s">
        <v>3971</v>
      </c>
    </row>
    <row r="330" customFormat="false" ht="12.8" hidden="false" customHeight="false" outlineLevel="0" collapsed="false">
      <c r="A330" s="0" t="n">
        <v>2</v>
      </c>
      <c r="B330" s="0" t="n">
        <v>9</v>
      </c>
      <c r="C330" s="0" t="n">
        <v>710</v>
      </c>
      <c r="D330" s="0" t="s">
        <v>3947</v>
      </c>
      <c r="E330" s="0" t="s">
        <v>3970</v>
      </c>
      <c r="F330" s="0" t="s">
        <v>3972</v>
      </c>
    </row>
    <row r="331" customFormat="false" ht="12.8" hidden="false" customHeight="false" outlineLevel="0" collapsed="false">
      <c r="A331" s="0" t="n">
        <v>2</v>
      </c>
      <c r="B331" s="0" t="n">
        <v>9</v>
      </c>
      <c r="C331" s="0" t="n">
        <v>711</v>
      </c>
      <c r="D331" s="0" t="s">
        <v>3947</v>
      </c>
      <c r="E331" s="0" t="s">
        <v>3970</v>
      </c>
      <c r="F331" s="0" t="s">
        <v>3973</v>
      </c>
    </row>
    <row r="332" customFormat="false" ht="12.8" hidden="false" customHeight="false" outlineLevel="0" collapsed="false">
      <c r="A332" s="0" t="n">
        <v>2</v>
      </c>
      <c r="B332" s="0" t="n">
        <v>9</v>
      </c>
      <c r="C332" s="0" t="n">
        <v>712</v>
      </c>
      <c r="D332" s="0" t="s">
        <v>3947</v>
      </c>
      <c r="E332" s="0" t="s">
        <v>3970</v>
      </c>
      <c r="F332" s="0" t="s">
        <v>3975</v>
      </c>
    </row>
    <row r="333" customFormat="false" ht="12.8" hidden="false" customHeight="false" outlineLevel="0" collapsed="false">
      <c r="A333" s="0" t="n">
        <v>2</v>
      </c>
      <c r="B333" s="0" t="n">
        <v>9</v>
      </c>
      <c r="C333" s="0" t="n">
        <v>713</v>
      </c>
      <c r="D333" s="0" t="s">
        <v>3947</v>
      </c>
      <c r="E333" s="0" t="s">
        <v>3970</v>
      </c>
      <c r="F333" s="0" t="s">
        <v>3976</v>
      </c>
    </row>
    <row r="334" customFormat="false" ht="12.8" hidden="false" customHeight="false" outlineLevel="0" collapsed="false">
      <c r="A334" s="0" t="n">
        <v>2</v>
      </c>
      <c r="B334" s="0" t="n">
        <v>9</v>
      </c>
      <c r="C334" s="0" t="n">
        <v>714</v>
      </c>
      <c r="D334" s="0" t="s">
        <v>3947</v>
      </c>
      <c r="E334" s="0" t="s">
        <v>3970</v>
      </c>
      <c r="F334" s="0" t="s">
        <v>3937</v>
      </c>
    </row>
    <row r="335" customFormat="false" ht="12.8" hidden="false" customHeight="false" outlineLevel="0" collapsed="false">
      <c r="A335" s="0" t="n">
        <v>2</v>
      </c>
      <c r="B335" s="0" t="n">
        <v>9</v>
      </c>
      <c r="C335" s="0" t="n">
        <v>715</v>
      </c>
      <c r="D335" s="0" t="s">
        <v>3947</v>
      </c>
      <c r="E335" s="0" t="s">
        <v>3970</v>
      </c>
      <c r="F335" s="0" t="s">
        <v>3977</v>
      </c>
    </row>
    <row r="336" customFormat="false" ht="12.8" hidden="false" customHeight="false" outlineLevel="0" collapsed="false">
      <c r="A336" s="0" t="n">
        <v>2</v>
      </c>
      <c r="B336" s="0" t="n">
        <v>9</v>
      </c>
      <c r="C336" s="0" t="n">
        <v>716</v>
      </c>
      <c r="D336" s="0" t="s">
        <v>3947</v>
      </c>
      <c r="E336" s="0" t="s">
        <v>3970</v>
      </c>
      <c r="F336" s="0" t="s">
        <v>3980</v>
      </c>
    </row>
    <row r="337" customFormat="false" ht="12.8" hidden="false" customHeight="false" outlineLevel="0" collapsed="false">
      <c r="A337" s="0" t="n">
        <v>2</v>
      </c>
      <c r="B337" s="0" t="n">
        <v>9</v>
      </c>
      <c r="C337" s="0" t="n">
        <v>825</v>
      </c>
      <c r="D337" s="0" t="s">
        <v>3947</v>
      </c>
      <c r="E337" s="0" t="s">
        <v>3970</v>
      </c>
      <c r="F337" s="0" t="s">
        <v>3971</v>
      </c>
    </row>
    <row r="338" customFormat="false" ht="12.8" hidden="false" customHeight="false" outlineLevel="0" collapsed="false">
      <c r="A338" s="0" t="n">
        <v>2</v>
      </c>
      <c r="B338" s="0" t="n">
        <v>9</v>
      </c>
      <c r="C338" s="0" t="n">
        <v>826</v>
      </c>
      <c r="D338" s="0" t="s">
        <v>3947</v>
      </c>
      <c r="E338" s="0" t="s">
        <v>3970</v>
      </c>
      <c r="F338" s="0" t="s">
        <v>3973</v>
      </c>
    </row>
    <row r="339" customFormat="false" ht="12.8" hidden="false" customHeight="false" outlineLevel="0" collapsed="false">
      <c r="A339" s="0" t="n">
        <v>2</v>
      </c>
      <c r="B339" s="0" t="n">
        <v>9</v>
      </c>
      <c r="C339" s="0" t="n">
        <v>827</v>
      </c>
      <c r="D339" s="0" t="s">
        <v>3947</v>
      </c>
      <c r="E339" s="0" t="s">
        <v>3970</v>
      </c>
      <c r="F339" s="0" t="s">
        <v>3975</v>
      </c>
    </row>
    <row r="340" customFormat="false" ht="12.8" hidden="false" customHeight="false" outlineLevel="0" collapsed="false">
      <c r="A340" s="0" t="n">
        <v>2</v>
      </c>
      <c r="B340" s="0" t="n">
        <v>9</v>
      </c>
      <c r="C340" s="0" t="n">
        <v>828</v>
      </c>
      <c r="D340" s="0" t="s">
        <v>3947</v>
      </c>
      <c r="E340" s="0" t="s">
        <v>3970</v>
      </c>
      <c r="F340" s="0" t="s">
        <v>3976</v>
      </c>
    </row>
    <row r="341" customFormat="false" ht="12.8" hidden="false" customHeight="false" outlineLevel="0" collapsed="false">
      <c r="A341" s="0" t="n">
        <v>2</v>
      </c>
      <c r="B341" s="0" t="n">
        <v>9</v>
      </c>
      <c r="C341" s="0" t="n">
        <v>829</v>
      </c>
      <c r="D341" s="0" t="s">
        <v>3947</v>
      </c>
      <c r="E341" s="0" t="s">
        <v>3970</v>
      </c>
      <c r="F341" s="0" t="s">
        <v>3937</v>
      </c>
    </row>
    <row r="342" customFormat="false" ht="12.8" hidden="false" customHeight="false" outlineLevel="0" collapsed="false">
      <c r="A342" s="0" t="n">
        <v>2</v>
      </c>
      <c r="B342" s="0" t="n">
        <v>9</v>
      </c>
      <c r="C342" s="0" t="n">
        <v>830</v>
      </c>
      <c r="D342" s="0" t="s">
        <v>3947</v>
      </c>
      <c r="E342" s="0" t="s">
        <v>3970</v>
      </c>
      <c r="F342" s="0" t="s">
        <v>3981</v>
      </c>
    </row>
    <row r="343" customFormat="false" ht="12.8" hidden="false" customHeight="false" outlineLevel="0" collapsed="false">
      <c r="A343" s="0" t="n">
        <v>2</v>
      </c>
      <c r="B343" s="0" t="n">
        <v>9</v>
      </c>
      <c r="C343" s="0" t="n">
        <v>927</v>
      </c>
      <c r="D343" s="0" t="s">
        <v>3947</v>
      </c>
      <c r="E343" s="0" t="s">
        <v>3970</v>
      </c>
      <c r="F343" s="0" t="s">
        <v>3980</v>
      </c>
    </row>
    <row r="344" customFormat="false" ht="12.8" hidden="false" customHeight="false" outlineLevel="0" collapsed="false">
      <c r="A344" s="0" t="n">
        <v>2</v>
      </c>
      <c r="B344" s="0" t="n">
        <v>9</v>
      </c>
      <c r="C344" s="0" t="n">
        <v>928</v>
      </c>
      <c r="D344" s="0" t="s">
        <v>3947</v>
      </c>
      <c r="E344" s="0" t="s">
        <v>3970</v>
      </c>
      <c r="F344" s="0" t="s">
        <v>3977</v>
      </c>
    </row>
    <row r="345" customFormat="false" ht="12.8" hidden="false" customHeight="false" outlineLevel="0" collapsed="false">
      <c r="A345" s="0" t="n">
        <v>2</v>
      </c>
      <c r="B345" s="0" t="n">
        <v>9</v>
      </c>
      <c r="C345" s="0" t="n">
        <v>929</v>
      </c>
      <c r="D345" s="0" t="s">
        <v>3947</v>
      </c>
      <c r="E345" s="0" t="s">
        <v>3970</v>
      </c>
      <c r="F345" s="0" t="s">
        <v>3977</v>
      </c>
    </row>
    <row r="346" customFormat="false" ht="12.8" hidden="false" customHeight="false" outlineLevel="0" collapsed="false">
      <c r="A346" s="0" t="n">
        <v>2</v>
      </c>
      <c r="B346" s="0" t="n">
        <v>9</v>
      </c>
      <c r="C346" s="0" t="n">
        <v>930</v>
      </c>
      <c r="D346" s="0" t="s">
        <v>3947</v>
      </c>
      <c r="E346" s="0" t="s">
        <v>3970</v>
      </c>
      <c r="F346" s="0" t="s">
        <v>3977</v>
      </c>
    </row>
    <row r="347" customFormat="false" ht="12.8" hidden="false" customHeight="false" outlineLevel="0" collapsed="false">
      <c r="A347" s="0" t="n">
        <v>2</v>
      </c>
      <c r="B347" s="0" t="n">
        <v>9</v>
      </c>
      <c r="C347" s="0" t="n">
        <v>931</v>
      </c>
      <c r="D347" s="0" t="s">
        <v>3947</v>
      </c>
      <c r="E347" s="0" t="s">
        <v>3970</v>
      </c>
      <c r="F347" s="0" t="s">
        <v>3977</v>
      </c>
    </row>
    <row r="348" customFormat="false" ht="12.8" hidden="false" customHeight="false" outlineLevel="0" collapsed="false">
      <c r="A348" s="0" t="n">
        <v>2</v>
      </c>
      <c r="B348" s="0" t="n">
        <v>9</v>
      </c>
      <c r="C348" s="0" t="n">
        <v>934</v>
      </c>
      <c r="D348" s="0" t="s">
        <v>3947</v>
      </c>
      <c r="E348" s="0" t="s">
        <v>3970</v>
      </c>
      <c r="F348" s="0" t="s">
        <v>3972</v>
      </c>
    </row>
    <row r="349" customFormat="false" ht="12.8" hidden="false" customHeight="false" outlineLevel="0" collapsed="false">
      <c r="A349" s="0" t="n">
        <v>2</v>
      </c>
      <c r="B349" s="0" t="n">
        <v>9</v>
      </c>
      <c r="C349" s="0" t="n">
        <v>935</v>
      </c>
      <c r="D349" s="0" t="s">
        <v>3947</v>
      </c>
      <c r="E349" s="0" t="s">
        <v>3970</v>
      </c>
      <c r="F349" s="0" t="s">
        <v>3977</v>
      </c>
    </row>
    <row r="350" customFormat="false" ht="12.8" hidden="false" customHeight="false" outlineLevel="0" collapsed="false">
      <c r="A350" s="0" t="n">
        <v>2</v>
      </c>
      <c r="B350" s="0" t="n">
        <v>9</v>
      </c>
      <c r="C350" s="0" t="n">
        <v>936</v>
      </c>
      <c r="D350" s="0" t="s">
        <v>3947</v>
      </c>
      <c r="E350" s="0" t="s">
        <v>3970</v>
      </c>
      <c r="F350" s="0" t="s">
        <v>3977</v>
      </c>
    </row>
    <row r="351" customFormat="false" ht="12.8" hidden="false" customHeight="false" outlineLevel="0" collapsed="false">
      <c r="A351" s="0" t="n">
        <v>2</v>
      </c>
      <c r="B351" s="0" t="n">
        <v>9</v>
      </c>
      <c r="C351" s="0" t="n">
        <v>937</v>
      </c>
      <c r="D351" s="0" t="s">
        <v>3947</v>
      </c>
      <c r="E351" s="0" t="s">
        <v>3970</v>
      </c>
      <c r="F351" s="0" t="s">
        <v>3977</v>
      </c>
    </row>
    <row r="352" customFormat="false" ht="12.8" hidden="false" customHeight="false" outlineLevel="0" collapsed="false">
      <c r="A352" s="0" t="n">
        <v>2</v>
      </c>
      <c r="B352" s="0" t="n">
        <v>9</v>
      </c>
      <c r="C352" s="0" t="n">
        <v>938</v>
      </c>
      <c r="D352" s="0" t="s">
        <v>3947</v>
      </c>
      <c r="E352" s="0" t="s">
        <v>3970</v>
      </c>
      <c r="F352" s="0" t="s">
        <v>3977</v>
      </c>
    </row>
    <row r="353" customFormat="false" ht="12.8" hidden="false" customHeight="false" outlineLevel="0" collapsed="false">
      <c r="A353" s="0" t="n">
        <v>2</v>
      </c>
      <c r="B353" s="0" t="n">
        <v>9</v>
      </c>
      <c r="C353" s="0" t="n">
        <v>939</v>
      </c>
      <c r="D353" s="0" t="s">
        <v>3947</v>
      </c>
      <c r="E353" s="0" t="s">
        <v>3970</v>
      </c>
      <c r="F353" s="0" t="s">
        <v>3979</v>
      </c>
    </row>
    <row r="354" customFormat="false" ht="12.8" hidden="false" customHeight="false" outlineLevel="0" collapsed="false">
      <c r="A354" s="0" t="n">
        <v>2</v>
      </c>
      <c r="B354" s="0" t="n">
        <v>9</v>
      </c>
      <c r="C354" s="0" t="n">
        <v>940</v>
      </c>
      <c r="D354" s="0" t="s">
        <v>3947</v>
      </c>
      <c r="E354" s="0" t="s">
        <v>3970</v>
      </c>
      <c r="F354" s="0" t="s">
        <v>3978</v>
      </c>
    </row>
    <row r="355" customFormat="false" ht="12.8" hidden="false" customHeight="false" outlineLevel="0" collapsed="false">
      <c r="A355" s="0" t="n">
        <v>2</v>
      </c>
      <c r="B355" s="0" t="n">
        <v>9</v>
      </c>
      <c r="C355" s="0" t="n">
        <v>970</v>
      </c>
      <c r="D355" s="0" t="s">
        <v>3947</v>
      </c>
      <c r="E355" s="0" t="s">
        <v>3970</v>
      </c>
      <c r="F355" s="0" t="s">
        <v>3982</v>
      </c>
    </row>
    <row r="356" customFormat="false" ht="12.8" hidden="false" customHeight="false" outlineLevel="0" collapsed="false">
      <c r="A356" s="0" t="n">
        <v>2</v>
      </c>
      <c r="B356" s="0" t="n">
        <v>9</v>
      </c>
      <c r="C356" s="0" t="n">
        <v>971</v>
      </c>
      <c r="D356" s="0" t="s">
        <v>3947</v>
      </c>
      <c r="E356" s="0" t="s">
        <v>3970</v>
      </c>
      <c r="F356" s="0" t="s">
        <v>3983</v>
      </c>
    </row>
    <row r="357" customFormat="false" ht="12.8" hidden="false" customHeight="false" outlineLevel="0" collapsed="false">
      <c r="A357" s="0" t="n">
        <v>2</v>
      </c>
      <c r="B357" s="0" t="n">
        <v>9</v>
      </c>
      <c r="C357" s="0" t="n">
        <v>972</v>
      </c>
      <c r="D357" s="0" t="s">
        <v>3947</v>
      </c>
      <c r="E357" s="0" t="s">
        <v>3970</v>
      </c>
      <c r="F357" s="0" t="s">
        <v>3983</v>
      </c>
    </row>
    <row r="358" customFormat="false" ht="12.8" hidden="false" customHeight="false" outlineLevel="0" collapsed="false">
      <c r="A358" s="0" t="n">
        <v>2</v>
      </c>
      <c r="B358" s="0" t="n">
        <v>9</v>
      </c>
      <c r="C358" s="0" t="n">
        <v>973</v>
      </c>
      <c r="D358" s="0" t="s">
        <v>3947</v>
      </c>
      <c r="E358" s="0" t="s">
        <v>3970</v>
      </c>
      <c r="F358" s="0" t="s">
        <v>3983</v>
      </c>
    </row>
    <row r="359" customFormat="false" ht="12.8" hidden="false" customHeight="false" outlineLevel="0" collapsed="false">
      <c r="A359" s="0" t="n">
        <v>2</v>
      </c>
      <c r="B359" s="0" t="n">
        <v>9</v>
      </c>
      <c r="C359" s="0" t="n">
        <v>974</v>
      </c>
      <c r="D359" s="0" t="s">
        <v>3947</v>
      </c>
      <c r="E359" s="0" t="s">
        <v>3970</v>
      </c>
      <c r="F359" s="0" t="s">
        <v>3984</v>
      </c>
    </row>
    <row r="360" customFormat="false" ht="12.8" hidden="false" customHeight="false" outlineLevel="0" collapsed="false">
      <c r="A360" s="0" t="n">
        <v>2</v>
      </c>
      <c r="B360" s="0" t="n">
        <v>9</v>
      </c>
      <c r="C360" s="0" t="n">
        <v>975</v>
      </c>
      <c r="D360" s="0" t="s">
        <v>3947</v>
      </c>
      <c r="E360" s="0" t="s">
        <v>3970</v>
      </c>
      <c r="F360" s="0" t="s">
        <v>3984</v>
      </c>
    </row>
    <row r="361" customFormat="false" ht="12.8" hidden="false" customHeight="false" outlineLevel="0" collapsed="false">
      <c r="A361" s="0" t="n">
        <v>2</v>
      </c>
      <c r="B361" s="0" t="n">
        <v>9</v>
      </c>
      <c r="C361" s="0" t="n">
        <v>976</v>
      </c>
      <c r="D361" s="0" t="s">
        <v>3947</v>
      </c>
      <c r="E361" s="0" t="s">
        <v>3970</v>
      </c>
      <c r="F361" s="0" t="s">
        <v>3984</v>
      </c>
    </row>
    <row r="362" customFormat="false" ht="12.8" hidden="false" customHeight="false" outlineLevel="0" collapsed="false">
      <c r="A362" s="0" t="n">
        <v>2</v>
      </c>
      <c r="B362" s="0" t="n">
        <v>9</v>
      </c>
      <c r="C362" s="0" t="n">
        <v>977</v>
      </c>
      <c r="D362" s="0" t="s">
        <v>3947</v>
      </c>
      <c r="E362" s="0" t="s">
        <v>3970</v>
      </c>
      <c r="F362" s="0" t="s">
        <v>3985</v>
      </c>
    </row>
    <row r="363" customFormat="false" ht="12.8" hidden="false" customHeight="false" outlineLevel="0" collapsed="false">
      <c r="A363" s="0" t="n">
        <v>2</v>
      </c>
      <c r="B363" s="0" t="n">
        <v>9</v>
      </c>
      <c r="C363" s="0" t="n">
        <v>978</v>
      </c>
      <c r="D363" s="0" t="s">
        <v>3947</v>
      </c>
      <c r="E363" s="0" t="s">
        <v>3970</v>
      </c>
      <c r="F363" s="0" t="s">
        <v>3985</v>
      </c>
    </row>
    <row r="364" customFormat="false" ht="12.8" hidden="false" customHeight="false" outlineLevel="0" collapsed="false">
      <c r="A364" s="0" t="n">
        <v>2</v>
      </c>
      <c r="B364" s="0" t="n">
        <v>9</v>
      </c>
      <c r="C364" s="0" t="n">
        <v>979</v>
      </c>
      <c r="D364" s="0" t="s">
        <v>3947</v>
      </c>
      <c r="E364" s="0" t="s">
        <v>3970</v>
      </c>
      <c r="F364" s="0" t="s">
        <v>3985</v>
      </c>
    </row>
    <row r="365" customFormat="false" ht="12.8" hidden="false" customHeight="false" outlineLevel="0" collapsed="false">
      <c r="A365" s="0" t="n">
        <v>2</v>
      </c>
      <c r="B365" s="0" t="n">
        <v>9</v>
      </c>
      <c r="C365" s="0" t="n">
        <v>980</v>
      </c>
      <c r="D365" s="0" t="s">
        <v>3947</v>
      </c>
      <c r="E365" s="0" t="s">
        <v>3970</v>
      </c>
      <c r="F365" s="0" t="s">
        <v>3985</v>
      </c>
    </row>
    <row r="366" customFormat="false" ht="12.8" hidden="false" customHeight="false" outlineLevel="0" collapsed="false">
      <c r="A366" s="0" t="n">
        <v>2</v>
      </c>
      <c r="B366" s="0" t="n">
        <v>9</v>
      </c>
      <c r="C366" s="0" t="n">
        <v>981</v>
      </c>
      <c r="D366" s="0" t="s">
        <v>3947</v>
      </c>
      <c r="E366" s="0" t="s">
        <v>3970</v>
      </c>
      <c r="F366" s="0" t="s">
        <v>3985</v>
      </c>
    </row>
    <row r="367" customFormat="false" ht="12.8" hidden="false" customHeight="false" outlineLevel="0" collapsed="false">
      <c r="A367" s="0" t="n">
        <v>2</v>
      </c>
      <c r="B367" s="0" t="n">
        <v>9</v>
      </c>
      <c r="C367" s="0" t="n">
        <v>982</v>
      </c>
      <c r="D367" s="0" t="s">
        <v>3947</v>
      </c>
      <c r="E367" s="0" t="s">
        <v>3970</v>
      </c>
      <c r="F367" s="0" t="s">
        <v>3985</v>
      </c>
    </row>
    <row r="368" customFormat="false" ht="12.8" hidden="false" customHeight="false" outlineLevel="0" collapsed="false">
      <c r="A368" s="0" t="n">
        <v>2</v>
      </c>
      <c r="B368" s="0" t="n">
        <v>9</v>
      </c>
      <c r="C368" s="0" t="n">
        <v>983</v>
      </c>
      <c r="D368" s="0" t="s">
        <v>3947</v>
      </c>
      <c r="E368" s="0" t="s">
        <v>3970</v>
      </c>
      <c r="F368" s="0" t="s">
        <v>3982</v>
      </c>
    </row>
    <row r="369" customFormat="false" ht="12.8" hidden="false" customHeight="false" outlineLevel="0" collapsed="false">
      <c r="A369" s="0" t="n">
        <v>2</v>
      </c>
      <c r="B369" s="0" t="n">
        <v>9</v>
      </c>
      <c r="C369" s="0" t="n">
        <v>984</v>
      </c>
      <c r="D369" s="0" t="s">
        <v>3947</v>
      </c>
      <c r="E369" s="0" t="s">
        <v>3970</v>
      </c>
      <c r="F369" s="0" t="s">
        <v>3982</v>
      </c>
    </row>
    <row r="370" customFormat="false" ht="12.8" hidden="false" customHeight="false" outlineLevel="0" collapsed="false">
      <c r="A370" s="0" t="n">
        <v>2</v>
      </c>
      <c r="B370" s="0" t="n">
        <v>9</v>
      </c>
      <c r="C370" s="0" t="n">
        <v>985</v>
      </c>
      <c r="D370" s="0" t="s">
        <v>3947</v>
      </c>
      <c r="E370" s="0" t="s">
        <v>3970</v>
      </c>
      <c r="F370" s="0" t="s">
        <v>3982</v>
      </c>
    </row>
    <row r="371" customFormat="false" ht="12.8" hidden="false" customHeight="false" outlineLevel="0" collapsed="false">
      <c r="A371" s="0" t="n">
        <v>2</v>
      </c>
      <c r="B371" s="0" t="n">
        <v>9</v>
      </c>
      <c r="C371" s="0" t="n">
        <v>986</v>
      </c>
      <c r="D371" s="0" t="s">
        <v>3947</v>
      </c>
      <c r="E371" s="0" t="s">
        <v>3970</v>
      </c>
      <c r="F371" s="0" t="s">
        <v>3984</v>
      </c>
    </row>
    <row r="372" customFormat="false" ht="12.8" hidden="false" customHeight="false" outlineLevel="0" collapsed="false">
      <c r="A372" s="0" t="n">
        <v>2</v>
      </c>
      <c r="B372" s="0" t="n">
        <v>9</v>
      </c>
      <c r="C372" s="0" t="n">
        <v>1001</v>
      </c>
      <c r="D372" s="0" t="s">
        <v>3947</v>
      </c>
      <c r="E372" s="0" t="s">
        <v>3970</v>
      </c>
      <c r="F372" s="0" t="s">
        <v>3974</v>
      </c>
    </row>
    <row r="373" customFormat="false" ht="12.8" hidden="false" customHeight="false" outlineLevel="0" collapsed="false">
      <c r="A373" s="0" t="n">
        <v>2</v>
      </c>
      <c r="B373" s="0" t="n">
        <v>9</v>
      </c>
      <c r="C373" s="0" t="n">
        <v>1002</v>
      </c>
      <c r="D373" s="0" t="s">
        <v>3947</v>
      </c>
      <c r="E373" s="0" t="s">
        <v>3970</v>
      </c>
      <c r="F373" s="0" t="s">
        <v>3974</v>
      </c>
    </row>
    <row r="374" customFormat="false" ht="12.8" hidden="false" customHeight="false" outlineLevel="0" collapsed="false">
      <c r="A374" s="0" t="n">
        <v>2</v>
      </c>
      <c r="B374" s="0" t="n">
        <v>9</v>
      </c>
      <c r="C374" s="0" t="n">
        <v>1003</v>
      </c>
      <c r="D374" s="0" t="s">
        <v>3947</v>
      </c>
      <c r="E374" s="0" t="s">
        <v>3970</v>
      </c>
      <c r="F374" s="0" t="s">
        <v>3974</v>
      </c>
    </row>
    <row r="375" customFormat="false" ht="12.8" hidden="false" customHeight="false" outlineLevel="0" collapsed="false">
      <c r="A375" s="0" t="n">
        <v>2</v>
      </c>
      <c r="B375" s="0" t="n">
        <v>9</v>
      </c>
      <c r="C375" s="0" t="n">
        <v>1004</v>
      </c>
      <c r="D375" s="0" t="s">
        <v>3947</v>
      </c>
      <c r="E375" s="0" t="s">
        <v>3970</v>
      </c>
      <c r="F375" s="0" t="s">
        <v>3986</v>
      </c>
    </row>
    <row r="376" customFormat="false" ht="12.8" hidden="false" customHeight="false" outlineLevel="0" collapsed="false">
      <c r="A376" s="0" t="n">
        <v>2</v>
      </c>
      <c r="B376" s="0" t="n">
        <v>9</v>
      </c>
      <c r="C376" s="0" t="n">
        <v>1005</v>
      </c>
      <c r="D376" s="0" t="s">
        <v>3947</v>
      </c>
      <c r="E376" s="0" t="s">
        <v>3970</v>
      </c>
      <c r="F376" s="0" t="s">
        <v>3972</v>
      </c>
    </row>
    <row r="377" customFormat="false" ht="12.8" hidden="false" customHeight="false" outlineLevel="0" collapsed="false">
      <c r="A377" s="0" t="n">
        <v>2</v>
      </c>
      <c r="B377" s="0" t="n">
        <v>9</v>
      </c>
      <c r="C377" s="0" t="n">
        <v>1006</v>
      </c>
      <c r="D377" s="0" t="s">
        <v>3947</v>
      </c>
      <c r="E377" s="0" t="s">
        <v>3970</v>
      </c>
      <c r="F377" s="0" t="s">
        <v>3972</v>
      </c>
    </row>
    <row r="378" customFormat="false" ht="12.8" hidden="false" customHeight="false" outlineLevel="0" collapsed="false">
      <c r="A378" s="0" t="n">
        <v>2</v>
      </c>
      <c r="B378" s="0" t="n">
        <v>9</v>
      </c>
      <c r="C378" s="0" t="n">
        <v>1007</v>
      </c>
      <c r="D378" s="0" t="s">
        <v>3947</v>
      </c>
      <c r="E378" s="0" t="s">
        <v>3970</v>
      </c>
      <c r="F378" s="0" t="s">
        <v>3972</v>
      </c>
    </row>
    <row r="379" customFormat="false" ht="12.8" hidden="false" customHeight="false" outlineLevel="0" collapsed="false">
      <c r="A379" s="0" t="n">
        <v>2</v>
      </c>
      <c r="B379" s="0" t="n">
        <v>9</v>
      </c>
      <c r="C379" s="0" t="n">
        <v>1037</v>
      </c>
      <c r="D379" s="0" t="s">
        <v>3947</v>
      </c>
      <c r="E379" s="0" t="s">
        <v>3970</v>
      </c>
      <c r="F379" s="0" t="s">
        <v>3987</v>
      </c>
    </row>
    <row r="380" customFormat="false" ht="12.8" hidden="false" customHeight="false" outlineLevel="0" collapsed="false">
      <c r="A380" s="0" t="n">
        <v>2</v>
      </c>
      <c r="B380" s="0" t="n">
        <v>9</v>
      </c>
      <c r="C380" s="0" t="n">
        <v>1051</v>
      </c>
      <c r="D380" s="0" t="s">
        <v>3947</v>
      </c>
      <c r="E380" s="0" t="s">
        <v>3970</v>
      </c>
      <c r="F380" s="0" t="s">
        <v>3988</v>
      </c>
    </row>
    <row r="381" customFormat="false" ht="12.8" hidden="false" customHeight="false" outlineLevel="0" collapsed="false">
      <c r="A381" s="0" t="n">
        <v>2</v>
      </c>
      <c r="B381" s="0" t="n">
        <v>9</v>
      </c>
      <c r="C381" s="0" t="n">
        <v>1052</v>
      </c>
      <c r="D381" s="0" t="s">
        <v>3947</v>
      </c>
      <c r="E381" s="0" t="s">
        <v>3970</v>
      </c>
      <c r="F381" s="0" t="s">
        <v>3988</v>
      </c>
    </row>
    <row r="382" customFormat="false" ht="12.8" hidden="false" customHeight="false" outlineLevel="0" collapsed="false">
      <c r="A382" s="0" t="n">
        <v>2</v>
      </c>
      <c r="B382" s="0" t="n">
        <v>9</v>
      </c>
      <c r="C382" s="0" t="n">
        <v>1058</v>
      </c>
      <c r="D382" s="0" t="s">
        <v>3947</v>
      </c>
      <c r="E382" s="0" t="s">
        <v>3970</v>
      </c>
      <c r="F382" s="0" t="s">
        <v>3989</v>
      </c>
    </row>
    <row r="383" customFormat="false" ht="12.8" hidden="false" customHeight="false" outlineLevel="0" collapsed="false">
      <c r="A383" s="0" t="n">
        <v>2</v>
      </c>
      <c r="B383" s="0" t="n">
        <v>9</v>
      </c>
      <c r="C383" s="0" t="n">
        <v>1059</v>
      </c>
      <c r="D383" s="0" t="s">
        <v>3947</v>
      </c>
      <c r="E383" s="0" t="s">
        <v>3970</v>
      </c>
      <c r="F383" s="0" t="s">
        <v>3989</v>
      </c>
    </row>
    <row r="384" customFormat="false" ht="12.8" hidden="false" customHeight="false" outlineLevel="0" collapsed="false">
      <c r="A384" s="0" t="n">
        <v>2</v>
      </c>
      <c r="B384" s="0" t="n">
        <v>9</v>
      </c>
      <c r="C384" s="0" t="n">
        <v>1060</v>
      </c>
      <c r="D384" s="0" t="s">
        <v>3947</v>
      </c>
      <c r="E384" s="0" t="s">
        <v>3970</v>
      </c>
      <c r="F384" s="0" t="s">
        <v>3989</v>
      </c>
    </row>
    <row r="385" customFormat="false" ht="12.8" hidden="false" customHeight="false" outlineLevel="0" collapsed="false">
      <c r="A385" s="0" t="n">
        <v>2</v>
      </c>
      <c r="B385" s="0" t="n">
        <v>9</v>
      </c>
      <c r="C385" s="0" t="n">
        <v>1061</v>
      </c>
      <c r="D385" s="0" t="s">
        <v>3947</v>
      </c>
      <c r="E385" s="0" t="s">
        <v>3970</v>
      </c>
      <c r="F385" s="0" t="s">
        <v>3989</v>
      </c>
    </row>
    <row r="386" customFormat="false" ht="12.8" hidden="false" customHeight="false" outlineLevel="0" collapsed="false">
      <c r="A386" s="0" t="n">
        <v>2</v>
      </c>
      <c r="B386" s="0" t="n">
        <v>9</v>
      </c>
      <c r="C386" s="0" t="n">
        <v>1062</v>
      </c>
      <c r="D386" s="0" t="s">
        <v>3947</v>
      </c>
      <c r="E386" s="0" t="s">
        <v>3970</v>
      </c>
      <c r="F386" s="0" t="s">
        <v>3990</v>
      </c>
    </row>
    <row r="387" customFormat="false" ht="12.8" hidden="false" customHeight="false" outlineLevel="0" collapsed="false">
      <c r="A387" s="0" t="n">
        <v>2</v>
      </c>
      <c r="B387" s="0" t="n">
        <v>9</v>
      </c>
      <c r="C387" s="0" t="n">
        <v>1063</v>
      </c>
      <c r="D387" s="0" t="s">
        <v>3947</v>
      </c>
      <c r="E387" s="0" t="s">
        <v>3970</v>
      </c>
      <c r="F387" s="0" t="s">
        <v>3990</v>
      </c>
    </row>
    <row r="388" customFormat="false" ht="12.8" hidden="false" customHeight="false" outlineLevel="0" collapsed="false">
      <c r="A388" s="0" t="n">
        <v>2</v>
      </c>
      <c r="B388" s="0" t="n">
        <v>9</v>
      </c>
      <c r="C388" s="0" t="n">
        <v>1064</v>
      </c>
      <c r="D388" s="0" t="s">
        <v>3947</v>
      </c>
      <c r="E388" s="0" t="s">
        <v>3970</v>
      </c>
      <c r="F388" s="0" t="s">
        <v>3990</v>
      </c>
    </row>
    <row r="389" customFormat="false" ht="12.8" hidden="false" customHeight="false" outlineLevel="0" collapsed="false">
      <c r="A389" s="0" t="n">
        <v>2</v>
      </c>
      <c r="B389" s="0" t="n">
        <v>9</v>
      </c>
      <c r="C389" s="0" t="n">
        <v>1065</v>
      </c>
      <c r="D389" s="0" t="s">
        <v>3947</v>
      </c>
      <c r="E389" s="0" t="s">
        <v>3970</v>
      </c>
      <c r="F389" s="0" t="s">
        <v>3990</v>
      </c>
    </row>
    <row r="390" customFormat="false" ht="12.8" hidden="false" customHeight="false" outlineLevel="0" collapsed="false">
      <c r="A390" s="0" t="n">
        <v>2</v>
      </c>
      <c r="B390" s="0" t="n">
        <v>9</v>
      </c>
      <c r="C390" s="0" t="n">
        <v>1066</v>
      </c>
      <c r="D390" s="0" t="s">
        <v>3947</v>
      </c>
      <c r="E390" s="0" t="s">
        <v>3970</v>
      </c>
      <c r="F390" s="0" t="s">
        <v>3990</v>
      </c>
    </row>
    <row r="391" customFormat="false" ht="12.8" hidden="false" customHeight="false" outlineLevel="0" collapsed="false">
      <c r="A391" s="0" t="n">
        <v>2</v>
      </c>
      <c r="B391" s="0" t="n">
        <v>9</v>
      </c>
      <c r="C391" s="0" t="n">
        <v>1067</v>
      </c>
      <c r="D391" s="0" t="s">
        <v>3947</v>
      </c>
      <c r="E391" s="0" t="s">
        <v>3970</v>
      </c>
      <c r="F391" s="0" t="s">
        <v>3990</v>
      </c>
    </row>
    <row r="392" customFormat="false" ht="12.8" hidden="false" customHeight="false" outlineLevel="0" collapsed="false">
      <c r="A392" s="0" t="n">
        <v>2</v>
      </c>
      <c r="B392" s="0" t="n">
        <v>9</v>
      </c>
      <c r="C392" s="0" t="n">
        <v>1068</v>
      </c>
      <c r="D392" s="0" t="s">
        <v>3947</v>
      </c>
      <c r="E392" s="0" t="s">
        <v>3970</v>
      </c>
      <c r="F392" s="0" t="s">
        <v>3990</v>
      </c>
    </row>
    <row r="393" customFormat="false" ht="12.8" hidden="false" customHeight="false" outlineLevel="0" collapsed="false">
      <c r="A393" s="0" t="n">
        <v>2</v>
      </c>
      <c r="B393" s="0" t="n">
        <v>9</v>
      </c>
      <c r="C393" s="0" t="n">
        <v>1069</v>
      </c>
      <c r="D393" s="0" t="s">
        <v>3947</v>
      </c>
      <c r="E393" s="0" t="s">
        <v>3970</v>
      </c>
      <c r="F393" s="0" t="s">
        <v>3990</v>
      </c>
    </row>
    <row r="394" customFormat="false" ht="12.8" hidden="false" customHeight="false" outlineLevel="0" collapsed="false">
      <c r="A394" s="0" t="n">
        <v>2</v>
      </c>
      <c r="B394" s="0" t="n">
        <v>9</v>
      </c>
      <c r="C394" s="0" t="n">
        <v>1070</v>
      </c>
      <c r="D394" s="0" t="s">
        <v>3947</v>
      </c>
      <c r="E394" s="0" t="s">
        <v>3970</v>
      </c>
      <c r="F394" s="0" t="s">
        <v>3991</v>
      </c>
    </row>
    <row r="395" customFormat="false" ht="12.8" hidden="false" customHeight="false" outlineLevel="0" collapsed="false">
      <c r="A395" s="0" t="n">
        <v>2</v>
      </c>
      <c r="B395" s="0" t="n">
        <v>9</v>
      </c>
      <c r="C395" s="0" t="n">
        <v>1071</v>
      </c>
      <c r="D395" s="0" t="s">
        <v>3947</v>
      </c>
      <c r="E395" s="0" t="s">
        <v>3970</v>
      </c>
      <c r="F395" s="0" t="s">
        <v>3991</v>
      </c>
    </row>
    <row r="396" customFormat="false" ht="12.8" hidden="false" customHeight="false" outlineLevel="0" collapsed="false">
      <c r="A396" s="0" t="n">
        <v>2</v>
      </c>
      <c r="B396" s="0" t="n">
        <v>9</v>
      </c>
      <c r="C396" s="0" t="n">
        <v>1072</v>
      </c>
      <c r="D396" s="0" t="s">
        <v>3947</v>
      </c>
      <c r="E396" s="0" t="s">
        <v>3970</v>
      </c>
      <c r="F396" s="0" t="s">
        <v>3992</v>
      </c>
    </row>
    <row r="397" customFormat="false" ht="12.8" hidden="false" customHeight="false" outlineLevel="0" collapsed="false">
      <c r="A397" s="0" t="n">
        <v>2</v>
      </c>
      <c r="B397" s="0" t="n">
        <v>9</v>
      </c>
      <c r="C397" s="0" t="n">
        <v>1073</v>
      </c>
      <c r="D397" s="0" t="s">
        <v>3947</v>
      </c>
      <c r="E397" s="0" t="s">
        <v>3970</v>
      </c>
      <c r="F397" s="0" t="s">
        <v>3992</v>
      </c>
    </row>
    <row r="398" customFormat="false" ht="12.8" hidden="false" customHeight="false" outlineLevel="0" collapsed="false">
      <c r="A398" s="0" t="n">
        <v>2</v>
      </c>
      <c r="B398" s="0" t="n">
        <v>9</v>
      </c>
      <c r="C398" s="0" t="n">
        <v>1074</v>
      </c>
      <c r="D398" s="0" t="s">
        <v>3947</v>
      </c>
      <c r="E398" s="0" t="s">
        <v>3970</v>
      </c>
      <c r="F398" s="0" t="s">
        <v>3992</v>
      </c>
    </row>
    <row r="399" customFormat="false" ht="12.8" hidden="false" customHeight="false" outlineLevel="0" collapsed="false">
      <c r="A399" s="0" t="n">
        <v>2</v>
      </c>
      <c r="B399" s="0" t="n">
        <v>9</v>
      </c>
      <c r="C399" s="0" t="n">
        <v>1075</v>
      </c>
      <c r="D399" s="0" t="s">
        <v>3947</v>
      </c>
      <c r="E399" s="0" t="s">
        <v>3970</v>
      </c>
      <c r="F399" s="0" t="s">
        <v>3991</v>
      </c>
    </row>
    <row r="400" customFormat="false" ht="12.8" hidden="false" customHeight="false" outlineLevel="0" collapsed="false">
      <c r="A400" s="0" t="n">
        <v>2</v>
      </c>
      <c r="B400" s="0" t="n">
        <v>9</v>
      </c>
      <c r="C400" s="0" t="n">
        <v>1076</v>
      </c>
      <c r="D400" s="0" t="s">
        <v>3947</v>
      </c>
      <c r="E400" s="0" t="s">
        <v>3970</v>
      </c>
      <c r="F400" s="0" t="s">
        <v>3993</v>
      </c>
    </row>
    <row r="401" customFormat="false" ht="12.8" hidden="false" customHeight="false" outlineLevel="0" collapsed="false">
      <c r="A401" s="0" t="n">
        <v>2</v>
      </c>
      <c r="B401" s="0" t="n">
        <v>9</v>
      </c>
      <c r="C401" s="0" t="n">
        <v>1077</v>
      </c>
      <c r="D401" s="0" t="s">
        <v>3947</v>
      </c>
      <c r="E401" s="0" t="s">
        <v>3970</v>
      </c>
      <c r="F401" s="0" t="s">
        <v>3993</v>
      </c>
    </row>
    <row r="402" customFormat="false" ht="12.8" hidden="false" customHeight="false" outlineLevel="0" collapsed="false">
      <c r="A402" s="0" t="n">
        <v>2</v>
      </c>
      <c r="B402" s="0" t="n">
        <v>9</v>
      </c>
      <c r="C402" s="0" t="n">
        <v>1078</v>
      </c>
      <c r="D402" s="0" t="s">
        <v>3947</v>
      </c>
      <c r="E402" s="0" t="s">
        <v>3970</v>
      </c>
      <c r="F402" s="0" t="s">
        <v>3993</v>
      </c>
    </row>
    <row r="403" customFormat="false" ht="12.8" hidden="false" customHeight="false" outlineLevel="0" collapsed="false">
      <c r="A403" s="0" t="n">
        <v>2</v>
      </c>
      <c r="B403" s="0" t="n">
        <v>9</v>
      </c>
      <c r="C403" s="0" t="n">
        <v>1079</v>
      </c>
      <c r="D403" s="0" t="s">
        <v>3947</v>
      </c>
      <c r="E403" s="0" t="s">
        <v>3970</v>
      </c>
      <c r="F403" s="0" t="s">
        <v>3994</v>
      </c>
    </row>
    <row r="404" customFormat="false" ht="12.8" hidden="false" customHeight="false" outlineLevel="0" collapsed="false">
      <c r="A404" s="0" t="n">
        <v>2</v>
      </c>
      <c r="B404" s="0" t="n">
        <v>9</v>
      </c>
      <c r="C404" s="0" t="n">
        <v>1080</v>
      </c>
      <c r="D404" s="0" t="s">
        <v>3947</v>
      </c>
      <c r="E404" s="0" t="s">
        <v>3970</v>
      </c>
      <c r="F404" s="0" t="s">
        <v>3994</v>
      </c>
    </row>
    <row r="405" customFormat="false" ht="12.8" hidden="false" customHeight="false" outlineLevel="0" collapsed="false">
      <c r="A405" s="0" t="n">
        <v>2</v>
      </c>
      <c r="B405" s="0" t="n">
        <v>9</v>
      </c>
      <c r="C405" s="0" t="n">
        <v>1086</v>
      </c>
      <c r="D405" s="0" t="s">
        <v>3947</v>
      </c>
      <c r="E405" s="0" t="s">
        <v>3970</v>
      </c>
      <c r="F405" s="0" t="s">
        <v>3995</v>
      </c>
    </row>
    <row r="406" customFormat="false" ht="12.8" hidden="false" customHeight="false" outlineLevel="0" collapsed="false">
      <c r="A406" s="0" t="n">
        <v>2</v>
      </c>
      <c r="B406" s="0" t="n">
        <v>9</v>
      </c>
      <c r="C406" s="0" t="n">
        <v>1087</v>
      </c>
      <c r="D406" s="0" t="s">
        <v>3947</v>
      </c>
      <c r="E406" s="0" t="s">
        <v>3970</v>
      </c>
      <c r="F406" s="0" t="s">
        <v>3995</v>
      </c>
    </row>
    <row r="407" customFormat="false" ht="12.8" hidden="false" customHeight="false" outlineLevel="0" collapsed="false">
      <c r="A407" s="0" t="n">
        <v>2</v>
      </c>
      <c r="B407" s="0" t="n">
        <v>9</v>
      </c>
      <c r="C407" s="0" t="n">
        <v>1088</v>
      </c>
      <c r="D407" s="0" t="s">
        <v>3947</v>
      </c>
      <c r="E407" s="0" t="s">
        <v>3970</v>
      </c>
      <c r="F407" s="0" t="s">
        <v>3995</v>
      </c>
    </row>
    <row r="408" customFormat="false" ht="12.8" hidden="false" customHeight="false" outlineLevel="0" collapsed="false">
      <c r="A408" s="0" t="n">
        <v>2</v>
      </c>
      <c r="B408" s="0" t="n">
        <v>9</v>
      </c>
      <c r="C408" s="0" t="n">
        <v>1089</v>
      </c>
      <c r="D408" s="0" t="s">
        <v>3947</v>
      </c>
      <c r="E408" s="0" t="s">
        <v>3970</v>
      </c>
      <c r="F408" s="0" t="s">
        <v>3995</v>
      </c>
    </row>
    <row r="409" customFormat="false" ht="12.8" hidden="false" customHeight="false" outlineLevel="0" collapsed="false">
      <c r="A409" s="0" t="n">
        <v>2</v>
      </c>
      <c r="B409" s="0" t="n">
        <v>9</v>
      </c>
      <c r="C409" s="0" t="n">
        <v>1097</v>
      </c>
      <c r="D409" s="0" t="s">
        <v>3947</v>
      </c>
      <c r="E409" s="0" t="s">
        <v>3970</v>
      </c>
      <c r="F409" s="0" t="s">
        <v>3996</v>
      </c>
    </row>
    <row r="410" customFormat="false" ht="12.8" hidden="false" customHeight="false" outlineLevel="0" collapsed="false">
      <c r="A410" s="0" t="n">
        <v>2</v>
      </c>
      <c r="B410" s="0" t="n">
        <v>9</v>
      </c>
      <c r="C410" s="0" t="n">
        <v>1098</v>
      </c>
      <c r="D410" s="0" t="s">
        <v>3947</v>
      </c>
      <c r="E410" s="0" t="s">
        <v>3970</v>
      </c>
      <c r="F410" s="0" t="s">
        <v>3997</v>
      </c>
    </row>
    <row r="411" customFormat="false" ht="12.8" hidden="false" customHeight="false" outlineLevel="0" collapsed="false">
      <c r="A411" s="0" t="n">
        <v>2</v>
      </c>
      <c r="B411" s="0" t="n">
        <v>9</v>
      </c>
      <c r="C411" s="0" t="n">
        <v>1127</v>
      </c>
      <c r="D411" s="0" t="s">
        <v>3947</v>
      </c>
      <c r="E411" s="0" t="s">
        <v>3970</v>
      </c>
      <c r="F411" s="0" t="s">
        <v>3998</v>
      </c>
    </row>
    <row r="412" customFormat="false" ht="12.8" hidden="false" customHeight="false" outlineLevel="0" collapsed="false">
      <c r="A412" s="0" t="n">
        <v>2</v>
      </c>
      <c r="B412" s="0" t="n">
        <v>9</v>
      </c>
      <c r="C412" s="0" t="n">
        <v>1130</v>
      </c>
      <c r="D412" s="0" t="s">
        <v>3947</v>
      </c>
      <c r="E412" s="0" t="s">
        <v>3970</v>
      </c>
      <c r="F412" s="0" t="s">
        <v>3999</v>
      </c>
    </row>
    <row r="413" customFormat="false" ht="12.8" hidden="false" customHeight="false" outlineLevel="0" collapsed="false">
      <c r="A413" s="0" t="n">
        <v>2</v>
      </c>
      <c r="B413" s="0" t="n">
        <v>9</v>
      </c>
      <c r="C413" s="0" t="n">
        <v>1134</v>
      </c>
      <c r="D413" s="0" t="s">
        <v>3947</v>
      </c>
      <c r="E413" s="0" t="s">
        <v>3970</v>
      </c>
      <c r="F413" s="0" t="s">
        <v>4000</v>
      </c>
    </row>
    <row r="414" customFormat="false" ht="12.8" hidden="false" customHeight="false" outlineLevel="0" collapsed="false">
      <c r="A414" s="0" t="n">
        <v>2</v>
      </c>
      <c r="B414" s="0" t="n">
        <v>9</v>
      </c>
      <c r="C414" s="0" t="n">
        <v>1135</v>
      </c>
      <c r="D414" s="0" t="s">
        <v>3947</v>
      </c>
      <c r="E414" s="0" t="s">
        <v>3970</v>
      </c>
      <c r="F414" s="0" t="s">
        <v>4000</v>
      </c>
    </row>
    <row r="415" customFormat="false" ht="12.8" hidden="false" customHeight="false" outlineLevel="0" collapsed="false">
      <c r="A415" s="0" t="n">
        <v>2</v>
      </c>
      <c r="B415" s="0" t="n">
        <v>9</v>
      </c>
      <c r="C415" s="0" t="n">
        <v>1190</v>
      </c>
      <c r="D415" s="0" t="s">
        <v>3947</v>
      </c>
      <c r="E415" s="0" t="s">
        <v>3970</v>
      </c>
      <c r="F415" s="0" t="s">
        <v>4001</v>
      </c>
    </row>
    <row r="416" customFormat="false" ht="12.8" hidden="false" customHeight="false" outlineLevel="0" collapsed="false">
      <c r="A416" s="0" t="n">
        <v>2</v>
      </c>
      <c r="B416" s="0" t="n">
        <v>9</v>
      </c>
      <c r="C416" s="0" t="n">
        <v>1203</v>
      </c>
      <c r="D416" s="0" t="s">
        <v>3947</v>
      </c>
      <c r="E416" s="0" t="s">
        <v>3970</v>
      </c>
      <c r="F416" s="0" t="s">
        <v>3993</v>
      </c>
    </row>
    <row r="417" customFormat="false" ht="12.8" hidden="false" customHeight="false" outlineLevel="0" collapsed="false">
      <c r="A417" s="0" t="n">
        <v>2</v>
      </c>
      <c r="B417" s="0" t="n">
        <v>9</v>
      </c>
      <c r="C417" s="0" t="n">
        <v>1204</v>
      </c>
      <c r="D417" s="0" t="s">
        <v>3947</v>
      </c>
      <c r="E417" s="0" t="s">
        <v>3970</v>
      </c>
      <c r="F417" s="0" t="s">
        <v>3971</v>
      </c>
    </row>
    <row r="418" customFormat="false" ht="12.8" hidden="false" customHeight="false" outlineLevel="0" collapsed="false">
      <c r="A418" s="0" t="n">
        <v>2</v>
      </c>
      <c r="B418" s="0" t="n">
        <v>9</v>
      </c>
      <c r="C418" s="0" t="n">
        <v>1205</v>
      </c>
      <c r="D418" s="0" t="s">
        <v>3947</v>
      </c>
      <c r="E418" s="0" t="s">
        <v>3970</v>
      </c>
      <c r="F418" s="0" t="s">
        <v>3975</v>
      </c>
    </row>
    <row r="419" customFormat="false" ht="12.8" hidden="false" customHeight="false" outlineLevel="0" collapsed="false">
      <c r="A419" s="0" t="n">
        <v>2</v>
      </c>
      <c r="B419" s="0" t="n">
        <v>9</v>
      </c>
      <c r="C419" s="0" t="n">
        <v>1206</v>
      </c>
      <c r="D419" s="0" t="s">
        <v>3947</v>
      </c>
      <c r="E419" s="0" t="s">
        <v>3970</v>
      </c>
      <c r="F419" s="0" t="s">
        <v>3976</v>
      </c>
    </row>
    <row r="420" customFormat="false" ht="12.8" hidden="false" customHeight="false" outlineLevel="0" collapsed="false">
      <c r="A420" s="0" t="n">
        <v>2</v>
      </c>
      <c r="B420" s="0" t="n">
        <v>9</v>
      </c>
      <c r="C420" s="0" t="n">
        <v>1207</v>
      </c>
      <c r="D420" s="0" t="s">
        <v>3947</v>
      </c>
      <c r="E420" s="0" t="s">
        <v>3970</v>
      </c>
      <c r="F420" s="0" t="s">
        <v>3937</v>
      </c>
    </row>
    <row r="421" customFormat="false" ht="12.8" hidden="false" customHeight="false" outlineLevel="0" collapsed="false">
      <c r="A421" s="0" t="n">
        <v>2</v>
      </c>
      <c r="B421" s="0" t="n">
        <v>9</v>
      </c>
      <c r="C421" s="0" t="n">
        <v>1287</v>
      </c>
      <c r="D421" s="0" t="s">
        <v>3947</v>
      </c>
      <c r="E421" s="0" t="s">
        <v>3970</v>
      </c>
      <c r="F421" s="0" t="s">
        <v>3989</v>
      </c>
    </row>
    <row r="422" customFormat="false" ht="12.8" hidden="false" customHeight="false" outlineLevel="0" collapsed="false">
      <c r="A422" s="0" t="n">
        <v>2</v>
      </c>
      <c r="B422" s="0" t="n">
        <v>9</v>
      </c>
      <c r="C422" s="0" t="n">
        <v>1288</v>
      </c>
      <c r="D422" s="0" t="s">
        <v>3947</v>
      </c>
      <c r="E422" s="0" t="s">
        <v>3970</v>
      </c>
      <c r="F422" s="0" t="s">
        <v>3990</v>
      </c>
    </row>
    <row r="423" customFormat="false" ht="12.8" hidden="false" customHeight="false" outlineLevel="0" collapsed="false">
      <c r="A423" s="0" t="n">
        <v>2</v>
      </c>
      <c r="B423" s="0" t="n">
        <v>9</v>
      </c>
      <c r="C423" s="0" t="n">
        <v>1292</v>
      </c>
      <c r="D423" s="0" t="s">
        <v>3947</v>
      </c>
      <c r="E423" s="0" t="s">
        <v>3970</v>
      </c>
      <c r="F423" s="0" t="s">
        <v>3977</v>
      </c>
    </row>
    <row r="424" customFormat="false" ht="12.8" hidden="false" customHeight="false" outlineLevel="0" collapsed="false">
      <c r="A424" s="0" t="n">
        <v>2</v>
      </c>
      <c r="B424" s="0" t="n">
        <v>9</v>
      </c>
      <c r="C424" s="0" t="n">
        <v>1293</v>
      </c>
      <c r="D424" s="0" t="s">
        <v>3947</v>
      </c>
      <c r="E424" s="0" t="s">
        <v>3970</v>
      </c>
      <c r="F424" s="0" t="s">
        <v>3972</v>
      </c>
    </row>
    <row r="425" customFormat="false" ht="12.8" hidden="false" customHeight="false" outlineLevel="0" collapsed="false">
      <c r="A425" s="0" t="n">
        <v>2</v>
      </c>
      <c r="B425" s="0" t="n">
        <v>9</v>
      </c>
      <c r="C425" s="0" t="n">
        <v>1303</v>
      </c>
      <c r="D425" s="0" t="s">
        <v>3947</v>
      </c>
      <c r="E425" s="0" t="s">
        <v>3970</v>
      </c>
      <c r="F425" s="0" t="s">
        <v>3992</v>
      </c>
    </row>
    <row r="426" customFormat="false" ht="12.8" hidden="false" customHeight="false" outlineLevel="0" collapsed="false">
      <c r="A426" s="0" t="n">
        <v>2</v>
      </c>
      <c r="B426" s="0" t="n">
        <v>9</v>
      </c>
      <c r="C426" s="0" t="n">
        <v>1314</v>
      </c>
      <c r="D426" s="0" t="s">
        <v>3947</v>
      </c>
      <c r="E426" s="0" t="s">
        <v>3970</v>
      </c>
      <c r="F426" s="0" t="s">
        <v>3985</v>
      </c>
    </row>
    <row r="427" customFormat="false" ht="12.8" hidden="false" customHeight="false" outlineLevel="0" collapsed="false">
      <c r="A427" s="0" t="n">
        <v>2</v>
      </c>
      <c r="B427" s="0" t="n">
        <v>9</v>
      </c>
      <c r="C427" s="0" t="n">
        <v>1315</v>
      </c>
      <c r="D427" s="0" t="s">
        <v>3947</v>
      </c>
      <c r="E427" s="0" t="s">
        <v>3970</v>
      </c>
      <c r="F427" s="0" t="s">
        <v>3982</v>
      </c>
    </row>
    <row r="428" customFormat="false" ht="12.8" hidden="false" customHeight="false" outlineLevel="0" collapsed="false">
      <c r="A428" s="0" t="n">
        <v>2</v>
      </c>
      <c r="B428" s="0" t="n">
        <v>9</v>
      </c>
      <c r="C428" s="0" t="n">
        <v>1316</v>
      </c>
      <c r="D428" s="0" t="s">
        <v>3947</v>
      </c>
      <c r="E428" s="0" t="s">
        <v>3970</v>
      </c>
      <c r="F428" s="0" t="s">
        <v>3984</v>
      </c>
    </row>
    <row r="429" customFormat="false" ht="12.8" hidden="false" customHeight="false" outlineLevel="0" collapsed="false">
      <c r="A429" s="0" t="n">
        <v>2</v>
      </c>
      <c r="B429" s="0" t="n">
        <v>9</v>
      </c>
      <c r="C429" s="0" t="n">
        <v>1319</v>
      </c>
      <c r="D429" s="0" t="s">
        <v>3947</v>
      </c>
      <c r="E429" s="0" t="s">
        <v>3970</v>
      </c>
      <c r="F429" s="0" t="s">
        <v>3991</v>
      </c>
    </row>
    <row r="430" customFormat="false" ht="12.8" hidden="false" customHeight="false" outlineLevel="0" collapsed="false">
      <c r="A430" s="0" t="n">
        <v>2</v>
      </c>
      <c r="B430" s="0" t="n">
        <v>9</v>
      </c>
      <c r="C430" s="0" t="n">
        <v>1324</v>
      </c>
      <c r="D430" s="0" t="s">
        <v>3947</v>
      </c>
      <c r="E430" s="0" t="s">
        <v>3970</v>
      </c>
      <c r="F430" s="0" t="s">
        <v>3986</v>
      </c>
    </row>
    <row r="431" customFormat="false" ht="12.8" hidden="false" customHeight="false" outlineLevel="0" collapsed="false">
      <c r="A431" s="0" t="n">
        <v>2</v>
      </c>
      <c r="B431" s="0" t="n">
        <v>9</v>
      </c>
      <c r="C431" s="0" t="n">
        <v>1326</v>
      </c>
      <c r="D431" s="0" t="s">
        <v>3947</v>
      </c>
      <c r="E431" s="0" t="s">
        <v>3970</v>
      </c>
      <c r="F431" s="0" t="s">
        <v>3974</v>
      </c>
    </row>
    <row r="432" customFormat="false" ht="12.8" hidden="false" customHeight="false" outlineLevel="0" collapsed="false">
      <c r="A432" s="0" t="n">
        <v>2</v>
      </c>
      <c r="B432" s="0" t="n">
        <v>9</v>
      </c>
      <c r="C432" s="0" t="n">
        <v>1340</v>
      </c>
      <c r="D432" s="0" t="s">
        <v>3947</v>
      </c>
      <c r="E432" s="0" t="s">
        <v>3970</v>
      </c>
      <c r="F432" s="0" t="s">
        <v>4001</v>
      </c>
    </row>
    <row r="433" customFormat="false" ht="12.8" hidden="false" customHeight="false" outlineLevel="0" collapsed="false">
      <c r="A433" s="0" t="n">
        <v>2</v>
      </c>
      <c r="B433" s="0" t="n">
        <v>9</v>
      </c>
      <c r="C433" s="0" t="n">
        <v>1347</v>
      </c>
      <c r="D433" s="0" t="s">
        <v>3947</v>
      </c>
      <c r="E433" s="0" t="s">
        <v>3970</v>
      </c>
      <c r="F433" s="0" t="s">
        <v>4002</v>
      </c>
    </row>
    <row r="434" customFormat="false" ht="12.8" hidden="false" customHeight="false" outlineLevel="0" collapsed="false">
      <c r="A434" s="0" t="n">
        <v>2</v>
      </c>
      <c r="B434" s="0" t="n">
        <v>9</v>
      </c>
      <c r="C434" s="0" t="n">
        <v>1375</v>
      </c>
      <c r="D434" s="0" t="s">
        <v>3947</v>
      </c>
      <c r="E434" s="0" t="s">
        <v>3970</v>
      </c>
      <c r="F434" s="0" t="s">
        <v>3971</v>
      </c>
    </row>
    <row r="435" customFormat="false" ht="12.8" hidden="false" customHeight="false" outlineLevel="0" collapsed="false">
      <c r="A435" s="0" t="n">
        <v>2</v>
      </c>
      <c r="B435" s="0" t="n">
        <v>9</v>
      </c>
      <c r="C435" s="0" t="n">
        <v>1376</v>
      </c>
      <c r="D435" s="0" t="s">
        <v>3947</v>
      </c>
      <c r="E435" s="0" t="s">
        <v>3970</v>
      </c>
      <c r="F435" s="0" t="s">
        <v>3975</v>
      </c>
    </row>
    <row r="436" customFormat="false" ht="12.8" hidden="false" customHeight="false" outlineLevel="0" collapsed="false">
      <c r="A436" s="0" t="n">
        <v>2</v>
      </c>
      <c r="B436" s="0" t="n">
        <v>9</v>
      </c>
      <c r="C436" s="0" t="n">
        <v>1377</v>
      </c>
      <c r="D436" s="0" t="s">
        <v>3947</v>
      </c>
      <c r="E436" s="0" t="s">
        <v>3970</v>
      </c>
      <c r="F436" s="0" t="s">
        <v>3976</v>
      </c>
    </row>
    <row r="437" customFormat="false" ht="12.8" hidden="false" customHeight="false" outlineLevel="0" collapsed="false">
      <c r="A437" s="0" t="n">
        <v>2</v>
      </c>
      <c r="B437" s="0" t="n">
        <v>9</v>
      </c>
      <c r="C437" s="0" t="n">
        <v>1378</v>
      </c>
      <c r="D437" s="0" t="s">
        <v>3947</v>
      </c>
      <c r="E437" s="0" t="s">
        <v>3970</v>
      </c>
      <c r="F437" s="0" t="s">
        <v>3937</v>
      </c>
    </row>
    <row r="438" customFormat="false" ht="12.8" hidden="false" customHeight="false" outlineLevel="0" collapsed="false">
      <c r="A438" s="0" t="n">
        <v>2</v>
      </c>
      <c r="B438" s="0" t="n">
        <v>9</v>
      </c>
      <c r="C438" s="0" t="n">
        <v>1393</v>
      </c>
      <c r="D438" s="0" t="s">
        <v>3947</v>
      </c>
      <c r="E438" s="0" t="s">
        <v>3970</v>
      </c>
      <c r="F438" s="0" t="s">
        <v>3979</v>
      </c>
    </row>
    <row r="439" customFormat="false" ht="12.8" hidden="false" customHeight="false" outlineLevel="0" collapsed="false">
      <c r="A439" s="0" t="n">
        <v>2</v>
      </c>
      <c r="B439" s="0" t="n">
        <v>9</v>
      </c>
      <c r="C439" s="0" t="n">
        <v>1407</v>
      </c>
      <c r="D439" s="0" t="s">
        <v>3947</v>
      </c>
      <c r="E439" s="0" t="s">
        <v>3970</v>
      </c>
      <c r="F439" s="0" t="s">
        <v>3994</v>
      </c>
    </row>
    <row r="440" customFormat="false" ht="12.8" hidden="false" customHeight="false" outlineLevel="0" collapsed="false">
      <c r="A440" s="0" t="n">
        <v>2</v>
      </c>
      <c r="B440" s="0" t="n">
        <v>9</v>
      </c>
      <c r="C440" s="0" t="n">
        <v>1469</v>
      </c>
      <c r="D440" s="0" t="s">
        <v>3947</v>
      </c>
      <c r="E440" s="0" t="s">
        <v>3970</v>
      </c>
      <c r="F440" s="0" t="s">
        <v>3988</v>
      </c>
    </row>
    <row r="441" customFormat="false" ht="12.8" hidden="false" customHeight="false" outlineLevel="0" collapsed="false">
      <c r="A441" s="0" t="n">
        <v>2</v>
      </c>
      <c r="B441" s="0" t="n">
        <v>9</v>
      </c>
      <c r="C441" s="0" t="n">
        <v>1477</v>
      </c>
      <c r="D441" s="0" t="s">
        <v>3947</v>
      </c>
      <c r="E441" s="0" t="s">
        <v>3970</v>
      </c>
      <c r="F441" s="0" t="s">
        <v>3989</v>
      </c>
    </row>
    <row r="442" customFormat="false" ht="12.8" hidden="false" customHeight="false" outlineLevel="0" collapsed="false">
      <c r="A442" s="0" t="n">
        <v>2</v>
      </c>
      <c r="B442" s="0" t="n">
        <v>9</v>
      </c>
      <c r="C442" s="0" t="n">
        <v>1478</v>
      </c>
      <c r="D442" s="0" t="s">
        <v>3947</v>
      </c>
      <c r="E442" s="0" t="s">
        <v>3970</v>
      </c>
      <c r="F442" s="0" t="s">
        <v>3990</v>
      </c>
    </row>
    <row r="443" customFormat="false" ht="12.8" hidden="false" customHeight="false" outlineLevel="0" collapsed="false">
      <c r="A443" s="0" t="n">
        <v>2</v>
      </c>
      <c r="B443" s="0" t="n">
        <v>9</v>
      </c>
      <c r="C443" s="0" t="n">
        <v>1480</v>
      </c>
      <c r="D443" s="0" t="s">
        <v>3947</v>
      </c>
      <c r="E443" s="0" t="s">
        <v>3970</v>
      </c>
      <c r="F443" s="0" t="s">
        <v>3980</v>
      </c>
    </row>
    <row r="444" customFormat="false" ht="12.8" hidden="false" customHeight="false" outlineLevel="0" collapsed="false">
      <c r="A444" s="0" t="n">
        <v>2</v>
      </c>
      <c r="B444" s="0" t="n">
        <v>9</v>
      </c>
      <c r="C444" s="0" t="n">
        <v>1484</v>
      </c>
      <c r="D444" s="0" t="s">
        <v>3947</v>
      </c>
      <c r="E444" s="0" t="s">
        <v>3970</v>
      </c>
      <c r="F444" s="0" t="s">
        <v>3977</v>
      </c>
    </row>
    <row r="445" customFormat="false" ht="12.8" hidden="false" customHeight="false" outlineLevel="0" collapsed="false">
      <c r="A445" s="0" t="n">
        <v>2</v>
      </c>
      <c r="B445" s="0" t="n">
        <v>9</v>
      </c>
      <c r="C445" s="0" t="n">
        <v>1488</v>
      </c>
      <c r="D445" s="0" t="s">
        <v>3947</v>
      </c>
      <c r="E445" s="0" t="s">
        <v>3970</v>
      </c>
      <c r="F445" s="0" t="s">
        <v>3985</v>
      </c>
    </row>
    <row r="446" customFormat="false" ht="12.8" hidden="false" customHeight="false" outlineLevel="0" collapsed="false">
      <c r="A446" s="0" t="n">
        <v>2</v>
      </c>
      <c r="B446" s="0" t="n">
        <v>9</v>
      </c>
      <c r="C446" s="0" t="n">
        <v>1489</v>
      </c>
      <c r="D446" s="0" t="s">
        <v>3947</v>
      </c>
      <c r="E446" s="0" t="s">
        <v>3970</v>
      </c>
      <c r="F446" s="0" t="s">
        <v>3982</v>
      </c>
    </row>
    <row r="447" customFormat="false" ht="12.8" hidden="false" customHeight="false" outlineLevel="0" collapsed="false">
      <c r="A447" s="0" t="n">
        <v>2</v>
      </c>
      <c r="B447" s="0" t="n">
        <v>9</v>
      </c>
      <c r="C447" s="0" t="n">
        <v>1490</v>
      </c>
      <c r="D447" s="0" t="s">
        <v>3947</v>
      </c>
      <c r="E447" s="0" t="s">
        <v>3970</v>
      </c>
      <c r="F447" s="0" t="s">
        <v>3984</v>
      </c>
    </row>
    <row r="448" customFormat="false" ht="12.8" hidden="false" customHeight="false" outlineLevel="0" collapsed="false">
      <c r="A448" s="0" t="n">
        <v>2</v>
      </c>
      <c r="B448" s="0" t="n">
        <v>9</v>
      </c>
      <c r="C448" s="0" t="n">
        <v>1492</v>
      </c>
      <c r="D448" s="0" t="s">
        <v>3947</v>
      </c>
      <c r="E448" s="0" t="s">
        <v>3970</v>
      </c>
      <c r="F448" s="0" t="s">
        <v>3972</v>
      </c>
    </row>
    <row r="449" customFormat="false" ht="12.8" hidden="false" customHeight="false" outlineLevel="0" collapsed="false">
      <c r="A449" s="0" t="n">
        <v>2</v>
      </c>
      <c r="B449" s="0" t="n">
        <v>9</v>
      </c>
      <c r="C449" s="0" t="n">
        <v>1496</v>
      </c>
      <c r="D449" s="0" t="s">
        <v>3947</v>
      </c>
      <c r="E449" s="0" t="s">
        <v>3970</v>
      </c>
      <c r="F449" s="0" t="s">
        <v>3974</v>
      </c>
    </row>
    <row r="450" customFormat="false" ht="12.8" hidden="false" customHeight="false" outlineLevel="0" collapsed="false">
      <c r="A450" s="0" t="n">
        <v>2</v>
      </c>
      <c r="B450" s="0" t="n">
        <v>9</v>
      </c>
      <c r="C450" s="0" t="n">
        <v>1551</v>
      </c>
      <c r="D450" s="0" t="s">
        <v>3947</v>
      </c>
      <c r="E450" s="0" t="s">
        <v>3970</v>
      </c>
      <c r="F450" s="0" t="s">
        <v>3993</v>
      </c>
    </row>
    <row r="451" customFormat="false" ht="12.8" hidden="false" customHeight="false" outlineLevel="0" collapsed="false">
      <c r="A451" s="0" t="n">
        <v>2</v>
      </c>
      <c r="B451" s="0" t="n">
        <v>9</v>
      </c>
      <c r="C451" s="0" t="n">
        <v>1552</v>
      </c>
      <c r="D451" s="0" t="s">
        <v>3947</v>
      </c>
      <c r="E451" s="0" t="s">
        <v>3970</v>
      </c>
      <c r="F451" s="0" t="s">
        <v>3971</v>
      </c>
    </row>
    <row r="452" customFormat="false" ht="12.8" hidden="false" customHeight="false" outlineLevel="0" collapsed="false">
      <c r="A452" s="0" t="n">
        <v>2</v>
      </c>
      <c r="B452" s="0" t="n">
        <v>9</v>
      </c>
      <c r="C452" s="0" t="n">
        <v>1557</v>
      </c>
      <c r="D452" s="0" t="s">
        <v>3947</v>
      </c>
      <c r="E452" s="0" t="s">
        <v>3970</v>
      </c>
      <c r="F452" s="0" t="s">
        <v>3975</v>
      </c>
    </row>
    <row r="453" customFormat="false" ht="12.8" hidden="false" customHeight="false" outlineLevel="0" collapsed="false">
      <c r="A453" s="0" t="n">
        <v>2</v>
      </c>
      <c r="B453" s="0" t="n">
        <v>9</v>
      </c>
      <c r="C453" s="0" t="n">
        <v>1558</v>
      </c>
      <c r="D453" s="0" t="s">
        <v>3947</v>
      </c>
      <c r="E453" s="0" t="s">
        <v>3970</v>
      </c>
      <c r="F453" s="0" t="s">
        <v>3976</v>
      </c>
    </row>
    <row r="454" customFormat="false" ht="12.8" hidden="false" customHeight="false" outlineLevel="0" collapsed="false">
      <c r="A454" s="0" t="n">
        <v>2</v>
      </c>
      <c r="B454" s="0" t="n">
        <v>9</v>
      </c>
      <c r="C454" s="0" t="n">
        <v>1559</v>
      </c>
      <c r="D454" s="0" t="s">
        <v>3947</v>
      </c>
      <c r="E454" s="0" t="s">
        <v>3970</v>
      </c>
      <c r="F454" s="0" t="s">
        <v>3937</v>
      </c>
    </row>
    <row r="455" customFormat="false" ht="12.8" hidden="false" customHeight="false" outlineLevel="0" collapsed="false">
      <c r="A455" s="0" t="n">
        <v>2</v>
      </c>
      <c r="B455" s="0" t="n">
        <v>9</v>
      </c>
      <c r="C455" s="0" t="n">
        <v>1635</v>
      </c>
      <c r="D455" s="0" t="s">
        <v>3947</v>
      </c>
      <c r="E455" s="0" t="s">
        <v>3970</v>
      </c>
      <c r="F455" s="0" t="s">
        <v>3989</v>
      </c>
    </row>
    <row r="456" customFormat="false" ht="12.8" hidden="false" customHeight="false" outlineLevel="0" collapsed="false">
      <c r="A456" s="0" t="n">
        <v>2</v>
      </c>
      <c r="B456" s="0" t="n">
        <v>9</v>
      </c>
      <c r="C456" s="0" t="n">
        <v>1636</v>
      </c>
      <c r="D456" s="0" t="s">
        <v>3947</v>
      </c>
      <c r="E456" s="0" t="s">
        <v>3970</v>
      </c>
      <c r="F456" s="0" t="s">
        <v>3990</v>
      </c>
    </row>
    <row r="457" customFormat="false" ht="12.8" hidden="false" customHeight="false" outlineLevel="0" collapsed="false">
      <c r="A457" s="0" t="n">
        <v>2</v>
      </c>
      <c r="B457" s="0" t="n">
        <v>9</v>
      </c>
      <c r="C457" s="0" t="n">
        <v>1640</v>
      </c>
      <c r="D457" s="0" t="s">
        <v>3947</v>
      </c>
      <c r="E457" s="0" t="s">
        <v>3970</v>
      </c>
      <c r="F457" s="0" t="s">
        <v>3977</v>
      </c>
    </row>
    <row r="458" customFormat="false" ht="12.8" hidden="false" customHeight="false" outlineLevel="0" collapsed="false">
      <c r="A458" s="0" t="n">
        <v>2</v>
      </c>
      <c r="B458" s="0" t="n">
        <v>9</v>
      </c>
      <c r="C458" s="0" t="n">
        <v>1641</v>
      </c>
      <c r="D458" s="0" t="s">
        <v>3947</v>
      </c>
      <c r="E458" s="0" t="s">
        <v>3970</v>
      </c>
      <c r="F458" s="0" t="s">
        <v>3972</v>
      </c>
    </row>
    <row r="459" customFormat="false" ht="12.8" hidden="false" customHeight="false" outlineLevel="0" collapsed="false">
      <c r="A459" s="0" t="n">
        <v>2</v>
      </c>
      <c r="B459" s="0" t="n">
        <v>9</v>
      </c>
      <c r="C459" s="0" t="n">
        <v>1651</v>
      </c>
      <c r="D459" s="0" t="s">
        <v>3947</v>
      </c>
      <c r="E459" s="0" t="s">
        <v>3970</v>
      </c>
      <c r="F459" s="0" t="s">
        <v>3992</v>
      </c>
    </row>
    <row r="460" customFormat="false" ht="12.8" hidden="false" customHeight="false" outlineLevel="0" collapsed="false">
      <c r="A460" s="0" t="n">
        <v>2</v>
      </c>
      <c r="B460" s="0" t="n">
        <v>9</v>
      </c>
      <c r="C460" s="0" t="n">
        <v>1662</v>
      </c>
      <c r="D460" s="0" t="s">
        <v>3947</v>
      </c>
      <c r="E460" s="0" t="s">
        <v>3970</v>
      </c>
      <c r="F460" s="0" t="s">
        <v>3985</v>
      </c>
    </row>
    <row r="461" customFormat="false" ht="12.8" hidden="false" customHeight="false" outlineLevel="0" collapsed="false">
      <c r="A461" s="0" t="n">
        <v>2</v>
      </c>
      <c r="B461" s="0" t="n">
        <v>9</v>
      </c>
      <c r="C461" s="0" t="n">
        <v>1663</v>
      </c>
      <c r="D461" s="0" t="s">
        <v>3947</v>
      </c>
      <c r="E461" s="0" t="s">
        <v>3970</v>
      </c>
      <c r="F461" s="0" t="s">
        <v>3982</v>
      </c>
    </row>
    <row r="462" customFormat="false" ht="12.8" hidden="false" customHeight="false" outlineLevel="0" collapsed="false">
      <c r="A462" s="0" t="n">
        <v>2</v>
      </c>
      <c r="B462" s="0" t="n">
        <v>9</v>
      </c>
      <c r="C462" s="0" t="n">
        <v>1664</v>
      </c>
      <c r="D462" s="0" t="s">
        <v>3947</v>
      </c>
      <c r="E462" s="0" t="s">
        <v>3970</v>
      </c>
      <c r="F462" s="0" t="s">
        <v>3984</v>
      </c>
    </row>
    <row r="463" customFormat="false" ht="12.8" hidden="false" customHeight="false" outlineLevel="0" collapsed="false">
      <c r="A463" s="0" t="n">
        <v>2</v>
      </c>
      <c r="B463" s="0" t="n">
        <v>9</v>
      </c>
      <c r="C463" s="0" t="n">
        <v>1667</v>
      </c>
      <c r="D463" s="0" t="s">
        <v>3947</v>
      </c>
      <c r="E463" s="0" t="s">
        <v>3970</v>
      </c>
      <c r="F463" s="0" t="s">
        <v>3991</v>
      </c>
    </row>
    <row r="464" customFormat="false" ht="12.8" hidden="false" customHeight="false" outlineLevel="0" collapsed="false">
      <c r="A464" s="0" t="n">
        <v>2</v>
      </c>
      <c r="B464" s="0" t="n">
        <v>9</v>
      </c>
      <c r="C464" s="0" t="n">
        <v>1672</v>
      </c>
      <c r="D464" s="0" t="s">
        <v>3947</v>
      </c>
      <c r="E464" s="0" t="s">
        <v>3970</v>
      </c>
      <c r="F464" s="0" t="s">
        <v>3986</v>
      </c>
    </row>
    <row r="465" customFormat="false" ht="12.8" hidden="false" customHeight="false" outlineLevel="0" collapsed="false">
      <c r="A465" s="0" t="n">
        <v>2</v>
      </c>
      <c r="B465" s="0" t="n">
        <v>9</v>
      </c>
      <c r="C465" s="0" t="n">
        <v>1674</v>
      </c>
      <c r="D465" s="0" t="s">
        <v>3947</v>
      </c>
      <c r="E465" s="0" t="s">
        <v>3970</v>
      </c>
      <c r="F465" s="0" t="s">
        <v>3974</v>
      </c>
    </row>
    <row r="466" customFormat="false" ht="12.8" hidden="false" customHeight="false" outlineLevel="0" collapsed="false">
      <c r="A466" s="0" t="n">
        <v>2</v>
      </c>
      <c r="B466" s="0" t="n">
        <v>9</v>
      </c>
      <c r="C466" s="0" t="n">
        <v>1687</v>
      </c>
      <c r="D466" s="0" t="s">
        <v>3947</v>
      </c>
      <c r="E466" s="0" t="s">
        <v>3970</v>
      </c>
      <c r="F466" s="0" t="s">
        <v>4001</v>
      </c>
    </row>
    <row r="467" customFormat="false" ht="12.8" hidden="false" customHeight="false" outlineLevel="0" collapsed="false">
      <c r="A467" s="0" t="n">
        <v>2</v>
      </c>
      <c r="B467" s="0" t="n">
        <v>9</v>
      </c>
      <c r="C467" s="0" t="n">
        <v>1724</v>
      </c>
      <c r="D467" s="0" t="s">
        <v>3947</v>
      </c>
      <c r="E467" s="0" t="s">
        <v>3970</v>
      </c>
      <c r="F467" s="0" t="s">
        <v>4003</v>
      </c>
    </row>
    <row r="468" customFormat="false" ht="12.8" hidden="false" customHeight="false" outlineLevel="0" collapsed="false">
      <c r="A468" s="0" t="n">
        <v>2</v>
      </c>
      <c r="B468" s="0" t="n">
        <v>9</v>
      </c>
      <c r="C468" s="0" t="n">
        <v>1737</v>
      </c>
      <c r="D468" s="0" t="s">
        <v>3947</v>
      </c>
      <c r="E468" s="0" t="s">
        <v>3970</v>
      </c>
      <c r="F468" s="0" t="s">
        <v>4004</v>
      </c>
    </row>
    <row r="469" customFormat="false" ht="12.8" hidden="false" customHeight="false" outlineLevel="0" collapsed="false">
      <c r="A469" s="0" t="n">
        <v>2</v>
      </c>
      <c r="B469" s="0" t="n">
        <v>9</v>
      </c>
      <c r="C469" s="0" t="n">
        <v>1738</v>
      </c>
      <c r="D469" s="0" t="s">
        <v>3947</v>
      </c>
      <c r="E469" s="0" t="s">
        <v>3970</v>
      </c>
      <c r="F469" s="0" t="s">
        <v>4004</v>
      </c>
    </row>
    <row r="470" customFormat="false" ht="12.8" hidden="false" customHeight="false" outlineLevel="0" collapsed="false">
      <c r="A470" s="0" t="n">
        <v>2</v>
      </c>
      <c r="B470" s="0" t="n">
        <v>9</v>
      </c>
      <c r="C470" s="0" t="n">
        <v>1739</v>
      </c>
      <c r="D470" s="0" t="s">
        <v>3947</v>
      </c>
      <c r="E470" s="0" t="s">
        <v>3970</v>
      </c>
      <c r="F470" s="0" t="s">
        <v>4004</v>
      </c>
    </row>
    <row r="471" customFormat="false" ht="12.8" hidden="false" customHeight="false" outlineLevel="0" collapsed="false">
      <c r="A471" s="0" t="n">
        <v>2</v>
      </c>
      <c r="B471" s="0" t="n">
        <v>9</v>
      </c>
      <c r="C471" s="0" t="n">
        <v>1740</v>
      </c>
      <c r="D471" s="0" t="s">
        <v>3947</v>
      </c>
      <c r="E471" s="0" t="s">
        <v>3970</v>
      </c>
      <c r="F471" s="0" t="s">
        <v>4004</v>
      </c>
    </row>
    <row r="472" customFormat="false" ht="12.8" hidden="false" customHeight="false" outlineLevel="0" collapsed="false">
      <c r="A472" s="0" t="n">
        <v>2</v>
      </c>
      <c r="B472" s="0" t="n">
        <v>9</v>
      </c>
      <c r="C472" s="0" t="n">
        <v>1741</v>
      </c>
      <c r="D472" s="0" t="s">
        <v>3947</v>
      </c>
      <c r="E472" s="0" t="s">
        <v>3970</v>
      </c>
      <c r="F472" s="0" t="s">
        <v>4004</v>
      </c>
    </row>
    <row r="473" customFormat="false" ht="12.8" hidden="false" customHeight="false" outlineLevel="0" collapsed="false">
      <c r="A473" s="0" t="n">
        <v>2</v>
      </c>
      <c r="B473" s="0" t="n">
        <v>9</v>
      </c>
      <c r="C473" s="0" t="n">
        <v>1742</v>
      </c>
      <c r="D473" s="0" t="s">
        <v>3947</v>
      </c>
      <c r="E473" s="0" t="s">
        <v>3970</v>
      </c>
      <c r="F473" s="0" t="s">
        <v>4004</v>
      </c>
    </row>
    <row r="474" customFormat="false" ht="12.8" hidden="false" customHeight="false" outlineLevel="0" collapsed="false">
      <c r="A474" s="0" t="n">
        <v>2</v>
      </c>
      <c r="B474" s="0" t="n">
        <v>9</v>
      </c>
      <c r="C474" s="0" t="n">
        <v>1743</v>
      </c>
      <c r="D474" s="0" t="s">
        <v>3947</v>
      </c>
      <c r="E474" s="0" t="s">
        <v>3970</v>
      </c>
      <c r="F474" s="0" t="s">
        <v>4004</v>
      </c>
    </row>
    <row r="475" customFormat="false" ht="12.8" hidden="false" customHeight="false" outlineLevel="0" collapsed="false">
      <c r="A475" s="0" t="n">
        <v>2</v>
      </c>
      <c r="B475" s="0" t="n">
        <v>9</v>
      </c>
      <c r="C475" s="0" t="n">
        <v>1744</v>
      </c>
      <c r="D475" s="0" t="s">
        <v>3947</v>
      </c>
      <c r="E475" s="0" t="s">
        <v>3970</v>
      </c>
      <c r="F475" s="0" t="s">
        <v>4004</v>
      </c>
    </row>
    <row r="476" customFormat="false" ht="12.8" hidden="false" customHeight="false" outlineLevel="0" collapsed="false">
      <c r="A476" s="0" t="n">
        <v>2</v>
      </c>
      <c r="B476" s="0" t="n">
        <v>9</v>
      </c>
      <c r="C476" s="0" t="n">
        <v>1745</v>
      </c>
      <c r="D476" s="0" t="s">
        <v>3947</v>
      </c>
      <c r="E476" s="0" t="s">
        <v>3970</v>
      </c>
      <c r="F476" s="0" t="s">
        <v>4004</v>
      </c>
    </row>
    <row r="477" customFormat="false" ht="12.8" hidden="false" customHeight="false" outlineLevel="0" collapsed="false">
      <c r="A477" s="0" t="n">
        <v>2</v>
      </c>
      <c r="B477" s="0" t="n">
        <v>9</v>
      </c>
      <c r="C477" s="0" t="n">
        <v>1746</v>
      </c>
      <c r="D477" s="0" t="s">
        <v>3947</v>
      </c>
      <c r="E477" s="0" t="s">
        <v>3970</v>
      </c>
      <c r="F477" s="0" t="s">
        <v>4004</v>
      </c>
    </row>
    <row r="478" customFormat="false" ht="12.8" hidden="false" customHeight="false" outlineLevel="0" collapsed="false">
      <c r="A478" s="0" t="n">
        <v>2</v>
      </c>
      <c r="B478" s="0" t="n">
        <v>9</v>
      </c>
      <c r="C478" s="0" t="n">
        <v>1747</v>
      </c>
      <c r="D478" s="0" t="s">
        <v>3947</v>
      </c>
      <c r="E478" s="0" t="s">
        <v>3970</v>
      </c>
      <c r="F478" s="0" t="s">
        <v>4004</v>
      </c>
    </row>
    <row r="479" customFormat="false" ht="12.8" hidden="false" customHeight="false" outlineLevel="0" collapsed="false">
      <c r="A479" s="0" t="n">
        <v>2</v>
      </c>
      <c r="B479" s="0" t="n">
        <v>9</v>
      </c>
      <c r="C479" s="0" t="n">
        <v>1748</v>
      </c>
      <c r="D479" s="0" t="s">
        <v>3947</v>
      </c>
      <c r="E479" s="0" t="s">
        <v>3970</v>
      </c>
      <c r="F479" s="0" t="s">
        <v>4004</v>
      </c>
    </row>
    <row r="480" customFormat="false" ht="12.8" hidden="false" customHeight="false" outlineLevel="0" collapsed="false">
      <c r="A480" s="0" t="n">
        <v>2</v>
      </c>
      <c r="B480" s="0" t="n">
        <v>9</v>
      </c>
      <c r="C480" s="0" t="n">
        <v>1800</v>
      </c>
      <c r="D480" s="0" t="s">
        <v>3947</v>
      </c>
      <c r="E480" s="0" t="s">
        <v>3970</v>
      </c>
      <c r="F480" s="0" t="s">
        <v>4001</v>
      </c>
    </row>
    <row r="481" customFormat="false" ht="12.8" hidden="false" customHeight="false" outlineLevel="0" collapsed="false">
      <c r="A481" s="0" t="n">
        <v>2</v>
      </c>
      <c r="B481" s="0" t="n">
        <v>9</v>
      </c>
      <c r="C481" s="0" t="n">
        <v>1801</v>
      </c>
      <c r="D481" s="0" t="s">
        <v>3947</v>
      </c>
      <c r="E481" s="0" t="s">
        <v>3970</v>
      </c>
      <c r="F481" s="0" t="s">
        <v>4005</v>
      </c>
    </row>
    <row r="482" customFormat="false" ht="12.8" hidden="false" customHeight="false" outlineLevel="0" collapsed="false">
      <c r="A482" s="0" t="n">
        <v>2</v>
      </c>
      <c r="B482" s="0" t="n">
        <v>9</v>
      </c>
      <c r="C482" s="0" t="n">
        <v>1802</v>
      </c>
      <c r="D482" s="0" t="s">
        <v>3947</v>
      </c>
      <c r="E482" s="0" t="s">
        <v>3970</v>
      </c>
      <c r="F482" s="0" t="s">
        <v>4005</v>
      </c>
    </row>
    <row r="483" customFormat="false" ht="12.8" hidden="false" customHeight="false" outlineLevel="0" collapsed="false">
      <c r="A483" s="0" t="n">
        <v>2</v>
      </c>
      <c r="B483" s="0" t="n">
        <v>9</v>
      </c>
      <c r="C483" s="0" t="n">
        <v>1824</v>
      </c>
      <c r="D483" s="0" t="s">
        <v>3947</v>
      </c>
      <c r="E483" s="0" t="s">
        <v>3970</v>
      </c>
      <c r="F483" s="0" t="s">
        <v>4006</v>
      </c>
    </row>
    <row r="484" customFormat="false" ht="12.8" hidden="false" customHeight="false" outlineLevel="0" collapsed="false">
      <c r="A484" s="0" t="n">
        <v>2</v>
      </c>
      <c r="B484" s="0" t="n">
        <v>9</v>
      </c>
      <c r="C484" s="0" t="n">
        <v>1825</v>
      </c>
      <c r="D484" s="0" t="s">
        <v>3947</v>
      </c>
      <c r="E484" s="0" t="s">
        <v>3970</v>
      </c>
      <c r="F484" s="0" t="s">
        <v>4006</v>
      </c>
    </row>
    <row r="485" customFormat="false" ht="12.8" hidden="false" customHeight="false" outlineLevel="0" collapsed="false">
      <c r="A485" s="0" t="n">
        <v>2</v>
      </c>
      <c r="B485" s="0" t="n">
        <v>9</v>
      </c>
      <c r="C485" s="0" t="n">
        <v>1826</v>
      </c>
      <c r="D485" s="0" t="s">
        <v>3947</v>
      </c>
      <c r="E485" s="0" t="s">
        <v>3970</v>
      </c>
      <c r="F485" s="0" t="s">
        <v>4006</v>
      </c>
    </row>
    <row r="486" customFormat="false" ht="12.8" hidden="false" customHeight="false" outlineLevel="0" collapsed="false">
      <c r="A486" s="0" t="n">
        <v>2</v>
      </c>
      <c r="B486" s="0" t="n">
        <v>9</v>
      </c>
      <c r="C486" s="0" t="n">
        <v>1827</v>
      </c>
      <c r="D486" s="0" t="s">
        <v>3947</v>
      </c>
      <c r="E486" s="0" t="s">
        <v>3970</v>
      </c>
      <c r="F486" s="0" t="s">
        <v>4006</v>
      </c>
    </row>
    <row r="487" customFormat="false" ht="12.8" hidden="false" customHeight="false" outlineLevel="0" collapsed="false">
      <c r="A487" s="0" t="n">
        <v>2</v>
      </c>
      <c r="B487" s="0" t="n">
        <v>9</v>
      </c>
      <c r="C487" s="0" t="n">
        <v>1828</v>
      </c>
      <c r="D487" s="0" t="s">
        <v>3947</v>
      </c>
      <c r="E487" s="0" t="s">
        <v>3970</v>
      </c>
      <c r="F487" s="0" t="s">
        <v>4006</v>
      </c>
    </row>
    <row r="488" customFormat="false" ht="12.8" hidden="false" customHeight="false" outlineLevel="0" collapsed="false">
      <c r="A488" s="0" t="n">
        <v>2</v>
      </c>
      <c r="B488" s="0" t="n">
        <v>9</v>
      </c>
      <c r="C488" s="0" t="n">
        <v>1829</v>
      </c>
      <c r="D488" s="0" t="s">
        <v>3947</v>
      </c>
      <c r="E488" s="0" t="s">
        <v>3970</v>
      </c>
      <c r="F488" s="0" t="s">
        <v>4006</v>
      </c>
    </row>
    <row r="489" customFormat="false" ht="12.8" hidden="false" customHeight="false" outlineLevel="0" collapsed="false">
      <c r="A489" s="0" t="n">
        <v>2</v>
      </c>
      <c r="B489" s="0" t="n">
        <v>9</v>
      </c>
      <c r="C489" s="0" t="n">
        <v>1830</v>
      </c>
      <c r="D489" s="0" t="s">
        <v>3947</v>
      </c>
      <c r="E489" s="0" t="s">
        <v>3970</v>
      </c>
      <c r="F489" s="0" t="s">
        <v>4006</v>
      </c>
    </row>
    <row r="490" customFormat="false" ht="12.8" hidden="false" customHeight="false" outlineLevel="0" collapsed="false">
      <c r="A490" s="0" t="n">
        <v>2</v>
      </c>
      <c r="B490" s="0" t="n">
        <v>9</v>
      </c>
      <c r="C490" s="0" t="n">
        <v>1831</v>
      </c>
      <c r="D490" s="0" t="s">
        <v>3947</v>
      </c>
      <c r="E490" s="0" t="s">
        <v>3970</v>
      </c>
      <c r="F490" s="0" t="s">
        <v>4006</v>
      </c>
    </row>
    <row r="491" customFormat="false" ht="12.8" hidden="false" customHeight="false" outlineLevel="0" collapsed="false">
      <c r="A491" s="0" t="n">
        <v>2</v>
      </c>
      <c r="B491" s="0" t="n">
        <v>9</v>
      </c>
      <c r="C491" s="0" t="n">
        <v>1832</v>
      </c>
      <c r="D491" s="0" t="s">
        <v>3947</v>
      </c>
      <c r="E491" s="0" t="s">
        <v>3970</v>
      </c>
      <c r="F491" s="0" t="s">
        <v>4006</v>
      </c>
    </row>
    <row r="492" customFormat="false" ht="12.8" hidden="false" customHeight="false" outlineLevel="0" collapsed="false">
      <c r="A492" s="0" t="n">
        <v>2</v>
      </c>
      <c r="B492" s="0" t="n">
        <v>9</v>
      </c>
      <c r="C492" s="0" t="n">
        <v>1833</v>
      </c>
      <c r="D492" s="0" t="s">
        <v>3947</v>
      </c>
      <c r="E492" s="0" t="s">
        <v>3970</v>
      </c>
      <c r="F492" s="0" t="s">
        <v>4006</v>
      </c>
    </row>
    <row r="493" customFormat="false" ht="12.8" hidden="false" customHeight="false" outlineLevel="0" collapsed="false">
      <c r="A493" s="0" t="n">
        <v>2</v>
      </c>
      <c r="B493" s="0" t="n">
        <v>9</v>
      </c>
      <c r="C493" s="0" t="n">
        <v>1834</v>
      </c>
      <c r="D493" s="0" t="s">
        <v>3947</v>
      </c>
      <c r="E493" s="0" t="s">
        <v>3970</v>
      </c>
      <c r="F493" s="0" t="s">
        <v>4006</v>
      </c>
    </row>
    <row r="494" customFormat="false" ht="12.8" hidden="false" customHeight="false" outlineLevel="0" collapsed="false">
      <c r="A494" s="0" t="n">
        <v>2</v>
      </c>
      <c r="B494" s="0" t="n">
        <v>9</v>
      </c>
      <c r="C494" s="0" t="n">
        <v>1835</v>
      </c>
      <c r="D494" s="0" t="s">
        <v>3947</v>
      </c>
      <c r="E494" s="0" t="s">
        <v>3970</v>
      </c>
      <c r="F494" s="0" t="s">
        <v>4006</v>
      </c>
    </row>
    <row r="495" customFormat="false" ht="12.8" hidden="false" customHeight="false" outlineLevel="0" collapsed="false">
      <c r="A495" s="0" t="n">
        <v>2</v>
      </c>
      <c r="B495" s="0" t="n">
        <v>9</v>
      </c>
      <c r="C495" s="0" t="n">
        <v>1836</v>
      </c>
      <c r="D495" s="0" t="s">
        <v>3947</v>
      </c>
      <c r="E495" s="0" t="s">
        <v>3970</v>
      </c>
      <c r="F495" s="0" t="s">
        <v>4006</v>
      </c>
    </row>
    <row r="496" customFormat="false" ht="12.8" hidden="false" customHeight="false" outlineLevel="0" collapsed="false">
      <c r="A496" s="0" t="n">
        <v>2</v>
      </c>
      <c r="B496" s="0" t="n">
        <v>9</v>
      </c>
      <c r="C496" s="0" t="n">
        <v>1837</v>
      </c>
      <c r="D496" s="0" t="s">
        <v>3947</v>
      </c>
      <c r="E496" s="0" t="s">
        <v>3970</v>
      </c>
      <c r="F496" s="0" t="s">
        <v>4007</v>
      </c>
    </row>
    <row r="497" customFormat="false" ht="12.8" hidden="false" customHeight="false" outlineLevel="0" collapsed="false">
      <c r="A497" s="0" t="n">
        <v>2</v>
      </c>
      <c r="B497" s="0" t="n">
        <v>9</v>
      </c>
      <c r="C497" s="0" t="n">
        <v>1838</v>
      </c>
      <c r="D497" s="0" t="s">
        <v>3947</v>
      </c>
      <c r="E497" s="0" t="s">
        <v>3970</v>
      </c>
      <c r="F497" s="0" t="s">
        <v>4007</v>
      </c>
    </row>
    <row r="498" customFormat="false" ht="12.8" hidden="false" customHeight="false" outlineLevel="0" collapsed="false">
      <c r="A498" s="0" t="n">
        <v>2</v>
      </c>
      <c r="B498" s="0" t="n">
        <v>9</v>
      </c>
      <c r="C498" s="0" t="n">
        <v>1839</v>
      </c>
      <c r="D498" s="0" t="s">
        <v>3947</v>
      </c>
      <c r="E498" s="0" t="s">
        <v>3970</v>
      </c>
      <c r="F498" s="0" t="s">
        <v>4007</v>
      </c>
    </row>
    <row r="499" customFormat="false" ht="12.8" hidden="false" customHeight="false" outlineLevel="0" collapsed="false">
      <c r="A499" s="0" t="n">
        <v>2</v>
      </c>
      <c r="B499" s="0" t="n">
        <v>9</v>
      </c>
      <c r="C499" s="0" t="n">
        <v>1840</v>
      </c>
      <c r="D499" s="0" t="s">
        <v>3947</v>
      </c>
      <c r="E499" s="0" t="s">
        <v>3970</v>
      </c>
      <c r="F499" s="0" t="s">
        <v>4007</v>
      </c>
    </row>
    <row r="500" customFormat="false" ht="12.8" hidden="false" customHeight="false" outlineLevel="0" collapsed="false">
      <c r="A500" s="0" t="n">
        <v>2</v>
      </c>
      <c r="B500" s="0" t="n">
        <v>9</v>
      </c>
      <c r="C500" s="0" t="n">
        <v>1841</v>
      </c>
      <c r="D500" s="0" t="s">
        <v>3947</v>
      </c>
      <c r="E500" s="0" t="s">
        <v>3970</v>
      </c>
      <c r="F500" s="0" t="s">
        <v>4007</v>
      </c>
    </row>
    <row r="501" customFormat="false" ht="12.8" hidden="false" customHeight="false" outlineLevel="0" collapsed="false">
      <c r="A501" s="0" t="n">
        <v>2</v>
      </c>
      <c r="B501" s="0" t="n">
        <v>9</v>
      </c>
      <c r="C501" s="0" t="n">
        <v>1842</v>
      </c>
      <c r="D501" s="0" t="s">
        <v>3947</v>
      </c>
      <c r="E501" s="0" t="s">
        <v>3970</v>
      </c>
      <c r="F501" s="0" t="s">
        <v>4007</v>
      </c>
    </row>
    <row r="502" customFormat="false" ht="12.8" hidden="false" customHeight="false" outlineLevel="0" collapsed="false">
      <c r="A502" s="0" t="n">
        <v>2</v>
      </c>
      <c r="B502" s="0" t="n">
        <v>9</v>
      </c>
      <c r="C502" s="0" t="n">
        <v>1843</v>
      </c>
      <c r="D502" s="0" t="s">
        <v>3947</v>
      </c>
      <c r="E502" s="0" t="s">
        <v>3970</v>
      </c>
      <c r="F502" s="0" t="s">
        <v>4007</v>
      </c>
    </row>
    <row r="503" customFormat="false" ht="12.8" hidden="false" customHeight="false" outlineLevel="0" collapsed="false">
      <c r="A503" s="0" t="n">
        <v>2</v>
      </c>
      <c r="B503" s="0" t="n">
        <v>9</v>
      </c>
      <c r="C503" s="0" t="n">
        <v>1844</v>
      </c>
      <c r="D503" s="0" t="s">
        <v>3947</v>
      </c>
      <c r="E503" s="0" t="s">
        <v>3970</v>
      </c>
      <c r="F503" s="0" t="s">
        <v>4007</v>
      </c>
    </row>
    <row r="504" customFormat="false" ht="12.8" hidden="false" customHeight="false" outlineLevel="0" collapsed="false">
      <c r="A504" s="0" t="n">
        <v>2</v>
      </c>
      <c r="B504" s="0" t="n">
        <v>9</v>
      </c>
      <c r="C504" s="0" t="n">
        <v>1845</v>
      </c>
      <c r="D504" s="0" t="s">
        <v>3947</v>
      </c>
      <c r="E504" s="0" t="s">
        <v>3970</v>
      </c>
      <c r="F504" s="0" t="s">
        <v>4007</v>
      </c>
    </row>
    <row r="505" customFormat="false" ht="12.8" hidden="false" customHeight="false" outlineLevel="0" collapsed="false">
      <c r="A505" s="0" t="n">
        <v>2</v>
      </c>
      <c r="B505" s="0" t="n">
        <v>9</v>
      </c>
      <c r="C505" s="0" t="n">
        <v>1846</v>
      </c>
      <c r="D505" s="0" t="s">
        <v>3947</v>
      </c>
      <c r="E505" s="0" t="s">
        <v>3970</v>
      </c>
      <c r="F505" s="0" t="s">
        <v>4007</v>
      </c>
    </row>
    <row r="506" customFormat="false" ht="12.8" hidden="false" customHeight="false" outlineLevel="0" collapsed="false">
      <c r="A506" s="0" t="n">
        <v>2</v>
      </c>
      <c r="B506" s="0" t="n">
        <v>9</v>
      </c>
      <c r="C506" s="0" t="n">
        <v>1847</v>
      </c>
      <c r="D506" s="0" t="s">
        <v>3947</v>
      </c>
      <c r="E506" s="0" t="s">
        <v>3970</v>
      </c>
      <c r="F506" s="0" t="s">
        <v>4007</v>
      </c>
    </row>
    <row r="507" customFormat="false" ht="12.8" hidden="false" customHeight="false" outlineLevel="0" collapsed="false">
      <c r="A507" s="0" t="n">
        <v>2</v>
      </c>
      <c r="B507" s="0" t="n">
        <v>9</v>
      </c>
      <c r="C507" s="0" t="n">
        <v>1848</v>
      </c>
      <c r="D507" s="0" t="s">
        <v>3947</v>
      </c>
      <c r="E507" s="0" t="s">
        <v>3970</v>
      </c>
      <c r="F507" s="0" t="s">
        <v>4007</v>
      </c>
    </row>
    <row r="508" customFormat="false" ht="12.8" hidden="false" customHeight="false" outlineLevel="0" collapsed="false">
      <c r="A508" s="0" t="n">
        <v>2</v>
      </c>
      <c r="B508" s="0" t="n">
        <v>9</v>
      </c>
      <c r="C508" s="0" t="n">
        <v>1849</v>
      </c>
      <c r="D508" s="0" t="s">
        <v>3947</v>
      </c>
      <c r="E508" s="0" t="s">
        <v>3970</v>
      </c>
      <c r="F508" s="0" t="s">
        <v>4007</v>
      </c>
    </row>
    <row r="509" customFormat="false" ht="12.8" hidden="false" customHeight="false" outlineLevel="0" collapsed="false">
      <c r="A509" s="0" t="n">
        <v>2</v>
      </c>
      <c r="B509" s="0" t="n">
        <v>9</v>
      </c>
      <c r="C509" s="0" t="n">
        <v>1880</v>
      </c>
      <c r="D509" s="0" t="s">
        <v>3947</v>
      </c>
      <c r="E509" s="0" t="s">
        <v>3970</v>
      </c>
      <c r="F509" s="0" t="s">
        <v>3937</v>
      </c>
    </row>
    <row r="510" customFormat="false" ht="12.8" hidden="false" customHeight="false" outlineLevel="0" collapsed="false">
      <c r="A510" s="0" t="n">
        <v>2</v>
      </c>
      <c r="B510" s="0" t="n">
        <v>9</v>
      </c>
      <c r="C510" s="0" t="n">
        <v>1932</v>
      </c>
      <c r="D510" s="0" t="s">
        <v>3947</v>
      </c>
      <c r="E510" s="0" t="s">
        <v>3970</v>
      </c>
      <c r="F510" s="0" t="s">
        <v>3990</v>
      </c>
    </row>
    <row r="511" customFormat="false" ht="12.8" hidden="false" customHeight="false" outlineLevel="0" collapsed="false">
      <c r="A511" s="0" t="n">
        <v>2</v>
      </c>
      <c r="B511" s="0" t="n">
        <v>9</v>
      </c>
      <c r="C511" s="0" t="n">
        <v>1934</v>
      </c>
      <c r="D511" s="0" t="s">
        <v>3947</v>
      </c>
      <c r="E511" s="0" t="s">
        <v>3970</v>
      </c>
      <c r="F511" s="0" t="s">
        <v>4004</v>
      </c>
    </row>
    <row r="512" customFormat="false" ht="12.8" hidden="false" customHeight="false" outlineLevel="0" collapsed="false">
      <c r="A512" s="0" t="n">
        <v>2</v>
      </c>
      <c r="B512" s="0" t="n">
        <v>9</v>
      </c>
      <c r="C512" s="0" t="n">
        <v>1935</v>
      </c>
      <c r="D512" s="0" t="s">
        <v>3947</v>
      </c>
      <c r="E512" s="0" t="s">
        <v>3970</v>
      </c>
      <c r="F512" s="0" t="s">
        <v>3971</v>
      </c>
    </row>
    <row r="513" customFormat="false" ht="12.8" hidden="false" customHeight="false" outlineLevel="0" collapsed="false">
      <c r="A513" s="0" t="n">
        <v>2</v>
      </c>
      <c r="B513" s="0" t="n">
        <v>9</v>
      </c>
      <c r="C513" s="0" t="n">
        <v>1937</v>
      </c>
      <c r="D513" s="0" t="s">
        <v>3947</v>
      </c>
      <c r="E513" s="0" t="s">
        <v>3970</v>
      </c>
      <c r="F513" s="0" t="s">
        <v>3974</v>
      </c>
    </row>
    <row r="514" customFormat="false" ht="12.8" hidden="false" customHeight="false" outlineLevel="0" collapsed="false">
      <c r="A514" s="0" t="n">
        <v>2</v>
      </c>
      <c r="B514" s="0" t="n">
        <v>9</v>
      </c>
      <c r="C514" s="0" t="n">
        <v>1941</v>
      </c>
      <c r="D514" s="0" t="s">
        <v>3947</v>
      </c>
      <c r="E514" s="0" t="s">
        <v>3970</v>
      </c>
      <c r="F514" s="0" t="s">
        <v>4002</v>
      </c>
    </row>
    <row r="515" customFormat="false" ht="12.8" hidden="false" customHeight="false" outlineLevel="0" collapsed="false">
      <c r="A515" s="0" t="n">
        <v>2</v>
      </c>
      <c r="B515" s="0" t="n">
        <v>9</v>
      </c>
      <c r="C515" s="0" t="n">
        <v>1944</v>
      </c>
      <c r="D515" s="0" t="s">
        <v>3947</v>
      </c>
      <c r="E515" s="0" t="s">
        <v>3970</v>
      </c>
      <c r="F515" s="0" t="s">
        <v>3993</v>
      </c>
    </row>
    <row r="516" customFormat="false" ht="12.8" hidden="false" customHeight="false" outlineLevel="0" collapsed="false">
      <c r="A516" s="0" t="n">
        <v>2</v>
      </c>
      <c r="B516" s="0" t="n">
        <v>9</v>
      </c>
      <c r="C516" s="0" t="n">
        <v>1952</v>
      </c>
      <c r="D516" s="0" t="s">
        <v>3947</v>
      </c>
      <c r="E516" s="0" t="s">
        <v>3970</v>
      </c>
      <c r="F516" s="0" t="s">
        <v>3989</v>
      </c>
    </row>
    <row r="517" customFormat="false" ht="12.8" hidden="false" customHeight="false" outlineLevel="0" collapsed="false">
      <c r="A517" s="0" t="n">
        <v>2</v>
      </c>
      <c r="B517" s="0" t="n">
        <v>9</v>
      </c>
      <c r="C517" s="0" t="n">
        <v>1956</v>
      </c>
      <c r="D517" s="0" t="s">
        <v>3947</v>
      </c>
      <c r="E517" s="0" t="s">
        <v>3970</v>
      </c>
      <c r="F517" s="0" t="s">
        <v>3977</v>
      </c>
    </row>
    <row r="518" customFormat="false" ht="12.8" hidden="false" customHeight="false" outlineLevel="0" collapsed="false">
      <c r="A518" s="0" t="n">
        <v>2</v>
      </c>
      <c r="B518" s="0" t="n">
        <v>9</v>
      </c>
      <c r="C518" s="0" t="n">
        <v>1957</v>
      </c>
      <c r="D518" s="0" t="s">
        <v>3947</v>
      </c>
      <c r="E518" s="0" t="s">
        <v>3970</v>
      </c>
      <c r="F518" s="0" t="s">
        <v>3972</v>
      </c>
    </row>
    <row r="519" customFormat="false" ht="12.8" hidden="false" customHeight="false" outlineLevel="0" collapsed="false">
      <c r="A519" s="0" t="n">
        <v>2</v>
      </c>
      <c r="B519" s="0" t="n">
        <v>9</v>
      </c>
      <c r="C519" s="0" t="n">
        <v>1966</v>
      </c>
      <c r="D519" s="0" t="s">
        <v>3947</v>
      </c>
      <c r="E519" s="0" t="s">
        <v>3970</v>
      </c>
      <c r="F519" s="0" t="s">
        <v>3992</v>
      </c>
    </row>
    <row r="520" customFormat="false" ht="12.8" hidden="false" customHeight="false" outlineLevel="0" collapsed="false">
      <c r="A520" s="0" t="n">
        <v>2</v>
      </c>
      <c r="B520" s="0" t="n">
        <v>9</v>
      </c>
      <c r="C520" s="0" t="n">
        <v>1977</v>
      </c>
      <c r="D520" s="0" t="s">
        <v>3947</v>
      </c>
      <c r="E520" s="0" t="s">
        <v>3970</v>
      </c>
      <c r="F520" s="0" t="s">
        <v>3991</v>
      </c>
    </row>
    <row r="521" customFormat="false" ht="12.8" hidden="false" customHeight="false" outlineLevel="0" collapsed="false">
      <c r="A521" s="0" t="n">
        <v>2</v>
      </c>
      <c r="B521" s="0" t="n">
        <v>9</v>
      </c>
      <c r="C521" s="0" t="n">
        <v>1982</v>
      </c>
      <c r="D521" s="0" t="s">
        <v>3947</v>
      </c>
      <c r="E521" s="0" t="s">
        <v>3970</v>
      </c>
      <c r="F521" s="0" t="s">
        <v>3986</v>
      </c>
    </row>
    <row r="522" customFormat="false" ht="12.8" hidden="false" customHeight="false" outlineLevel="0" collapsed="false">
      <c r="A522" s="0" t="n">
        <v>2</v>
      </c>
      <c r="B522" s="0" t="n">
        <v>9</v>
      </c>
      <c r="C522" s="0" t="n">
        <v>1996</v>
      </c>
      <c r="D522" s="0" t="s">
        <v>3947</v>
      </c>
      <c r="E522" s="0" t="s">
        <v>3970</v>
      </c>
      <c r="F522" s="0" t="s">
        <v>4001</v>
      </c>
    </row>
    <row r="523" customFormat="false" ht="12.8" hidden="false" customHeight="false" outlineLevel="0" collapsed="false">
      <c r="A523" s="0" t="n">
        <v>2</v>
      </c>
      <c r="B523" s="0" t="n">
        <v>9</v>
      </c>
      <c r="C523" s="0" t="n">
        <v>1997</v>
      </c>
      <c r="D523" s="0" t="s">
        <v>3947</v>
      </c>
      <c r="E523" s="0" t="s">
        <v>3970</v>
      </c>
      <c r="F523" s="0" t="s">
        <v>4005</v>
      </c>
    </row>
    <row r="524" customFormat="false" ht="12.8" hidden="false" customHeight="false" outlineLevel="0" collapsed="false">
      <c r="A524" s="0" t="n">
        <v>2</v>
      </c>
      <c r="B524" s="0" t="n">
        <v>9</v>
      </c>
      <c r="C524" s="0" t="n">
        <v>2001</v>
      </c>
      <c r="D524" s="0" t="s">
        <v>3947</v>
      </c>
      <c r="E524" s="0" t="s">
        <v>3970</v>
      </c>
      <c r="F524" s="0" t="s">
        <v>4006</v>
      </c>
    </row>
    <row r="525" customFormat="false" ht="12.8" hidden="false" customHeight="false" outlineLevel="0" collapsed="false">
      <c r="A525" s="0" t="n">
        <v>2</v>
      </c>
      <c r="B525" s="0" t="n">
        <v>9</v>
      </c>
      <c r="C525" s="0" t="n">
        <v>2002</v>
      </c>
      <c r="D525" s="0" t="s">
        <v>3947</v>
      </c>
      <c r="E525" s="0" t="s">
        <v>3970</v>
      </c>
      <c r="F525" s="0" t="s">
        <v>4007</v>
      </c>
    </row>
    <row r="526" customFormat="false" ht="12.8" hidden="false" customHeight="false" outlineLevel="0" collapsed="false">
      <c r="A526" s="0" t="n">
        <v>2</v>
      </c>
      <c r="B526" s="0" t="n">
        <v>9</v>
      </c>
      <c r="C526" s="0" t="n">
        <v>2003</v>
      </c>
      <c r="D526" s="0" t="s">
        <v>3947</v>
      </c>
      <c r="E526" s="0" t="s">
        <v>3970</v>
      </c>
      <c r="F526" s="0" t="s">
        <v>4003</v>
      </c>
    </row>
    <row r="527" customFormat="false" ht="12.8" hidden="false" customHeight="false" outlineLevel="0" collapsed="false">
      <c r="A527" s="0" t="n">
        <v>2</v>
      </c>
      <c r="B527" s="0" t="n">
        <v>9</v>
      </c>
      <c r="C527" s="0" t="n">
        <v>2032</v>
      </c>
      <c r="D527" s="0" t="s">
        <v>3947</v>
      </c>
      <c r="E527" s="0" t="s">
        <v>3970</v>
      </c>
      <c r="F527" s="0" t="s">
        <v>4008</v>
      </c>
    </row>
    <row r="528" customFormat="false" ht="12.8" hidden="false" customHeight="false" outlineLevel="0" collapsed="false">
      <c r="A528" s="0" t="n">
        <v>2</v>
      </c>
      <c r="B528" s="0" t="n">
        <v>9</v>
      </c>
      <c r="C528" s="0" t="n">
        <v>2033</v>
      </c>
      <c r="D528" s="0" t="s">
        <v>3947</v>
      </c>
      <c r="E528" s="0" t="s">
        <v>3970</v>
      </c>
      <c r="F528" s="0" t="s">
        <v>4009</v>
      </c>
    </row>
    <row r="529" customFormat="false" ht="12.8" hidden="false" customHeight="false" outlineLevel="0" collapsed="false">
      <c r="A529" s="0" t="n">
        <v>2</v>
      </c>
      <c r="B529" s="0" t="n">
        <v>9</v>
      </c>
      <c r="C529" s="0" t="n">
        <v>2034</v>
      </c>
      <c r="D529" s="0" t="s">
        <v>3947</v>
      </c>
      <c r="E529" s="0" t="s">
        <v>3970</v>
      </c>
      <c r="F529" s="0" t="s">
        <v>4010</v>
      </c>
    </row>
    <row r="530" customFormat="false" ht="12.8" hidden="false" customHeight="false" outlineLevel="0" collapsed="false">
      <c r="A530" s="0" t="n">
        <v>2</v>
      </c>
      <c r="B530" s="0" t="n">
        <v>9</v>
      </c>
      <c r="C530" s="0" t="n">
        <v>2035</v>
      </c>
      <c r="D530" s="0" t="s">
        <v>3947</v>
      </c>
      <c r="E530" s="0" t="s">
        <v>3970</v>
      </c>
      <c r="F530" s="0" t="s">
        <v>4011</v>
      </c>
    </row>
    <row r="531" customFormat="false" ht="12.8" hidden="false" customHeight="false" outlineLevel="0" collapsed="false">
      <c r="A531" s="0" t="n">
        <v>2</v>
      </c>
      <c r="B531" s="0" t="n">
        <v>9</v>
      </c>
      <c r="C531" s="0" t="n">
        <v>2036</v>
      </c>
      <c r="D531" s="0" t="s">
        <v>3947</v>
      </c>
      <c r="E531" s="0" t="s">
        <v>3970</v>
      </c>
      <c r="F531" s="0" t="s">
        <v>4012</v>
      </c>
    </row>
    <row r="532" customFormat="false" ht="12.8" hidden="false" customHeight="false" outlineLevel="0" collapsed="false">
      <c r="A532" s="0" t="n">
        <v>2</v>
      </c>
      <c r="B532" s="0" t="n">
        <v>9</v>
      </c>
      <c r="C532" s="0" t="n">
        <v>2037</v>
      </c>
      <c r="D532" s="0" t="s">
        <v>3947</v>
      </c>
      <c r="E532" s="0" t="s">
        <v>3970</v>
      </c>
      <c r="F532" s="0" t="s">
        <v>4013</v>
      </c>
    </row>
    <row r="533" customFormat="false" ht="12.8" hidden="false" customHeight="false" outlineLevel="0" collapsed="false">
      <c r="A533" s="0" t="n">
        <v>2</v>
      </c>
      <c r="B533" s="0" t="n">
        <v>9</v>
      </c>
      <c r="C533" s="0" t="n">
        <v>2038</v>
      </c>
      <c r="D533" s="0" t="s">
        <v>3947</v>
      </c>
      <c r="E533" s="0" t="s">
        <v>3970</v>
      </c>
      <c r="F533" s="0" t="s">
        <v>4014</v>
      </c>
    </row>
    <row r="534" customFormat="false" ht="12.8" hidden="false" customHeight="false" outlineLevel="0" collapsed="false">
      <c r="A534" s="0" t="n">
        <v>2</v>
      </c>
      <c r="B534" s="0" t="n">
        <v>9</v>
      </c>
      <c r="C534" s="0" t="n">
        <v>2039</v>
      </c>
      <c r="D534" s="0" t="s">
        <v>3947</v>
      </c>
      <c r="E534" s="0" t="s">
        <v>3970</v>
      </c>
      <c r="F534" s="0" t="s">
        <v>4015</v>
      </c>
    </row>
    <row r="535" customFormat="false" ht="12.8" hidden="false" customHeight="false" outlineLevel="0" collapsed="false">
      <c r="A535" s="0" t="n">
        <v>2</v>
      </c>
      <c r="B535" s="0" t="n">
        <v>9</v>
      </c>
      <c r="C535" s="0" t="n">
        <v>2040</v>
      </c>
      <c r="D535" s="0" t="s">
        <v>3947</v>
      </c>
      <c r="E535" s="0" t="s">
        <v>3970</v>
      </c>
      <c r="F535" s="0" t="s">
        <v>4016</v>
      </c>
    </row>
    <row r="536" customFormat="false" ht="12.8" hidden="false" customHeight="false" outlineLevel="0" collapsed="false">
      <c r="A536" s="0" t="n">
        <v>2</v>
      </c>
      <c r="B536" s="0" t="n">
        <v>9</v>
      </c>
      <c r="C536" s="0" t="n">
        <v>2041</v>
      </c>
      <c r="D536" s="0" t="s">
        <v>3947</v>
      </c>
      <c r="E536" s="0" t="s">
        <v>3970</v>
      </c>
      <c r="F536" s="0" t="s">
        <v>4017</v>
      </c>
    </row>
    <row r="537" customFormat="false" ht="12.8" hidden="false" customHeight="false" outlineLevel="0" collapsed="false">
      <c r="A537" s="0" t="n">
        <v>2</v>
      </c>
      <c r="B537" s="0" t="n">
        <v>9</v>
      </c>
      <c r="C537" s="0" t="n">
        <v>2042</v>
      </c>
      <c r="D537" s="0" t="s">
        <v>3947</v>
      </c>
      <c r="E537" s="0" t="s">
        <v>3970</v>
      </c>
      <c r="F537" s="0" t="s">
        <v>4018</v>
      </c>
    </row>
    <row r="538" customFormat="false" ht="12.8" hidden="false" customHeight="false" outlineLevel="0" collapsed="false">
      <c r="A538" s="0" t="n">
        <v>2</v>
      </c>
      <c r="B538" s="0" t="n">
        <v>9</v>
      </c>
      <c r="C538" s="0" t="n">
        <v>2043</v>
      </c>
      <c r="D538" s="0" t="s">
        <v>3947</v>
      </c>
      <c r="E538" s="0" t="s">
        <v>3970</v>
      </c>
      <c r="F538" s="0" t="s">
        <v>4019</v>
      </c>
    </row>
    <row r="539" customFormat="false" ht="12.8" hidden="false" customHeight="false" outlineLevel="0" collapsed="false">
      <c r="A539" s="0" t="n">
        <v>2</v>
      </c>
      <c r="B539" s="0" t="n">
        <v>9</v>
      </c>
      <c r="C539" s="0" t="n">
        <v>2044</v>
      </c>
      <c r="D539" s="0" t="s">
        <v>3947</v>
      </c>
      <c r="E539" s="0" t="s">
        <v>3970</v>
      </c>
      <c r="F539" s="0" t="s">
        <v>4020</v>
      </c>
    </row>
    <row r="540" customFormat="false" ht="12.8" hidden="false" customHeight="false" outlineLevel="0" collapsed="false">
      <c r="A540" s="0" t="n">
        <v>2</v>
      </c>
      <c r="B540" s="0" t="n">
        <v>9</v>
      </c>
      <c r="C540" s="0" t="n">
        <v>2045</v>
      </c>
      <c r="D540" s="0" t="s">
        <v>3947</v>
      </c>
      <c r="E540" s="0" t="s">
        <v>3970</v>
      </c>
      <c r="F540" s="0" t="s">
        <v>4021</v>
      </c>
    </row>
    <row r="541" customFormat="false" ht="12.8" hidden="false" customHeight="false" outlineLevel="0" collapsed="false">
      <c r="A541" s="0" t="n">
        <v>2</v>
      </c>
      <c r="B541" s="0" t="n">
        <v>9</v>
      </c>
      <c r="C541" s="0" t="n">
        <v>2061</v>
      </c>
      <c r="D541" s="0" t="s">
        <v>3947</v>
      </c>
      <c r="E541" s="0" t="s">
        <v>3970</v>
      </c>
      <c r="F541" s="0" t="s">
        <v>4022</v>
      </c>
    </row>
    <row r="542" customFormat="false" ht="12.8" hidden="false" customHeight="false" outlineLevel="0" collapsed="false">
      <c r="A542" s="0" t="n">
        <v>2</v>
      </c>
      <c r="B542" s="0" t="n">
        <v>9</v>
      </c>
      <c r="C542" s="0" t="n">
        <v>2102</v>
      </c>
      <c r="D542" s="0" t="s">
        <v>3947</v>
      </c>
      <c r="E542" s="0" t="s">
        <v>3970</v>
      </c>
      <c r="F542" s="0" t="s">
        <v>4023</v>
      </c>
    </row>
    <row r="543" customFormat="false" ht="12.8" hidden="false" customHeight="false" outlineLevel="0" collapsed="false">
      <c r="A543" s="0" t="n">
        <v>2</v>
      </c>
      <c r="B543" s="0" t="n">
        <v>9</v>
      </c>
      <c r="C543" s="0" t="n">
        <v>2103</v>
      </c>
      <c r="D543" s="0" t="s">
        <v>3947</v>
      </c>
      <c r="E543" s="0" t="s">
        <v>3970</v>
      </c>
      <c r="F543" s="0" t="s">
        <v>4023</v>
      </c>
    </row>
    <row r="544" customFormat="false" ht="12.8" hidden="false" customHeight="false" outlineLevel="0" collapsed="false">
      <c r="A544" s="0" t="n">
        <v>2</v>
      </c>
      <c r="B544" s="0" t="n">
        <v>9</v>
      </c>
      <c r="C544" s="0" t="n">
        <v>2129</v>
      </c>
      <c r="D544" s="0" t="s">
        <v>3947</v>
      </c>
      <c r="E544" s="0" t="s">
        <v>3970</v>
      </c>
      <c r="F544" s="0" t="s">
        <v>4019</v>
      </c>
    </row>
    <row r="545" customFormat="false" ht="12.8" hidden="false" customHeight="false" outlineLevel="0" collapsed="false">
      <c r="A545" s="0" t="n">
        <v>2</v>
      </c>
      <c r="B545" s="0" t="n">
        <v>9</v>
      </c>
      <c r="C545" s="0" t="n">
        <v>2130</v>
      </c>
      <c r="D545" s="0" t="s">
        <v>3947</v>
      </c>
      <c r="E545" s="0" t="s">
        <v>3970</v>
      </c>
      <c r="F545" s="0" t="s">
        <v>4019</v>
      </c>
    </row>
    <row r="546" customFormat="false" ht="12.8" hidden="false" customHeight="false" outlineLevel="0" collapsed="false">
      <c r="A546" s="0" t="n">
        <v>2</v>
      </c>
      <c r="B546" s="0" t="n">
        <v>9</v>
      </c>
      <c r="C546" s="0" t="n">
        <v>2131</v>
      </c>
      <c r="D546" s="0" t="s">
        <v>3947</v>
      </c>
      <c r="E546" s="0" t="s">
        <v>3970</v>
      </c>
      <c r="F546" s="0" t="s">
        <v>4019</v>
      </c>
    </row>
    <row r="547" customFormat="false" ht="12.8" hidden="false" customHeight="false" outlineLevel="0" collapsed="false">
      <c r="A547" s="0" t="n">
        <v>2</v>
      </c>
      <c r="B547" s="0" t="n">
        <v>9</v>
      </c>
      <c r="C547" s="0" t="n">
        <v>2171</v>
      </c>
      <c r="D547" s="0" t="s">
        <v>3947</v>
      </c>
      <c r="E547" s="0" t="s">
        <v>3970</v>
      </c>
      <c r="F547" s="0" t="s">
        <v>4024</v>
      </c>
    </row>
    <row r="548" customFormat="false" ht="12.8" hidden="false" customHeight="false" outlineLevel="0" collapsed="false">
      <c r="A548" s="0" t="n">
        <v>2</v>
      </c>
      <c r="B548" s="0" t="n">
        <v>9</v>
      </c>
      <c r="C548" s="0" t="n">
        <v>2192</v>
      </c>
      <c r="D548" s="0" t="s">
        <v>3947</v>
      </c>
      <c r="E548" s="0" t="s">
        <v>3970</v>
      </c>
      <c r="F548" s="0" t="s">
        <v>4025</v>
      </c>
    </row>
    <row r="549" customFormat="false" ht="12.8" hidden="false" customHeight="false" outlineLevel="0" collapsed="false">
      <c r="A549" s="0" t="n">
        <v>2</v>
      </c>
      <c r="B549" s="0" t="n">
        <v>9</v>
      </c>
      <c r="C549" s="0" t="n">
        <v>2199</v>
      </c>
      <c r="D549" s="0" t="s">
        <v>3947</v>
      </c>
      <c r="E549" s="0" t="s">
        <v>3970</v>
      </c>
      <c r="F549" s="0" t="s">
        <v>3972</v>
      </c>
    </row>
    <row r="550" customFormat="false" ht="12.8" hidden="false" customHeight="false" outlineLevel="0" collapsed="false">
      <c r="A550" s="0" t="n">
        <v>2</v>
      </c>
      <c r="B550" s="0" t="n">
        <v>9</v>
      </c>
      <c r="C550" s="0" t="n">
        <v>2200</v>
      </c>
      <c r="D550" s="0" t="s">
        <v>3947</v>
      </c>
      <c r="E550" s="0" t="s">
        <v>3970</v>
      </c>
      <c r="F550" s="0" t="s">
        <v>3990</v>
      </c>
    </row>
    <row r="551" customFormat="false" ht="12.8" hidden="false" customHeight="false" outlineLevel="0" collapsed="false">
      <c r="A551" s="0" t="n">
        <v>2</v>
      </c>
      <c r="B551" s="0" t="n">
        <v>9</v>
      </c>
      <c r="C551" s="0" t="n">
        <v>2201</v>
      </c>
      <c r="D551" s="0" t="s">
        <v>3947</v>
      </c>
      <c r="E551" s="0" t="s">
        <v>3970</v>
      </c>
      <c r="F551" s="0" t="s">
        <v>4006</v>
      </c>
    </row>
    <row r="552" customFormat="false" ht="12.8" hidden="false" customHeight="false" outlineLevel="0" collapsed="false">
      <c r="A552" s="0" t="n">
        <v>2</v>
      </c>
      <c r="B552" s="0" t="n">
        <v>9</v>
      </c>
      <c r="C552" s="0" t="n">
        <v>2202</v>
      </c>
      <c r="D552" s="0" t="s">
        <v>3947</v>
      </c>
      <c r="E552" s="0" t="s">
        <v>3970</v>
      </c>
      <c r="F552" s="0" t="s">
        <v>4007</v>
      </c>
    </row>
    <row r="553" customFormat="false" ht="12.8" hidden="false" customHeight="false" outlineLevel="0" collapsed="false">
      <c r="A553" s="0" t="n">
        <v>2</v>
      </c>
      <c r="B553" s="0" t="n">
        <v>9</v>
      </c>
      <c r="C553" s="0" t="n">
        <v>2203</v>
      </c>
      <c r="D553" s="0" t="s">
        <v>3947</v>
      </c>
      <c r="E553" s="0" t="s">
        <v>3970</v>
      </c>
      <c r="F553" s="0" t="s">
        <v>3971</v>
      </c>
    </row>
    <row r="554" customFormat="false" ht="12.8" hidden="false" customHeight="false" outlineLevel="0" collapsed="false">
      <c r="A554" s="0" t="n">
        <v>2</v>
      </c>
      <c r="B554" s="0" t="n">
        <v>9</v>
      </c>
      <c r="C554" s="0" t="n">
        <v>2204</v>
      </c>
      <c r="D554" s="0" t="s">
        <v>3947</v>
      </c>
      <c r="E554" s="0" t="s">
        <v>3970</v>
      </c>
      <c r="F554" s="0" t="s">
        <v>3986</v>
      </c>
    </row>
    <row r="555" customFormat="false" ht="12.8" hidden="false" customHeight="false" outlineLevel="0" collapsed="false">
      <c r="A555" s="0" t="n">
        <v>2</v>
      </c>
      <c r="B555" s="0" t="n">
        <v>9</v>
      </c>
      <c r="C555" s="0" t="n">
        <v>2206</v>
      </c>
      <c r="D555" s="0" t="s">
        <v>3947</v>
      </c>
      <c r="E555" s="0" t="s">
        <v>3970</v>
      </c>
      <c r="F555" s="0" t="s">
        <v>3989</v>
      </c>
    </row>
    <row r="556" customFormat="false" ht="12.8" hidden="false" customHeight="false" outlineLevel="0" collapsed="false">
      <c r="A556" s="0" t="n">
        <v>2</v>
      </c>
      <c r="B556" s="0" t="n">
        <v>9</v>
      </c>
      <c r="C556" s="0" t="n">
        <v>2302</v>
      </c>
      <c r="D556" s="0" t="s">
        <v>3947</v>
      </c>
      <c r="E556" s="0" t="s">
        <v>3970</v>
      </c>
      <c r="F556" s="0" t="s">
        <v>4026</v>
      </c>
    </row>
    <row r="557" customFormat="false" ht="12.8" hidden="false" customHeight="false" outlineLevel="0" collapsed="false">
      <c r="A557" s="0" t="n">
        <v>2</v>
      </c>
      <c r="B557" s="0" t="n">
        <v>9</v>
      </c>
      <c r="C557" s="0" t="n">
        <v>2304</v>
      </c>
      <c r="D557" s="0" t="s">
        <v>3947</v>
      </c>
      <c r="E557" s="0" t="s">
        <v>3970</v>
      </c>
      <c r="F557" s="0" t="s">
        <v>4027</v>
      </c>
    </row>
    <row r="558" customFormat="false" ht="12.8" hidden="false" customHeight="false" outlineLevel="0" collapsed="false">
      <c r="A558" s="0" t="n">
        <v>2</v>
      </c>
      <c r="B558" s="0" t="n">
        <v>9</v>
      </c>
      <c r="C558" s="0" t="n">
        <v>2305</v>
      </c>
      <c r="D558" s="0" t="s">
        <v>3947</v>
      </c>
      <c r="E558" s="0" t="s">
        <v>3970</v>
      </c>
      <c r="F558" s="0" t="s">
        <v>4027</v>
      </c>
    </row>
    <row r="559" customFormat="false" ht="12.8" hidden="false" customHeight="false" outlineLevel="0" collapsed="false">
      <c r="A559" s="0" t="n">
        <v>2</v>
      </c>
      <c r="B559" s="0" t="n">
        <v>9</v>
      </c>
      <c r="C559" s="0" t="n">
        <v>2306</v>
      </c>
      <c r="D559" s="0" t="s">
        <v>3947</v>
      </c>
      <c r="E559" s="0" t="s">
        <v>3970</v>
      </c>
      <c r="F559" s="0" t="s">
        <v>4027</v>
      </c>
    </row>
    <row r="560" customFormat="false" ht="12.8" hidden="false" customHeight="false" outlineLevel="0" collapsed="false">
      <c r="A560" s="0" t="n">
        <v>2</v>
      </c>
      <c r="B560" s="0" t="n">
        <v>9</v>
      </c>
      <c r="C560" s="0" t="n">
        <v>2307</v>
      </c>
      <c r="D560" s="0" t="s">
        <v>3947</v>
      </c>
      <c r="E560" s="0" t="s">
        <v>3970</v>
      </c>
      <c r="F560" s="0" t="s">
        <v>4027</v>
      </c>
    </row>
    <row r="561" customFormat="false" ht="12.8" hidden="false" customHeight="false" outlineLevel="0" collapsed="false">
      <c r="A561" s="0" t="n">
        <v>2</v>
      </c>
      <c r="B561" s="0" t="n">
        <v>9</v>
      </c>
      <c r="C561" s="0" t="n">
        <v>2308</v>
      </c>
      <c r="D561" s="0" t="s">
        <v>3947</v>
      </c>
      <c r="E561" s="0" t="s">
        <v>3970</v>
      </c>
      <c r="F561" s="0" t="s">
        <v>4027</v>
      </c>
    </row>
    <row r="562" customFormat="false" ht="12.8" hidden="false" customHeight="false" outlineLevel="0" collapsed="false">
      <c r="A562" s="0" t="n">
        <v>2</v>
      </c>
      <c r="B562" s="0" t="n">
        <v>9</v>
      </c>
      <c r="C562" s="0" t="n">
        <v>2315</v>
      </c>
      <c r="D562" s="0" t="s">
        <v>3947</v>
      </c>
      <c r="E562" s="0" t="s">
        <v>3970</v>
      </c>
      <c r="F562" s="0" t="s">
        <v>4028</v>
      </c>
    </row>
    <row r="563" customFormat="false" ht="12.8" hidden="false" customHeight="false" outlineLevel="0" collapsed="false">
      <c r="A563" s="0" t="n">
        <v>2</v>
      </c>
      <c r="B563" s="0" t="n">
        <v>9</v>
      </c>
      <c r="C563" s="0" t="n">
        <v>2360</v>
      </c>
      <c r="D563" s="0" t="s">
        <v>3947</v>
      </c>
      <c r="E563" s="0" t="s">
        <v>3970</v>
      </c>
      <c r="F563" s="0" t="s">
        <v>4021</v>
      </c>
    </row>
    <row r="564" customFormat="false" ht="12.8" hidden="false" customHeight="false" outlineLevel="0" collapsed="false">
      <c r="A564" s="0" t="n">
        <v>2</v>
      </c>
      <c r="B564" s="0" t="n">
        <v>9</v>
      </c>
      <c r="C564" s="0" t="n">
        <v>2388</v>
      </c>
      <c r="D564" s="0" t="s">
        <v>3947</v>
      </c>
      <c r="E564" s="0" t="s">
        <v>3970</v>
      </c>
      <c r="F564" s="0" t="s">
        <v>3980</v>
      </c>
    </row>
    <row r="565" customFormat="false" ht="12.8" hidden="false" customHeight="false" outlineLevel="0" collapsed="false">
      <c r="A565" s="0" t="n">
        <v>2</v>
      </c>
      <c r="B565" s="0" t="n">
        <v>9</v>
      </c>
      <c r="C565" s="0" t="n">
        <v>2399</v>
      </c>
      <c r="D565" s="0" t="s">
        <v>3947</v>
      </c>
      <c r="E565" s="0" t="s">
        <v>3970</v>
      </c>
      <c r="F565" s="0" t="s">
        <v>4029</v>
      </c>
    </row>
    <row r="566" customFormat="false" ht="12.8" hidden="false" customHeight="false" outlineLevel="0" collapsed="false">
      <c r="A566" s="0" t="n">
        <v>2</v>
      </c>
      <c r="B566" s="0" t="n">
        <v>9</v>
      </c>
      <c r="C566" s="0" t="n">
        <v>2448</v>
      </c>
      <c r="D566" s="0" t="s">
        <v>3947</v>
      </c>
      <c r="E566" s="0" t="s">
        <v>3970</v>
      </c>
      <c r="F566" s="0" t="s">
        <v>3986</v>
      </c>
    </row>
    <row r="567" customFormat="false" ht="12.8" hidden="false" customHeight="false" outlineLevel="0" collapsed="false">
      <c r="A567" s="0" t="n">
        <v>2</v>
      </c>
      <c r="B567" s="0" t="n">
        <v>9</v>
      </c>
      <c r="C567" s="0" t="n">
        <v>2449</v>
      </c>
      <c r="D567" s="0" t="s">
        <v>3947</v>
      </c>
      <c r="E567" s="0" t="s">
        <v>3970</v>
      </c>
      <c r="F567" s="0" t="s">
        <v>3986</v>
      </c>
    </row>
    <row r="568" customFormat="false" ht="12.8" hidden="false" customHeight="false" outlineLevel="0" collapsed="false">
      <c r="A568" s="0" t="n">
        <v>2</v>
      </c>
      <c r="B568" s="0" t="n">
        <v>9</v>
      </c>
      <c r="C568" s="0" t="n">
        <v>2450</v>
      </c>
      <c r="D568" s="0" t="s">
        <v>3947</v>
      </c>
      <c r="E568" s="0" t="s">
        <v>3970</v>
      </c>
      <c r="F568" s="0" t="s">
        <v>4023</v>
      </c>
    </row>
    <row r="569" customFormat="false" ht="12.8" hidden="false" customHeight="false" outlineLevel="0" collapsed="false">
      <c r="A569" s="0" t="n">
        <v>2</v>
      </c>
      <c r="B569" s="0" t="n">
        <v>9</v>
      </c>
      <c r="C569" s="0" t="n">
        <v>2451</v>
      </c>
      <c r="D569" s="0" t="s">
        <v>3947</v>
      </c>
      <c r="E569" s="0" t="s">
        <v>3970</v>
      </c>
      <c r="F569" s="0" t="s">
        <v>4023</v>
      </c>
    </row>
    <row r="570" customFormat="false" ht="12.8" hidden="false" customHeight="false" outlineLevel="0" collapsed="false">
      <c r="A570" s="0" t="n">
        <v>2</v>
      </c>
      <c r="B570" s="0" t="n">
        <v>9</v>
      </c>
      <c r="C570" s="0" t="n">
        <v>2507</v>
      </c>
      <c r="D570" s="0" t="s">
        <v>3947</v>
      </c>
      <c r="E570" s="0" t="s">
        <v>3970</v>
      </c>
      <c r="F570" s="0" t="s">
        <v>3971</v>
      </c>
    </row>
    <row r="571" customFormat="false" ht="12.8" hidden="false" customHeight="false" outlineLevel="0" collapsed="false">
      <c r="A571" s="0" t="n">
        <v>2</v>
      </c>
      <c r="B571" s="0" t="n">
        <v>9</v>
      </c>
      <c r="C571" s="0" t="n">
        <v>2508</v>
      </c>
      <c r="D571" s="0" t="s">
        <v>3947</v>
      </c>
      <c r="E571" s="0" t="s">
        <v>3970</v>
      </c>
      <c r="F571" s="0" t="s">
        <v>3971</v>
      </c>
    </row>
    <row r="572" customFormat="false" ht="12.8" hidden="false" customHeight="false" outlineLevel="0" collapsed="false">
      <c r="A572" s="0" t="n">
        <v>2</v>
      </c>
      <c r="B572" s="0" t="n">
        <v>9</v>
      </c>
      <c r="C572" s="0" t="n">
        <v>2509</v>
      </c>
      <c r="D572" s="0" t="s">
        <v>3947</v>
      </c>
      <c r="E572" s="0" t="s">
        <v>3970</v>
      </c>
      <c r="F572" s="0" t="s">
        <v>4030</v>
      </c>
    </row>
    <row r="573" customFormat="false" ht="12.8" hidden="false" customHeight="false" outlineLevel="0" collapsed="false">
      <c r="A573" s="0" t="n">
        <v>2</v>
      </c>
      <c r="B573" s="0" t="n">
        <v>9</v>
      </c>
      <c r="C573" s="0" t="n">
        <v>2511</v>
      </c>
      <c r="D573" s="0" t="s">
        <v>3947</v>
      </c>
      <c r="E573" s="0" t="s">
        <v>3970</v>
      </c>
      <c r="F573" s="0" t="s">
        <v>3989</v>
      </c>
    </row>
    <row r="574" customFormat="false" ht="12.8" hidden="false" customHeight="false" outlineLevel="0" collapsed="false">
      <c r="A574" s="0" t="n">
        <v>2</v>
      </c>
      <c r="B574" s="0" t="n">
        <v>9</v>
      </c>
      <c r="C574" s="0" t="n">
        <v>2512</v>
      </c>
      <c r="D574" s="0" t="s">
        <v>3947</v>
      </c>
      <c r="E574" s="0" t="s">
        <v>3970</v>
      </c>
      <c r="F574" s="0" t="s">
        <v>3989</v>
      </c>
    </row>
    <row r="575" customFormat="false" ht="12.8" hidden="false" customHeight="false" outlineLevel="0" collapsed="false">
      <c r="A575" s="0" t="n">
        <v>2</v>
      </c>
      <c r="B575" s="0" t="n">
        <v>9</v>
      </c>
      <c r="C575" s="0" t="n">
        <v>2513</v>
      </c>
      <c r="D575" s="0" t="s">
        <v>3947</v>
      </c>
      <c r="E575" s="0" t="s">
        <v>3970</v>
      </c>
      <c r="F575" s="0" t="s">
        <v>3989</v>
      </c>
    </row>
    <row r="576" customFormat="false" ht="12.8" hidden="false" customHeight="false" outlineLevel="0" collapsed="false">
      <c r="A576" s="0" t="n">
        <v>2</v>
      </c>
      <c r="B576" s="0" t="n">
        <v>9</v>
      </c>
      <c r="C576" s="0" t="n">
        <v>2515</v>
      </c>
      <c r="D576" s="0" t="s">
        <v>3947</v>
      </c>
      <c r="E576" s="0" t="s">
        <v>3970</v>
      </c>
      <c r="F576" s="0" t="s">
        <v>3990</v>
      </c>
    </row>
    <row r="577" customFormat="false" ht="12.8" hidden="false" customHeight="false" outlineLevel="0" collapsed="false">
      <c r="A577" s="0" t="n">
        <v>2</v>
      </c>
      <c r="B577" s="0" t="n">
        <v>9</v>
      </c>
      <c r="C577" s="0" t="n">
        <v>2516</v>
      </c>
      <c r="D577" s="0" t="s">
        <v>3947</v>
      </c>
      <c r="E577" s="0" t="s">
        <v>3970</v>
      </c>
      <c r="F577" s="0" t="s">
        <v>3990</v>
      </c>
    </row>
    <row r="578" customFormat="false" ht="12.8" hidden="false" customHeight="false" outlineLevel="0" collapsed="false">
      <c r="A578" s="0" t="n">
        <v>2</v>
      </c>
      <c r="B578" s="0" t="n">
        <v>9</v>
      </c>
      <c r="C578" s="0" t="n">
        <v>2542</v>
      </c>
      <c r="D578" s="0" t="s">
        <v>3947</v>
      </c>
      <c r="E578" s="0" t="s">
        <v>3970</v>
      </c>
      <c r="F578" s="0" t="s">
        <v>4031</v>
      </c>
    </row>
    <row r="579" customFormat="false" ht="12.8" hidden="false" customHeight="false" outlineLevel="0" collapsed="false">
      <c r="A579" s="0" t="n">
        <v>2</v>
      </c>
      <c r="B579" s="0" t="n">
        <v>9</v>
      </c>
      <c r="C579" s="0" t="n">
        <v>2543</v>
      </c>
      <c r="D579" s="0" t="s">
        <v>3947</v>
      </c>
      <c r="E579" s="0" t="s">
        <v>3970</v>
      </c>
      <c r="F579" s="0" t="s">
        <v>4031</v>
      </c>
    </row>
    <row r="580" customFormat="false" ht="12.8" hidden="false" customHeight="false" outlineLevel="0" collapsed="false">
      <c r="A580" s="0" t="n">
        <v>2</v>
      </c>
      <c r="B580" s="0" t="n">
        <v>9</v>
      </c>
      <c r="C580" s="0" t="n">
        <v>2544</v>
      </c>
      <c r="D580" s="0" t="s">
        <v>3947</v>
      </c>
      <c r="E580" s="0" t="s">
        <v>3970</v>
      </c>
      <c r="F580" s="0" t="s">
        <v>4031</v>
      </c>
    </row>
    <row r="581" customFormat="false" ht="12.8" hidden="false" customHeight="false" outlineLevel="0" collapsed="false">
      <c r="A581" s="0" t="n">
        <v>2</v>
      </c>
      <c r="B581" s="0" t="n">
        <v>9</v>
      </c>
      <c r="C581" s="0" t="n">
        <v>2545</v>
      </c>
      <c r="D581" s="0" t="s">
        <v>3947</v>
      </c>
      <c r="E581" s="0" t="s">
        <v>3970</v>
      </c>
      <c r="F581" s="0" t="s">
        <v>4031</v>
      </c>
    </row>
    <row r="582" customFormat="false" ht="12.8" hidden="false" customHeight="false" outlineLevel="0" collapsed="false">
      <c r="A582" s="0" t="n">
        <v>2</v>
      </c>
      <c r="B582" s="0" t="n">
        <v>9</v>
      </c>
      <c r="C582" s="0" t="n">
        <v>2567</v>
      </c>
      <c r="D582" s="0" t="s">
        <v>3947</v>
      </c>
      <c r="E582" s="0" t="s">
        <v>3970</v>
      </c>
      <c r="F582" s="0" t="s">
        <v>4029</v>
      </c>
    </row>
    <row r="583" customFormat="false" ht="12.8" hidden="false" customHeight="false" outlineLevel="0" collapsed="false">
      <c r="A583" s="0" t="n">
        <v>2</v>
      </c>
      <c r="B583" s="0" t="n">
        <v>9</v>
      </c>
      <c r="C583" s="0" t="n">
        <v>2568</v>
      </c>
      <c r="D583" s="0" t="s">
        <v>3947</v>
      </c>
      <c r="E583" s="0" t="s">
        <v>3970</v>
      </c>
      <c r="F583" s="0" t="s">
        <v>4029</v>
      </c>
    </row>
    <row r="584" customFormat="false" ht="12.8" hidden="false" customHeight="false" outlineLevel="0" collapsed="false">
      <c r="A584" s="0" t="n">
        <v>2</v>
      </c>
      <c r="B584" s="0" t="n">
        <v>9</v>
      </c>
      <c r="C584" s="0" t="n">
        <v>2569</v>
      </c>
      <c r="D584" s="0" t="s">
        <v>3947</v>
      </c>
      <c r="E584" s="0" t="s">
        <v>3970</v>
      </c>
      <c r="F584" s="0" t="s">
        <v>4029</v>
      </c>
    </row>
    <row r="585" customFormat="false" ht="12.8" hidden="false" customHeight="false" outlineLevel="0" collapsed="false">
      <c r="A585" s="0" t="n">
        <v>2</v>
      </c>
      <c r="B585" s="0" t="n">
        <v>9</v>
      </c>
      <c r="C585" s="0" t="n">
        <v>2570</v>
      </c>
      <c r="D585" s="0" t="s">
        <v>3947</v>
      </c>
      <c r="E585" s="0" t="s">
        <v>3970</v>
      </c>
      <c r="F585" s="0" t="s">
        <v>4029</v>
      </c>
    </row>
    <row r="586" customFormat="false" ht="12.8" hidden="false" customHeight="false" outlineLevel="0" collapsed="false">
      <c r="A586" s="0" t="n">
        <v>2</v>
      </c>
      <c r="B586" s="0" t="n">
        <v>9</v>
      </c>
      <c r="C586" s="0" t="n">
        <v>2571</v>
      </c>
      <c r="D586" s="0" t="s">
        <v>3947</v>
      </c>
      <c r="E586" s="0" t="s">
        <v>3970</v>
      </c>
      <c r="F586" s="0" t="s">
        <v>4029</v>
      </c>
    </row>
    <row r="587" customFormat="false" ht="12.8" hidden="false" customHeight="false" outlineLevel="0" collapsed="false">
      <c r="A587" s="0" t="n">
        <v>2</v>
      </c>
      <c r="B587" s="0" t="n">
        <v>9</v>
      </c>
      <c r="C587" s="0" t="n">
        <v>2572</v>
      </c>
      <c r="D587" s="0" t="s">
        <v>3947</v>
      </c>
      <c r="E587" s="0" t="s">
        <v>3970</v>
      </c>
      <c r="F587" s="0" t="s">
        <v>4029</v>
      </c>
    </row>
    <row r="588" customFormat="false" ht="12.8" hidden="false" customHeight="false" outlineLevel="0" collapsed="false">
      <c r="A588" s="0" t="n">
        <v>2</v>
      </c>
      <c r="B588" s="0" t="n">
        <v>9</v>
      </c>
      <c r="C588" s="0" t="n">
        <v>2573</v>
      </c>
      <c r="D588" s="0" t="s">
        <v>3947</v>
      </c>
      <c r="E588" s="0" t="s">
        <v>3970</v>
      </c>
      <c r="F588" s="0" t="s">
        <v>4029</v>
      </c>
    </row>
    <row r="589" customFormat="false" ht="12.8" hidden="false" customHeight="false" outlineLevel="0" collapsed="false">
      <c r="A589" s="0" t="n">
        <v>2</v>
      </c>
      <c r="B589" s="0" t="n">
        <v>9</v>
      </c>
      <c r="C589" s="0" t="n">
        <v>2580</v>
      </c>
      <c r="D589" s="0" t="s">
        <v>3947</v>
      </c>
      <c r="E589" s="0" t="s">
        <v>3970</v>
      </c>
      <c r="F589" s="0" t="s">
        <v>4002</v>
      </c>
    </row>
    <row r="590" customFormat="false" ht="12.8" hidden="false" customHeight="false" outlineLevel="0" collapsed="false">
      <c r="A590" s="0" t="n">
        <v>2</v>
      </c>
      <c r="B590" s="0" t="n">
        <v>9</v>
      </c>
      <c r="C590" s="0" t="n">
        <v>2581</v>
      </c>
      <c r="D590" s="0" t="s">
        <v>3947</v>
      </c>
      <c r="E590" s="0" t="s">
        <v>3970</v>
      </c>
      <c r="F590" s="0" t="s">
        <v>4002</v>
      </c>
    </row>
    <row r="591" customFormat="false" ht="12.8" hidden="false" customHeight="false" outlineLevel="0" collapsed="false">
      <c r="A591" s="0" t="n">
        <v>2</v>
      </c>
      <c r="B591" s="0" t="n">
        <v>9</v>
      </c>
      <c r="C591" s="0" t="n">
        <v>2632</v>
      </c>
      <c r="D591" s="0" t="s">
        <v>3947</v>
      </c>
      <c r="E591" s="0" t="s">
        <v>3970</v>
      </c>
      <c r="F591" s="0" t="s">
        <v>4032</v>
      </c>
    </row>
    <row r="592" customFormat="false" ht="12.8" hidden="false" customHeight="false" outlineLevel="0" collapsed="false">
      <c r="A592" s="0" t="n">
        <v>2</v>
      </c>
      <c r="B592" s="0" t="n">
        <v>9</v>
      </c>
      <c r="C592" s="0" t="n">
        <v>2633</v>
      </c>
      <c r="D592" s="0" t="s">
        <v>3947</v>
      </c>
      <c r="E592" s="0" t="s">
        <v>3970</v>
      </c>
      <c r="F592" s="0" t="s">
        <v>4032</v>
      </c>
    </row>
    <row r="593" customFormat="false" ht="12.8" hidden="false" customHeight="false" outlineLevel="0" collapsed="false">
      <c r="A593" s="0" t="n">
        <v>2</v>
      </c>
      <c r="B593" s="0" t="n">
        <v>9</v>
      </c>
      <c r="C593" s="0" t="n">
        <v>2634</v>
      </c>
      <c r="D593" s="0" t="s">
        <v>3947</v>
      </c>
      <c r="E593" s="0" t="s">
        <v>3970</v>
      </c>
      <c r="F593" s="0" t="s">
        <v>4033</v>
      </c>
    </row>
    <row r="594" customFormat="false" ht="12.8" hidden="false" customHeight="false" outlineLevel="0" collapsed="false">
      <c r="A594" s="0" t="n">
        <v>2</v>
      </c>
      <c r="B594" s="0" t="n">
        <v>9</v>
      </c>
      <c r="C594" s="0" t="n">
        <v>2635</v>
      </c>
      <c r="D594" s="0" t="s">
        <v>3947</v>
      </c>
      <c r="E594" s="0" t="s">
        <v>3970</v>
      </c>
      <c r="F594" s="0" t="s">
        <v>4034</v>
      </c>
    </row>
    <row r="595" customFormat="false" ht="12.8" hidden="false" customHeight="false" outlineLevel="0" collapsed="false">
      <c r="A595" s="0" t="n">
        <v>2</v>
      </c>
      <c r="B595" s="0" t="n">
        <v>9</v>
      </c>
      <c r="C595" s="0" t="n">
        <v>2636</v>
      </c>
      <c r="D595" s="0" t="s">
        <v>3947</v>
      </c>
      <c r="E595" s="0" t="s">
        <v>3970</v>
      </c>
      <c r="F595" s="0" t="s">
        <v>4034</v>
      </c>
    </row>
    <row r="596" customFormat="false" ht="12.8" hidden="false" customHeight="false" outlineLevel="0" collapsed="false">
      <c r="A596" s="0" t="n">
        <v>2</v>
      </c>
      <c r="B596" s="0" t="n">
        <v>9</v>
      </c>
      <c r="C596" s="0" t="n">
        <v>2637</v>
      </c>
      <c r="D596" s="0" t="s">
        <v>3947</v>
      </c>
      <c r="E596" s="0" t="s">
        <v>3970</v>
      </c>
      <c r="F596" s="0" t="s">
        <v>4032</v>
      </c>
    </row>
    <row r="597" customFormat="false" ht="12.8" hidden="false" customHeight="false" outlineLevel="0" collapsed="false">
      <c r="A597" s="0" t="n">
        <v>2</v>
      </c>
      <c r="B597" s="0" t="n">
        <v>11</v>
      </c>
      <c r="C597" s="0" t="n">
        <v>35</v>
      </c>
      <c r="D597" s="0" t="s">
        <v>3947</v>
      </c>
      <c r="E597" s="0" t="s">
        <v>4035</v>
      </c>
      <c r="F597" s="0" t="s">
        <v>4036</v>
      </c>
    </row>
    <row r="598" customFormat="false" ht="12.8" hidden="false" customHeight="false" outlineLevel="0" collapsed="false">
      <c r="A598" s="0" t="n">
        <v>2</v>
      </c>
      <c r="B598" s="0" t="n">
        <v>11</v>
      </c>
      <c r="C598" s="0" t="n">
        <v>158</v>
      </c>
      <c r="D598" s="0" t="s">
        <v>3947</v>
      </c>
      <c r="E598" s="0" t="s">
        <v>4035</v>
      </c>
      <c r="F598" s="0" t="s">
        <v>4036</v>
      </c>
    </row>
    <row r="599" customFormat="false" ht="12.8" hidden="false" customHeight="false" outlineLevel="0" collapsed="false">
      <c r="A599" s="0" t="n">
        <v>2</v>
      </c>
      <c r="B599" s="0" t="n">
        <v>11</v>
      </c>
      <c r="C599" s="0" t="n">
        <v>280</v>
      </c>
      <c r="D599" s="0" t="s">
        <v>3947</v>
      </c>
      <c r="E599" s="0" t="s">
        <v>4035</v>
      </c>
      <c r="F599" s="0" t="s">
        <v>4036</v>
      </c>
    </row>
    <row r="600" customFormat="false" ht="12.8" hidden="false" customHeight="false" outlineLevel="0" collapsed="false">
      <c r="A600" s="0" t="n">
        <v>2</v>
      </c>
      <c r="B600" s="0" t="n">
        <v>11</v>
      </c>
      <c r="C600" s="0" t="n">
        <v>387</v>
      </c>
      <c r="D600" s="0" t="s">
        <v>3947</v>
      </c>
      <c r="E600" s="0" t="s">
        <v>4035</v>
      </c>
      <c r="F600" s="0" t="s">
        <v>4036</v>
      </c>
    </row>
    <row r="601" customFormat="false" ht="12.8" hidden="false" customHeight="false" outlineLevel="0" collapsed="false">
      <c r="A601" s="0" t="n">
        <v>2</v>
      </c>
      <c r="B601" s="0" t="n">
        <v>11</v>
      </c>
      <c r="C601" s="0" t="n">
        <v>494</v>
      </c>
      <c r="D601" s="0" t="s">
        <v>3947</v>
      </c>
      <c r="E601" s="0" t="s">
        <v>4035</v>
      </c>
      <c r="F601" s="0" t="s">
        <v>4036</v>
      </c>
    </row>
    <row r="602" customFormat="false" ht="12.8" hidden="false" customHeight="false" outlineLevel="0" collapsed="false">
      <c r="A602" s="0" t="n">
        <v>2</v>
      </c>
      <c r="B602" s="0" t="n">
        <v>11</v>
      </c>
      <c r="C602" s="0" t="n">
        <v>601</v>
      </c>
      <c r="D602" s="0" t="s">
        <v>3947</v>
      </c>
      <c r="E602" s="0" t="s">
        <v>4035</v>
      </c>
      <c r="F602" s="0" t="s">
        <v>4036</v>
      </c>
    </row>
    <row r="603" customFormat="false" ht="12.8" hidden="false" customHeight="false" outlineLevel="0" collapsed="false">
      <c r="A603" s="0" t="n">
        <v>2</v>
      </c>
      <c r="B603" s="0" t="n">
        <v>11</v>
      </c>
      <c r="C603" s="0" t="n">
        <v>717</v>
      </c>
      <c r="D603" s="0" t="s">
        <v>3947</v>
      </c>
      <c r="E603" s="0" t="s">
        <v>4035</v>
      </c>
      <c r="F603" s="0" t="s">
        <v>4036</v>
      </c>
    </row>
    <row r="604" customFormat="false" ht="12.8" hidden="false" customHeight="false" outlineLevel="0" collapsed="false">
      <c r="A604" s="0" t="n">
        <v>2</v>
      </c>
      <c r="B604" s="0" t="n">
        <v>11</v>
      </c>
      <c r="C604" s="0" t="n">
        <v>831</v>
      </c>
      <c r="D604" s="0" t="s">
        <v>3947</v>
      </c>
      <c r="E604" s="0" t="s">
        <v>4035</v>
      </c>
      <c r="F604" s="0" t="s">
        <v>4036</v>
      </c>
    </row>
    <row r="605" customFormat="false" ht="12.8" hidden="false" customHeight="false" outlineLevel="0" collapsed="false">
      <c r="A605" s="0" t="n">
        <v>2</v>
      </c>
      <c r="B605" s="0" t="n">
        <v>11</v>
      </c>
      <c r="C605" s="0" t="n">
        <v>987</v>
      </c>
      <c r="D605" s="0" t="s">
        <v>3947</v>
      </c>
      <c r="E605" s="0" t="s">
        <v>4035</v>
      </c>
      <c r="F605" s="0" t="s">
        <v>3954</v>
      </c>
    </row>
    <row r="606" customFormat="false" ht="12.8" hidden="false" customHeight="false" outlineLevel="0" collapsed="false">
      <c r="A606" s="0" t="n">
        <v>2</v>
      </c>
      <c r="B606" s="0" t="n">
        <v>11</v>
      </c>
      <c r="C606" s="0" t="n">
        <v>988</v>
      </c>
      <c r="D606" s="0" t="s">
        <v>3947</v>
      </c>
      <c r="E606" s="0" t="s">
        <v>4035</v>
      </c>
      <c r="F606" s="0" t="s">
        <v>3954</v>
      </c>
    </row>
    <row r="607" customFormat="false" ht="12.8" hidden="false" customHeight="false" outlineLevel="0" collapsed="false">
      <c r="A607" s="0" t="n">
        <v>2</v>
      </c>
      <c r="B607" s="0" t="n">
        <v>11</v>
      </c>
      <c r="C607" s="0" t="n">
        <v>989</v>
      </c>
      <c r="D607" s="0" t="s">
        <v>3947</v>
      </c>
      <c r="E607" s="0" t="s">
        <v>4035</v>
      </c>
      <c r="F607" s="0" t="s">
        <v>3954</v>
      </c>
    </row>
    <row r="608" customFormat="false" ht="12.8" hidden="false" customHeight="false" outlineLevel="0" collapsed="false">
      <c r="A608" s="0" t="n">
        <v>2</v>
      </c>
      <c r="B608" s="0" t="n">
        <v>11</v>
      </c>
      <c r="C608" s="0" t="n">
        <v>990</v>
      </c>
      <c r="D608" s="0" t="s">
        <v>3947</v>
      </c>
      <c r="E608" s="0" t="s">
        <v>4035</v>
      </c>
      <c r="F608" s="0" t="s">
        <v>3954</v>
      </c>
    </row>
    <row r="609" customFormat="false" ht="12.8" hidden="false" customHeight="false" outlineLevel="0" collapsed="false">
      <c r="A609" s="0" t="n">
        <v>2</v>
      </c>
      <c r="B609" s="0" t="n">
        <v>11</v>
      </c>
      <c r="C609" s="0" t="n">
        <v>991</v>
      </c>
      <c r="D609" s="0" t="s">
        <v>3947</v>
      </c>
      <c r="E609" s="0" t="s">
        <v>4035</v>
      </c>
      <c r="F609" s="0" t="s">
        <v>3954</v>
      </c>
    </row>
    <row r="610" customFormat="false" ht="12.8" hidden="false" customHeight="false" outlineLevel="0" collapsed="false">
      <c r="A610" s="0" t="n">
        <v>2</v>
      </c>
      <c r="B610" s="0" t="n">
        <v>11</v>
      </c>
      <c r="C610" s="0" t="n">
        <v>992</v>
      </c>
      <c r="D610" s="0" t="s">
        <v>3947</v>
      </c>
      <c r="E610" s="0" t="s">
        <v>4035</v>
      </c>
      <c r="F610" s="0" t="s">
        <v>3954</v>
      </c>
    </row>
    <row r="611" customFormat="false" ht="12.8" hidden="false" customHeight="false" outlineLevel="0" collapsed="false">
      <c r="A611" s="0" t="n">
        <v>2</v>
      </c>
      <c r="B611" s="0" t="n">
        <v>11</v>
      </c>
      <c r="C611" s="0" t="n">
        <v>993</v>
      </c>
      <c r="D611" s="0" t="s">
        <v>3947</v>
      </c>
      <c r="E611" s="0" t="s">
        <v>4035</v>
      </c>
      <c r="F611" s="0" t="s">
        <v>3954</v>
      </c>
    </row>
    <row r="612" customFormat="false" ht="12.8" hidden="false" customHeight="false" outlineLevel="0" collapsed="false">
      <c r="A612" s="0" t="n">
        <v>2</v>
      </c>
      <c r="B612" s="0" t="n">
        <v>11</v>
      </c>
      <c r="C612" s="0" t="n">
        <v>994</v>
      </c>
      <c r="D612" s="0" t="s">
        <v>3947</v>
      </c>
      <c r="E612" s="0" t="s">
        <v>4035</v>
      </c>
      <c r="F612" s="0" t="s">
        <v>3954</v>
      </c>
    </row>
    <row r="613" customFormat="false" ht="12.8" hidden="false" customHeight="false" outlineLevel="0" collapsed="false">
      <c r="A613" s="0" t="n">
        <v>2</v>
      </c>
      <c r="B613" s="0" t="n">
        <v>11</v>
      </c>
      <c r="C613" s="0" t="n">
        <v>995</v>
      </c>
      <c r="D613" s="0" t="s">
        <v>3947</v>
      </c>
      <c r="E613" s="0" t="s">
        <v>4035</v>
      </c>
      <c r="F613" s="0" t="s">
        <v>3954</v>
      </c>
    </row>
    <row r="614" customFormat="false" ht="12.8" hidden="false" customHeight="false" outlineLevel="0" collapsed="false">
      <c r="A614" s="0" t="n">
        <v>2</v>
      </c>
      <c r="B614" s="0" t="n">
        <v>11</v>
      </c>
      <c r="C614" s="0" t="n">
        <v>996</v>
      </c>
      <c r="D614" s="0" t="s">
        <v>3947</v>
      </c>
      <c r="E614" s="0" t="s">
        <v>4035</v>
      </c>
      <c r="F614" s="0" t="s">
        <v>3954</v>
      </c>
    </row>
    <row r="615" customFormat="false" ht="12.8" hidden="false" customHeight="false" outlineLevel="0" collapsed="false">
      <c r="A615" s="0" t="n">
        <v>2</v>
      </c>
      <c r="B615" s="0" t="n">
        <v>11</v>
      </c>
      <c r="C615" s="0" t="n">
        <v>1208</v>
      </c>
      <c r="D615" s="0" t="s">
        <v>3947</v>
      </c>
      <c r="E615" s="0" t="s">
        <v>4035</v>
      </c>
      <c r="F615" s="0" t="s">
        <v>4036</v>
      </c>
    </row>
    <row r="616" customFormat="false" ht="12.8" hidden="false" customHeight="false" outlineLevel="0" collapsed="false">
      <c r="A616" s="0" t="n">
        <v>2</v>
      </c>
      <c r="B616" s="0" t="n">
        <v>11</v>
      </c>
      <c r="C616" s="0" t="n">
        <v>1318</v>
      </c>
      <c r="D616" s="0" t="s">
        <v>3947</v>
      </c>
      <c r="E616" s="0" t="s">
        <v>4035</v>
      </c>
      <c r="F616" s="0" t="s">
        <v>3954</v>
      </c>
    </row>
    <row r="617" customFormat="false" ht="12.8" hidden="false" customHeight="false" outlineLevel="0" collapsed="false">
      <c r="A617" s="0" t="n">
        <v>2</v>
      </c>
      <c r="B617" s="0" t="n">
        <v>11</v>
      </c>
      <c r="C617" s="0" t="n">
        <v>1379</v>
      </c>
      <c r="D617" s="0" t="s">
        <v>3947</v>
      </c>
      <c r="E617" s="0" t="s">
        <v>4035</v>
      </c>
      <c r="F617" s="0" t="s">
        <v>4036</v>
      </c>
    </row>
    <row r="618" customFormat="false" ht="12.8" hidden="false" customHeight="false" outlineLevel="0" collapsed="false">
      <c r="A618" s="0" t="n">
        <v>2</v>
      </c>
      <c r="B618" s="0" t="n">
        <v>11</v>
      </c>
      <c r="C618" s="0" t="n">
        <v>1498</v>
      </c>
      <c r="D618" s="0" t="s">
        <v>3947</v>
      </c>
      <c r="E618" s="0" t="s">
        <v>4035</v>
      </c>
      <c r="F618" s="0" t="s">
        <v>3954</v>
      </c>
    </row>
    <row r="619" customFormat="false" ht="12.8" hidden="false" customHeight="false" outlineLevel="0" collapsed="false">
      <c r="A619" s="0" t="n">
        <v>2</v>
      </c>
      <c r="B619" s="0" t="n">
        <v>11</v>
      </c>
      <c r="C619" s="0" t="n">
        <v>1560</v>
      </c>
      <c r="D619" s="0" t="s">
        <v>3947</v>
      </c>
      <c r="E619" s="0" t="s">
        <v>4035</v>
      </c>
      <c r="F619" s="0" t="s">
        <v>4036</v>
      </c>
    </row>
    <row r="620" customFormat="false" ht="12.8" hidden="false" customHeight="false" outlineLevel="0" collapsed="false">
      <c r="A620" s="0" t="n">
        <v>2</v>
      </c>
      <c r="B620" s="0" t="n">
        <v>11</v>
      </c>
      <c r="C620" s="0" t="n">
        <v>1666</v>
      </c>
      <c r="D620" s="0" t="s">
        <v>3947</v>
      </c>
      <c r="E620" s="0" t="s">
        <v>4035</v>
      </c>
      <c r="F620" s="0" t="s">
        <v>3954</v>
      </c>
    </row>
    <row r="621" customFormat="false" ht="12.8" hidden="false" customHeight="false" outlineLevel="0" collapsed="false">
      <c r="A621" s="0" t="n">
        <v>3</v>
      </c>
      <c r="B621" s="0" t="n">
        <v>12</v>
      </c>
      <c r="C621" s="0" t="n">
        <v>36</v>
      </c>
      <c r="D621" s="0" t="s">
        <v>4037</v>
      </c>
      <c r="E621" s="0" t="s">
        <v>3970</v>
      </c>
      <c r="F621" s="0" t="s">
        <v>3950</v>
      </c>
    </row>
    <row r="622" customFormat="false" ht="12.8" hidden="false" customHeight="false" outlineLevel="0" collapsed="false">
      <c r="A622" s="0" t="n">
        <v>3</v>
      </c>
      <c r="B622" s="0" t="n">
        <v>12</v>
      </c>
      <c r="C622" s="0" t="n">
        <v>37</v>
      </c>
      <c r="D622" s="0" t="s">
        <v>4037</v>
      </c>
      <c r="E622" s="0" t="s">
        <v>3970</v>
      </c>
      <c r="F622" s="0" t="s">
        <v>3927</v>
      </c>
    </row>
    <row r="623" customFormat="false" ht="12.8" hidden="false" customHeight="false" outlineLevel="0" collapsed="false">
      <c r="A623" s="0" t="n">
        <v>3</v>
      </c>
      <c r="B623" s="0" t="n">
        <v>12</v>
      </c>
      <c r="C623" s="0" t="n">
        <v>38</v>
      </c>
      <c r="D623" s="0" t="s">
        <v>4037</v>
      </c>
      <c r="E623" s="0" t="s">
        <v>3970</v>
      </c>
      <c r="F623" s="0" t="s">
        <v>4036</v>
      </c>
    </row>
    <row r="624" customFormat="false" ht="12.8" hidden="false" customHeight="false" outlineLevel="0" collapsed="false">
      <c r="A624" s="0" t="n">
        <v>3</v>
      </c>
      <c r="B624" s="0" t="n">
        <v>12</v>
      </c>
      <c r="C624" s="0" t="n">
        <v>39</v>
      </c>
      <c r="D624" s="0" t="s">
        <v>4037</v>
      </c>
      <c r="E624" s="0" t="s">
        <v>3970</v>
      </c>
      <c r="F624" s="0" t="s">
        <v>4038</v>
      </c>
    </row>
    <row r="625" customFormat="false" ht="12.8" hidden="false" customHeight="false" outlineLevel="0" collapsed="false">
      <c r="A625" s="0" t="n">
        <v>3</v>
      </c>
      <c r="B625" s="0" t="n">
        <v>12</v>
      </c>
      <c r="C625" s="0" t="n">
        <v>40</v>
      </c>
      <c r="D625" s="0" t="s">
        <v>4037</v>
      </c>
      <c r="E625" s="0" t="s">
        <v>3970</v>
      </c>
      <c r="F625" s="0" t="s">
        <v>4039</v>
      </c>
    </row>
    <row r="626" customFormat="false" ht="12.8" hidden="false" customHeight="false" outlineLevel="0" collapsed="false">
      <c r="A626" s="0" t="n">
        <v>3</v>
      </c>
      <c r="B626" s="0" t="n">
        <v>12</v>
      </c>
      <c r="C626" s="0" t="n">
        <v>41</v>
      </c>
      <c r="D626" s="0" t="s">
        <v>4037</v>
      </c>
      <c r="E626" s="0" t="s">
        <v>3970</v>
      </c>
      <c r="F626" s="0" t="s">
        <v>4040</v>
      </c>
    </row>
    <row r="627" customFormat="false" ht="12.8" hidden="false" customHeight="false" outlineLevel="0" collapsed="false">
      <c r="A627" s="0" t="n">
        <v>3</v>
      </c>
      <c r="B627" s="0" t="n">
        <v>12</v>
      </c>
      <c r="C627" s="0" t="n">
        <v>42</v>
      </c>
      <c r="D627" s="0" t="s">
        <v>4037</v>
      </c>
      <c r="E627" s="0" t="s">
        <v>3970</v>
      </c>
      <c r="F627" s="0" t="s">
        <v>4041</v>
      </c>
    </row>
    <row r="628" customFormat="false" ht="12.8" hidden="false" customHeight="false" outlineLevel="0" collapsed="false">
      <c r="A628" s="0" t="n">
        <v>3</v>
      </c>
      <c r="B628" s="0" t="n">
        <v>12</v>
      </c>
      <c r="C628" s="0" t="n">
        <v>43</v>
      </c>
      <c r="D628" s="0" t="s">
        <v>4037</v>
      </c>
      <c r="E628" s="0" t="s">
        <v>3970</v>
      </c>
      <c r="F628" s="0" t="s">
        <v>4042</v>
      </c>
    </row>
    <row r="629" customFormat="false" ht="12.8" hidden="false" customHeight="false" outlineLevel="0" collapsed="false">
      <c r="A629" s="0" t="n">
        <v>3</v>
      </c>
      <c r="B629" s="0" t="n">
        <v>12</v>
      </c>
      <c r="C629" s="0" t="n">
        <v>44</v>
      </c>
      <c r="D629" s="0" t="s">
        <v>4037</v>
      </c>
      <c r="E629" s="0" t="s">
        <v>3970</v>
      </c>
      <c r="F629" s="0" t="s">
        <v>4043</v>
      </c>
    </row>
    <row r="630" customFormat="false" ht="12.8" hidden="false" customHeight="false" outlineLevel="0" collapsed="false">
      <c r="A630" s="0" t="n">
        <v>3</v>
      </c>
      <c r="B630" s="0" t="n">
        <v>12</v>
      </c>
      <c r="C630" s="0" t="n">
        <v>45</v>
      </c>
      <c r="D630" s="0" t="s">
        <v>4037</v>
      </c>
      <c r="E630" s="0" t="s">
        <v>3970</v>
      </c>
      <c r="F630" s="0" t="s">
        <v>4044</v>
      </c>
    </row>
    <row r="631" customFormat="false" ht="12.8" hidden="false" customHeight="false" outlineLevel="0" collapsed="false">
      <c r="A631" s="0" t="n">
        <v>3</v>
      </c>
      <c r="B631" s="0" t="n">
        <v>12</v>
      </c>
      <c r="C631" s="0" t="n">
        <v>159</v>
      </c>
      <c r="D631" s="0" t="s">
        <v>4037</v>
      </c>
      <c r="E631" s="0" t="s">
        <v>3970</v>
      </c>
      <c r="F631" s="0" t="s">
        <v>3950</v>
      </c>
    </row>
    <row r="632" customFormat="false" ht="12.8" hidden="false" customHeight="false" outlineLevel="0" collapsed="false">
      <c r="A632" s="0" t="n">
        <v>3</v>
      </c>
      <c r="B632" s="0" t="n">
        <v>12</v>
      </c>
      <c r="C632" s="0" t="n">
        <v>160</v>
      </c>
      <c r="D632" s="0" t="s">
        <v>4037</v>
      </c>
      <c r="E632" s="0" t="s">
        <v>3970</v>
      </c>
      <c r="F632" s="0" t="s">
        <v>3927</v>
      </c>
    </row>
    <row r="633" customFormat="false" ht="12.8" hidden="false" customHeight="false" outlineLevel="0" collapsed="false">
      <c r="A633" s="0" t="n">
        <v>3</v>
      </c>
      <c r="B633" s="0" t="n">
        <v>12</v>
      </c>
      <c r="C633" s="0" t="n">
        <v>161</v>
      </c>
      <c r="D633" s="0" t="s">
        <v>4037</v>
      </c>
      <c r="E633" s="0" t="s">
        <v>3970</v>
      </c>
      <c r="F633" s="0" t="s">
        <v>4036</v>
      </c>
    </row>
    <row r="634" customFormat="false" ht="12.8" hidden="false" customHeight="false" outlineLevel="0" collapsed="false">
      <c r="A634" s="0" t="n">
        <v>3</v>
      </c>
      <c r="B634" s="0" t="n">
        <v>12</v>
      </c>
      <c r="C634" s="0" t="n">
        <v>162</v>
      </c>
      <c r="D634" s="0" t="s">
        <v>4037</v>
      </c>
      <c r="E634" s="0" t="s">
        <v>3970</v>
      </c>
      <c r="F634" s="0" t="s">
        <v>4038</v>
      </c>
    </row>
    <row r="635" customFormat="false" ht="12.8" hidden="false" customHeight="false" outlineLevel="0" collapsed="false">
      <c r="A635" s="0" t="n">
        <v>3</v>
      </c>
      <c r="B635" s="0" t="n">
        <v>12</v>
      </c>
      <c r="C635" s="0" t="n">
        <v>163</v>
      </c>
      <c r="D635" s="0" t="s">
        <v>4037</v>
      </c>
      <c r="E635" s="0" t="s">
        <v>3970</v>
      </c>
      <c r="F635" s="0" t="s">
        <v>4039</v>
      </c>
    </row>
    <row r="636" customFormat="false" ht="12.8" hidden="false" customHeight="false" outlineLevel="0" collapsed="false">
      <c r="A636" s="0" t="n">
        <v>3</v>
      </c>
      <c r="B636" s="0" t="n">
        <v>12</v>
      </c>
      <c r="C636" s="0" t="n">
        <v>164</v>
      </c>
      <c r="D636" s="0" t="s">
        <v>4037</v>
      </c>
      <c r="E636" s="0" t="s">
        <v>3970</v>
      </c>
      <c r="F636" s="0" t="s">
        <v>4040</v>
      </c>
    </row>
    <row r="637" customFormat="false" ht="12.8" hidden="false" customHeight="false" outlineLevel="0" collapsed="false">
      <c r="A637" s="0" t="n">
        <v>3</v>
      </c>
      <c r="B637" s="0" t="n">
        <v>12</v>
      </c>
      <c r="C637" s="0" t="n">
        <v>165</v>
      </c>
      <c r="D637" s="0" t="s">
        <v>4037</v>
      </c>
      <c r="E637" s="0" t="s">
        <v>3970</v>
      </c>
      <c r="F637" s="0" t="s">
        <v>4045</v>
      </c>
    </row>
    <row r="638" customFormat="false" ht="12.8" hidden="false" customHeight="false" outlineLevel="0" collapsed="false">
      <c r="A638" s="0" t="n">
        <v>3</v>
      </c>
      <c r="B638" s="0" t="n">
        <v>12</v>
      </c>
      <c r="C638" s="0" t="n">
        <v>166</v>
      </c>
      <c r="D638" s="0" t="s">
        <v>4037</v>
      </c>
      <c r="E638" s="0" t="s">
        <v>3970</v>
      </c>
      <c r="F638" s="0" t="s">
        <v>4042</v>
      </c>
    </row>
    <row r="639" customFormat="false" ht="12.8" hidden="false" customHeight="false" outlineLevel="0" collapsed="false">
      <c r="A639" s="0" t="n">
        <v>3</v>
      </c>
      <c r="B639" s="0" t="n">
        <v>12</v>
      </c>
      <c r="C639" s="0" t="n">
        <v>167</v>
      </c>
      <c r="D639" s="0" t="s">
        <v>4037</v>
      </c>
      <c r="E639" s="0" t="s">
        <v>3970</v>
      </c>
      <c r="F639" s="0" t="s">
        <v>4043</v>
      </c>
    </row>
    <row r="640" customFormat="false" ht="12.8" hidden="false" customHeight="false" outlineLevel="0" collapsed="false">
      <c r="A640" s="0" t="n">
        <v>3</v>
      </c>
      <c r="B640" s="0" t="n">
        <v>12</v>
      </c>
      <c r="C640" s="0" t="n">
        <v>168</v>
      </c>
      <c r="D640" s="0" t="s">
        <v>4037</v>
      </c>
      <c r="E640" s="0" t="s">
        <v>3970</v>
      </c>
      <c r="F640" s="0" t="s">
        <v>4044</v>
      </c>
    </row>
    <row r="641" customFormat="false" ht="12.8" hidden="false" customHeight="false" outlineLevel="0" collapsed="false">
      <c r="A641" s="0" t="n">
        <v>3</v>
      </c>
      <c r="B641" s="0" t="n">
        <v>12</v>
      </c>
      <c r="C641" s="0" t="n">
        <v>281</v>
      </c>
      <c r="D641" s="0" t="s">
        <v>4037</v>
      </c>
      <c r="E641" s="0" t="s">
        <v>3970</v>
      </c>
      <c r="F641" s="0" t="s">
        <v>3950</v>
      </c>
    </row>
    <row r="642" customFormat="false" ht="12.8" hidden="false" customHeight="false" outlineLevel="0" collapsed="false">
      <c r="A642" s="0" t="n">
        <v>3</v>
      </c>
      <c r="B642" s="0" t="n">
        <v>12</v>
      </c>
      <c r="C642" s="0" t="n">
        <v>282</v>
      </c>
      <c r="D642" s="0" t="s">
        <v>4037</v>
      </c>
      <c r="E642" s="0" t="s">
        <v>3970</v>
      </c>
      <c r="F642" s="0" t="s">
        <v>3927</v>
      </c>
    </row>
    <row r="643" customFormat="false" ht="12.8" hidden="false" customHeight="false" outlineLevel="0" collapsed="false">
      <c r="A643" s="0" t="n">
        <v>3</v>
      </c>
      <c r="B643" s="0" t="n">
        <v>12</v>
      </c>
      <c r="C643" s="0" t="n">
        <v>283</v>
      </c>
      <c r="D643" s="0" t="s">
        <v>4037</v>
      </c>
      <c r="E643" s="0" t="s">
        <v>3970</v>
      </c>
      <c r="F643" s="0" t="s">
        <v>4036</v>
      </c>
    </row>
    <row r="644" customFormat="false" ht="12.8" hidden="false" customHeight="false" outlineLevel="0" collapsed="false">
      <c r="A644" s="0" t="n">
        <v>3</v>
      </c>
      <c r="B644" s="0" t="n">
        <v>12</v>
      </c>
      <c r="C644" s="0" t="n">
        <v>284</v>
      </c>
      <c r="D644" s="0" t="s">
        <v>4037</v>
      </c>
      <c r="E644" s="0" t="s">
        <v>3970</v>
      </c>
      <c r="F644" s="0" t="s">
        <v>4038</v>
      </c>
    </row>
    <row r="645" customFormat="false" ht="12.8" hidden="false" customHeight="false" outlineLevel="0" collapsed="false">
      <c r="A645" s="0" t="n">
        <v>3</v>
      </c>
      <c r="B645" s="0" t="n">
        <v>12</v>
      </c>
      <c r="C645" s="0" t="n">
        <v>285</v>
      </c>
      <c r="D645" s="0" t="s">
        <v>4037</v>
      </c>
      <c r="E645" s="0" t="s">
        <v>3970</v>
      </c>
      <c r="F645" s="0" t="s">
        <v>4039</v>
      </c>
    </row>
    <row r="646" customFormat="false" ht="12.8" hidden="false" customHeight="false" outlineLevel="0" collapsed="false">
      <c r="A646" s="0" t="n">
        <v>3</v>
      </c>
      <c r="B646" s="0" t="n">
        <v>12</v>
      </c>
      <c r="C646" s="0" t="n">
        <v>286</v>
      </c>
      <c r="D646" s="0" t="s">
        <v>4037</v>
      </c>
      <c r="E646" s="0" t="s">
        <v>3970</v>
      </c>
      <c r="F646" s="0" t="s">
        <v>4040</v>
      </c>
    </row>
    <row r="647" customFormat="false" ht="12.8" hidden="false" customHeight="false" outlineLevel="0" collapsed="false">
      <c r="A647" s="0" t="n">
        <v>3</v>
      </c>
      <c r="B647" s="0" t="n">
        <v>12</v>
      </c>
      <c r="C647" s="0" t="n">
        <v>287</v>
      </c>
      <c r="D647" s="0" t="s">
        <v>4037</v>
      </c>
      <c r="E647" s="0" t="s">
        <v>3970</v>
      </c>
      <c r="F647" s="0" t="s">
        <v>4045</v>
      </c>
    </row>
    <row r="648" customFormat="false" ht="12.8" hidden="false" customHeight="false" outlineLevel="0" collapsed="false">
      <c r="A648" s="0" t="n">
        <v>3</v>
      </c>
      <c r="B648" s="0" t="n">
        <v>12</v>
      </c>
      <c r="C648" s="0" t="n">
        <v>288</v>
      </c>
      <c r="D648" s="0" t="s">
        <v>4037</v>
      </c>
      <c r="E648" s="0" t="s">
        <v>3970</v>
      </c>
      <c r="F648" s="0" t="s">
        <v>4042</v>
      </c>
    </row>
    <row r="649" customFormat="false" ht="12.8" hidden="false" customHeight="false" outlineLevel="0" collapsed="false">
      <c r="A649" s="0" t="n">
        <v>3</v>
      </c>
      <c r="B649" s="0" t="n">
        <v>12</v>
      </c>
      <c r="C649" s="0" t="n">
        <v>289</v>
      </c>
      <c r="D649" s="0" t="s">
        <v>4037</v>
      </c>
      <c r="E649" s="0" t="s">
        <v>3970</v>
      </c>
      <c r="F649" s="0" t="s">
        <v>4043</v>
      </c>
    </row>
    <row r="650" customFormat="false" ht="12.8" hidden="false" customHeight="false" outlineLevel="0" collapsed="false">
      <c r="A650" s="0" t="n">
        <v>3</v>
      </c>
      <c r="B650" s="0" t="n">
        <v>12</v>
      </c>
      <c r="C650" s="0" t="n">
        <v>290</v>
      </c>
      <c r="D650" s="0" t="s">
        <v>4037</v>
      </c>
      <c r="E650" s="0" t="s">
        <v>3970</v>
      </c>
      <c r="F650" s="0" t="s">
        <v>4044</v>
      </c>
    </row>
    <row r="651" customFormat="false" ht="12.8" hidden="false" customHeight="false" outlineLevel="0" collapsed="false">
      <c r="A651" s="0" t="n">
        <v>3</v>
      </c>
      <c r="B651" s="0" t="n">
        <v>12</v>
      </c>
      <c r="C651" s="0" t="n">
        <v>388</v>
      </c>
      <c r="D651" s="0" t="s">
        <v>4037</v>
      </c>
      <c r="E651" s="0" t="s">
        <v>3970</v>
      </c>
      <c r="F651" s="0" t="s">
        <v>3950</v>
      </c>
    </row>
    <row r="652" customFormat="false" ht="12.8" hidden="false" customHeight="false" outlineLevel="0" collapsed="false">
      <c r="A652" s="0" t="n">
        <v>3</v>
      </c>
      <c r="B652" s="0" t="n">
        <v>12</v>
      </c>
      <c r="C652" s="0" t="n">
        <v>389</v>
      </c>
      <c r="D652" s="0" t="s">
        <v>4037</v>
      </c>
      <c r="E652" s="0" t="s">
        <v>3970</v>
      </c>
      <c r="F652" s="0" t="s">
        <v>4036</v>
      </c>
    </row>
    <row r="653" customFormat="false" ht="12.8" hidden="false" customHeight="false" outlineLevel="0" collapsed="false">
      <c r="A653" s="0" t="n">
        <v>3</v>
      </c>
      <c r="B653" s="0" t="n">
        <v>12</v>
      </c>
      <c r="C653" s="0" t="n">
        <v>390</v>
      </c>
      <c r="D653" s="0" t="s">
        <v>4037</v>
      </c>
      <c r="E653" s="0" t="s">
        <v>3970</v>
      </c>
      <c r="F653" s="0" t="s">
        <v>4038</v>
      </c>
    </row>
    <row r="654" customFormat="false" ht="12.8" hidden="false" customHeight="false" outlineLevel="0" collapsed="false">
      <c r="A654" s="0" t="n">
        <v>3</v>
      </c>
      <c r="B654" s="0" t="n">
        <v>12</v>
      </c>
      <c r="C654" s="0" t="n">
        <v>391</v>
      </c>
      <c r="D654" s="0" t="s">
        <v>4037</v>
      </c>
      <c r="E654" s="0" t="s">
        <v>3970</v>
      </c>
      <c r="F654" s="0" t="s">
        <v>4039</v>
      </c>
    </row>
    <row r="655" customFormat="false" ht="12.8" hidden="false" customHeight="false" outlineLevel="0" collapsed="false">
      <c r="A655" s="0" t="n">
        <v>3</v>
      </c>
      <c r="B655" s="0" t="n">
        <v>12</v>
      </c>
      <c r="C655" s="0" t="n">
        <v>392</v>
      </c>
      <c r="D655" s="0" t="s">
        <v>4037</v>
      </c>
      <c r="E655" s="0" t="s">
        <v>3970</v>
      </c>
      <c r="F655" s="0" t="s">
        <v>4040</v>
      </c>
    </row>
    <row r="656" customFormat="false" ht="12.8" hidden="false" customHeight="false" outlineLevel="0" collapsed="false">
      <c r="A656" s="0" t="n">
        <v>3</v>
      </c>
      <c r="B656" s="0" t="n">
        <v>12</v>
      </c>
      <c r="C656" s="0" t="n">
        <v>393</v>
      </c>
      <c r="D656" s="0" t="s">
        <v>4037</v>
      </c>
      <c r="E656" s="0" t="s">
        <v>3970</v>
      </c>
      <c r="F656" s="0" t="s">
        <v>4042</v>
      </c>
    </row>
    <row r="657" customFormat="false" ht="12.8" hidden="false" customHeight="false" outlineLevel="0" collapsed="false">
      <c r="A657" s="0" t="n">
        <v>3</v>
      </c>
      <c r="B657" s="0" t="n">
        <v>12</v>
      </c>
      <c r="C657" s="0" t="n">
        <v>394</v>
      </c>
      <c r="D657" s="0" t="s">
        <v>4037</v>
      </c>
      <c r="E657" s="0" t="s">
        <v>3970</v>
      </c>
      <c r="F657" s="0" t="s">
        <v>4043</v>
      </c>
    </row>
    <row r="658" customFormat="false" ht="12.8" hidden="false" customHeight="false" outlineLevel="0" collapsed="false">
      <c r="A658" s="0" t="n">
        <v>3</v>
      </c>
      <c r="B658" s="0" t="n">
        <v>12</v>
      </c>
      <c r="C658" s="0" t="n">
        <v>495</v>
      </c>
      <c r="D658" s="0" t="s">
        <v>4037</v>
      </c>
      <c r="E658" s="0" t="s">
        <v>3970</v>
      </c>
      <c r="F658" s="0" t="s">
        <v>3950</v>
      </c>
    </row>
    <row r="659" customFormat="false" ht="12.8" hidden="false" customHeight="false" outlineLevel="0" collapsed="false">
      <c r="A659" s="0" t="n">
        <v>3</v>
      </c>
      <c r="B659" s="0" t="n">
        <v>12</v>
      </c>
      <c r="C659" s="0" t="n">
        <v>496</v>
      </c>
      <c r="D659" s="0" t="s">
        <v>4037</v>
      </c>
      <c r="E659" s="0" t="s">
        <v>3970</v>
      </c>
      <c r="F659" s="0" t="s">
        <v>4036</v>
      </c>
    </row>
    <row r="660" customFormat="false" ht="12.8" hidden="false" customHeight="false" outlineLevel="0" collapsed="false">
      <c r="A660" s="0" t="n">
        <v>3</v>
      </c>
      <c r="B660" s="0" t="n">
        <v>12</v>
      </c>
      <c r="C660" s="0" t="n">
        <v>497</v>
      </c>
      <c r="D660" s="0" t="s">
        <v>4037</v>
      </c>
      <c r="E660" s="0" t="s">
        <v>3970</v>
      </c>
      <c r="F660" s="0" t="s">
        <v>4038</v>
      </c>
    </row>
    <row r="661" customFormat="false" ht="12.8" hidden="false" customHeight="false" outlineLevel="0" collapsed="false">
      <c r="A661" s="0" t="n">
        <v>3</v>
      </c>
      <c r="B661" s="0" t="n">
        <v>12</v>
      </c>
      <c r="C661" s="0" t="n">
        <v>498</v>
      </c>
      <c r="D661" s="0" t="s">
        <v>4037</v>
      </c>
      <c r="E661" s="0" t="s">
        <v>3970</v>
      </c>
      <c r="F661" s="0" t="s">
        <v>4039</v>
      </c>
    </row>
    <row r="662" customFormat="false" ht="12.8" hidden="false" customHeight="false" outlineLevel="0" collapsed="false">
      <c r="A662" s="0" t="n">
        <v>3</v>
      </c>
      <c r="B662" s="0" t="n">
        <v>12</v>
      </c>
      <c r="C662" s="0" t="n">
        <v>499</v>
      </c>
      <c r="D662" s="0" t="s">
        <v>4037</v>
      </c>
      <c r="E662" s="0" t="s">
        <v>3970</v>
      </c>
      <c r="F662" s="0" t="s">
        <v>4040</v>
      </c>
    </row>
    <row r="663" customFormat="false" ht="12.8" hidden="false" customHeight="false" outlineLevel="0" collapsed="false">
      <c r="A663" s="0" t="n">
        <v>3</v>
      </c>
      <c r="B663" s="0" t="n">
        <v>12</v>
      </c>
      <c r="C663" s="0" t="n">
        <v>500</v>
      </c>
      <c r="D663" s="0" t="s">
        <v>4037</v>
      </c>
      <c r="E663" s="0" t="s">
        <v>3970</v>
      </c>
      <c r="F663" s="0" t="s">
        <v>4042</v>
      </c>
    </row>
    <row r="664" customFormat="false" ht="12.8" hidden="false" customHeight="false" outlineLevel="0" collapsed="false">
      <c r="A664" s="0" t="n">
        <v>3</v>
      </c>
      <c r="B664" s="0" t="n">
        <v>12</v>
      </c>
      <c r="C664" s="0" t="n">
        <v>501</v>
      </c>
      <c r="D664" s="0" t="s">
        <v>4037</v>
      </c>
      <c r="E664" s="0" t="s">
        <v>3970</v>
      </c>
      <c r="F664" s="0" t="s">
        <v>4043</v>
      </c>
    </row>
    <row r="665" customFormat="false" ht="12.8" hidden="false" customHeight="false" outlineLevel="0" collapsed="false">
      <c r="A665" s="0" t="n">
        <v>3</v>
      </c>
      <c r="B665" s="0" t="n">
        <v>12</v>
      </c>
      <c r="C665" s="0" t="n">
        <v>602</v>
      </c>
      <c r="D665" s="0" t="s">
        <v>4037</v>
      </c>
      <c r="E665" s="0" t="s">
        <v>3970</v>
      </c>
      <c r="F665" s="0" t="s">
        <v>3950</v>
      </c>
    </row>
    <row r="666" customFormat="false" ht="12.8" hidden="false" customHeight="false" outlineLevel="0" collapsed="false">
      <c r="A666" s="0" t="n">
        <v>3</v>
      </c>
      <c r="B666" s="0" t="n">
        <v>12</v>
      </c>
      <c r="C666" s="0" t="n">
        <v>603</v>
      </c>
      <c r="D666" s="0" t="s">
        <v>4037</v>
      </c>
      <c r="E666" s="0" t="s">
        <v>3970</v>
      </c>
      <c r="F666" s="0" t="s">
        <v>4036</v>
      </c>
    </row>
    <row r="667" customFormat="false" ht="12.8" hidden="false" customHeight="false" outlineLevel="0" collapsed="false">
      <c r="A667" s="0" t="n">
        <v>3</v>
      </c>
      <c r="B667" s="0" t="n">
        <v>12</v>
      </c>
      <c r="C667" s="0" t="n">
        <v>604</v>
      </c>
      <c r="D667" s="0" t="s">
        <v>4037</v>
      </c>
      <c r="E667" s="0" t="s">
        <v>3970</v>
      </c>
      <c r="F667" s="0" t="s">
        <v>4038</v>
      </c>
    </row>
    <row r="668" customFormat="false" ht="12.8" hidden="false" customHeight="false" outlineLevel="0" collapsed="false">
      <c r="A668" s="0" t="n">
        <v>3</v>
      </c>
      <c r="B668" s="0" t="n">
        <v>12</v>
      </c>
      <c r="C668" s="0" t="n">
        <v>605</v>
      </c>
      <c r="D668" s="0" t="s">
        <v>4037</v>
      </c>
      <c r="E668" s="0" t="s">
        <v>3970</v>
      </c>
      <c r="F668" s="0" t="s">
        <v>4039</v>
      </c>
    </row>
    <row r="669" customFormat="false" ht="12.8" hidden="false" customHeight="false" outlineLevel="0" collapsed="false">
      <c r="A669" s="0" t="n">
        <v>3</v>
      </c>
      <c r="B669" s="0" t="n">
        <v>12</v>
      </c>
      <c r="C669" s="0" t="n">
        <v>606</v>
      </c>
      <c r="D669" s="0" t="s">
        <v>4037</v>
      </c>
      <c r="E669" s="0" t="s">
        <v>3970</v>
      </c>
      <c r="F669" s="0" t="s">
        <v>4040</v>
      </c>
    </row>
    <row r="670" customFormat="false" ht="12.8" hidden="false" customHeight="false" outlineLevel="0" collapsed="false">
      <c r="A670" s="0" t="n">
        <v>3</v>
      </c>
      <c r="B670" s="0" t="n">
        <v>12</v>
      </c>
      <c r="C670" s="0" t="n">
        <v>607</v>
      </c>
      <c r="D670" s="0" t="s">
        <v>4037</v>
      </c>
      <c r="E670" s="0" t="s">
        <v>3970</v>
      </c>
      <c r="F670" s="0" t="s">
        <v>4042</v>
      </c>
    </row>
    <row r="671" customFormat="false" ht="12.8" hidden="false" customHeight="false" outlineLevel="0" collapsed="false">
      <c r="A671" s="0" t="n">
        <v>3</v>
      </c>
      <c r="B671" s="0" t="n">
        <v>12</v>
      </c>
      <c r="C671" s="0" t="n">
        <v>608</v>
      </c>
      <c r="D671" s="0" t="s">
        <v>4037</v>
      </c>
      <c r="E671" s="0" t="s">
        <v>3970</v>
      </c>
      <c r="F671" s="0" t="s">
        <v>4043</v>
      </c>
    </row>
    <row r="672" customFormat="false" ht="12.8" hidden="false" customHeight="false" outlineLevel="0" collapsed="false">
      <c r="A672" s="0" t="n">
        <v>3</v>
      </c>
      <c r="B672" s="0" t="n">
        <v>12</v>
      </c>
      <c r="C672" s="0" t="n">
        <v>718</v>
      </c>
      <c r="D672" s="0" t="s">
        <v>4037</v>
      </c>
      <c r="E672" s="0" t="s">
        <v>3970</v>
      </c>
      <c r="F672" s="0" t="s">
        <v>3950</v>
      </c>
    </row>
    <row r="673" customFormat="false" ht="12.8" hidden="false" customHeight="false" outlineLevel="0" collapsed="false">
      <c r="A673" s="0" t="n">
        <v>3</v>
      </c>
      <c r="B673" s="0" t="n">
        <v>12</v>
      </c>
      <c r="C673" s="0" t="n">
        <v>719</v>
      </c>
      <c r="D673" s="0" t="s">
        <v>4037</v>
      </c>
      <c r="E673" s="0" t="s">
        <v>3970</v>
      </c>
      <c r="F673" s="0" t="s">
        <v>4036</v>
      </c>
    </row>
    <row r="674" customFormat="false" ht="12.8" hidden="false" customHeight="false" outlineLevel="0" collapsed="false">
      <c r="A674" s="0" t="n">
        <v>3</v>
      </c>
      <c r="B674" s="0" t="n">
        <v>12</v>
      </c>
      <c r="C674" s="0" t="n">
        <v>720</v>
      </c>
      <c r="D674" s="0" t="s">
        <v>4037</v>
      </c>
      <c r="E674" s="0" t="s">
        <v>3970</v>
      </c>
      <c r="F674" s="0" t="s">
        <v>4038</v>
      </c>
    </row>
    <row r="675" customFormat="false" ht="12.8" hidden="false" customHeight="false" outlineLevel="0" collapsed="false">
      <c r="A675" s="0" t="n">
        <v>3</v>
      </c>
      <c r="B675" s="0" t="n">
        <v>12</v>
      </c>
      <c r="C675" s="0" t="n">
        <v>721</v>
      </c>
      <c r="D675" s="0" t="s">
        <v>4037</v>
      </c>
      <c r="E675" s="0" t="s">
        <v>3970</v>
      </c>
      <c r="F675" s="0" t="s">
        <v>4039</v>
      </c>
    </row>
    <row r="676" customFormat="false" ht="12.8" hidden="false" customHeight="false" outlineLevel="0" collapsed="false">
      <c r="A676" s="0" t="n">
        <v>3</v>
      </c>
      <c r="B676" s="0" t="n">
        <v>12</v>
      </c>
      <c r="C676" s="0" t="n">
        <v>722</v>
      </c>
      <c r="D676" s="0" t="s">
        <v>4037</v>
      </c>
      <c r="E676" s="0" t="s">
        <v>3970</v>
      </c>
      <c r="F676" s="0" t="s">
        <v>4040</v>
      </c>
    </row>
    <row r="677" customFormat="false" ht="12.8" hidden="false" customHeight="false" outlineLevel="0" collapsed="false">
      <c r="A677" s="0" t="n">
        <v>3</v>
      </c>
      <c r="B677" s="0" t="n">
        <v>12</v>
      </c>
      <c r="C677" s="0" t="n">
        <v>723</v>
      </c>
      <c r="D677" s="0" t="s">
        <v>4037</v>
      </c>
      <c r="E677" s="0" t="s">
        <v>3970</v>
      </c>
      <c r="F677" s="0" t="s">
        <v>4046</v>
      </c>
    </row>
    <row r="678" customFormat="false" ht="12.8" hidden="false" customHeight="false" outlineLevel="0" collapsed="false">
      <c r="A678" s="0" t="n">
        <v>3</v>
      </c>
      <c r="B678" s="0" t="n">
        <v>12</v>
      </c>
      <c r="C678" s="0" t="n">
        <v>724</v>
      </c>
      <c r="D678" s="0" t="s">
        <v>4037</v>
      </c>
      <c r="E678" s="0" t="s">
        <v>3970</v>
      </c>
      <c r="F678" s="0" t="s">
        <v>4042</v>
      </c>
    </row>
    <row r="679" customFormat="false" ht="12.8" hidden="false" customHeight="false" outlineLevel="0" collapsed="false">
      <c r="A679" s="0" t="n">
        <v>3</v>
      </c>
      <c r="B679" s="0" t="n">
        <v>12</v>
      </c>
      <c r="C679" s="0" t="n">
        <v>725</v>
      </c>
      <c r="D679" s="0" t="s">
        <v>4037</v>
      </c>
      <c r="E679" s="0" t="s">
        <v>3970</v>
      </c>
      <c r="F679" s="0" t="s">
        <v>4043</v>
      </c>
    </row>
    <row r="680" customFormat="false" ht="12.8" hidden="false" customHeight="false" outlineLevel="0" collapsed="false">
      <c r="A680" s="0" t="n">
        <v>3</v>
      </c>
      <c r="B680" s="0" t="n">
        <v>12</v>
      </c>
      <c r="C680" s="0" t="n">
        <v>726</v>
      </c>
      <c r="D680" s="0" t="s">
        <v>4037</v>
      </c>
      <c r="E680" s="0" t="s">
        <v>3970</v>
      </c>
      <c r="F680" s="0" t="s">
        <v>4044</v>
      </c>
    </row>
    <row r="681" customFormat="false" ht="12.8" hidden="false" customHeight="false" outlineLevel="0" collapsed="false">
      <c r="A681" s="0" t="n">
        <v>3</v>
      </c>
      <c r="B681" s="0" t="n">
        <v>12</v>
      </c>
      <c r="C681" s="0" t="n">
        <v>832</v>
      </c>
      <c r="D681" s="0" t="s">
        <v>4037</v>
      </c>
      <c r="E681" s="0" t="s">
        <v>3970</v>
      </c>
      <c r="F681" s="0" t="s">
        <v>3950</v>
      </c>
    </row>
    <row r="682" customFormat="false" ht="12.8" hidden="false" customHeight="false" outlineLevel="0" collapsed="false">
      <c r="A682" s="0" t="n">
        <v>3</v>
      </c>
      <c r="B682" s="0" t="n">
        <v>12</v>
      </c>
      <c r="C682" s="0" t="n">
        <v>833</v>
      </c>
      <c r="D682" s="0" t="s">
        <v>4037</v>
      </c>
      <c r="E682" s="0" t="s">
        <v>3970</v>
      </c>
      <c r="F682" s="0" t="s">
        <v>4036</v>
      </c>
    </row>
    <row r="683" customFormat="false" ht="12.8" hidden="false" customHeight="false" outlineLevel="0" collapsed="false">
      <c r="A683" s="0" t="n">
        <v>3</v>
      </c>
      <c r="B683" s="0" t="n">
        <v>12</v>
      </c>
      <c r="C683" s="0" t="n">
        <v>834</v>
      </c>
      <c r="D683" s="0" t="s">
        <v>4037</v>
      </c>
      <c r="E683" s="0" t="s">
        <v>3970</v>
      </c>
      <c r="F683" s="0" t="s">
        <v>4038</v>
      </c>
    </row>
    <row r="684" customFormat="false" ht="12.8" hidden="false" customHeight="false" outlineLevel="0" collapsed="false">
      <c r="A684" s="0" t="n">
        <v>3</v>
      </c>
      <c r="B684" s="0" t="n">
        <v>12</v>
      </c>
      <c r="C684" s="0" t="n">
        <v>835</v>
      </c>
      <c r="D684" s="0" t="s">
        <v>4037</v>
      </c>
      <c r="E684" s="0" t="s">
        <v>3970</v>
      </c>
      <c r="F684" s="0" t="s">
        <v>4039</v>
      </c>
    </row>
    <row r="685" customFormat="false" ht="12.8" hidden="false" customHeight="false" outlineLevel="0" collapsed="false">
      <c r="A685" s="0" t="n">
        <v>3</v>
      </c>
      <c r="B685" s="0" t="n">
        <v>12</v>
      </c>
      <c r="C685" s="0" t="n">
        <v>836</v>
      </c>
      <c r="D685" s="0" t="s">
        <v>4037</v>
      </c>
      <c r="E685" s="0" t="s">
        <v>3970</v>
      </c>
      <c r="F685" s="0" t="s">
        <v>4040</v>
      </c>
    </row>
    <row r="686" customFormat="false" ht="12.8" hidden="false" customHeight="false" outlineLevel="0" collapsed="false">
      <c r="A686" s="0" t="n">
        <v>3</v>
      </c>
      <c r="B686" s="0" t="n">
        <v>12</v>
      </c>
      <c r="C686" s="0" t="n">
        <v>837</v>
      </c>
      <c r="D686" s="0" t="s">
        <v>4037</v>
      </c>
      <c r="E686" s="0" t="s">
        <v>3970</v>
      </c>
      <c r="F686" s="0" t="s">
        <v>4046</v>
      </c>
    </row>
    <row r="687" customFormat="false" ht="12.8" hidden="false" customHeight="false" outlineLevel="0" collapsed="false">
      <c r="A687" s="0" t="n">
        <v>3</v>
      </c>
      <c r="B687" s="0" t="n">
        <v>12</v>
      </c>
      <c r="C687" s="0" t="n">
        <v>838</v>
      </c>
      <c r="D687" s="0" t="s">
        <v>4037</v>
      </c>
      <c r="E687" s="0" t="s">
        <v>3970</v>
      </c>
      <c r="F687" s="0" t="s">
        <v>4047</v>
      </c>
    </row>
    <row r="688" customFormat="false" ht="12.8" hidden="false" customHeight="false" outlineLevel="0" collapsed="false">
      <c r="A688" s="0" t="n">
        <v>3</v>
      </c>
      <c r="B688" s="0" t="n">
        <v>12</v>
      </c>
      <c r="C688" s="0" t="n">
        <v>839</v>
      </c>
      <c r="D688" s="0" t="s">
        <v>4037</v>
      </c>
      <c r="E688" s="0" t="s">
        <v>3970</v>
      </c>
      <c r="F688" s="0" t="s">
        <v>4042</v>
      </c>
    </row>
    <row r="689" customFormat="false" ht="12.8" hidden="false" customHeight="false" outlineLevel="0" collapsed="false">
      <c r="A689" s="0" t="n">
        <v>3</v>
      </c>
      <c r="B689" s="0" t="n">
        <v>12</v>
      </c>
      <c r="C689" s="0" t="n">
        <v>840</v>
      </c>
      <c r="D689" s="0" t="s">
        <v>4037</v>
      </c>
      <c r="E689" s="0" t="s">
        <v>3970</v>
      </c>
      <c r="F689" s="0" t="s">
        <v>4043</v>
      </c>
    </row>
    <row r="690" customFormat="false" ht="12.8" hidden="false" customHeight="false" outlineLevel="0" collapsed="false">
      <c r="A690" s="0" t="n">
        <v>3</v>
      </c>
      <c r="B690" s="0" t="n">
        <v>12</v>
      </c>
      <c r="C690" s="0" t="n">
        <v>841</v>
      </c>
      <c r="D690" s="0" t="s">
        <v>4037</v>
      </c>
      <c r="E690" s="0" t="s">
        <v>3970</v>
      </c>
      <c r="F690" s="0" t="s">
        <v>4044</v>
      </c>
    </row>
    <row r="691" customFormat="false" ht="12.8" hidden="false" customHeight="false" outlineLevel="0" collapsed="false">
      <c r="A691" s="0" t="n">
        <v>3</v>
      </c>
      <c r="B691" s="0" t="n">
        <v>12</v>
      </c>
      <c r="C691" s="0" t="n">
        <v>998</v>
      </c>
      <c r="D691" s="0" t="s">
        <v>4037</v>
      </c>
      <c r="E691" s="0" t="s">
        <v>3970</v>
      </c>
      <c r="F691" s="0" t="s">
        <v>4045</v>
      </c>
    </row>
    <row r="692" customFormat="false" ht="12.8" hidden="false" customHeight="false" outlineLevel="0" collapsed="false">
      <c r="A692" s="0" t="n">
        <v>3</v>
      </c>
      <c r="B692" s="0" t="n">
        <v>12</v>
      </c>
      <c r="C692" s="0" t="n">
        <v>999</v>
      </c>
      <c r="D692" s="0" t="s">
        <v>4037</v>
      </c>
      <c r="E692" s="0" t="s">
        <v>3970</v>
      </c>
      <c r="F692" s="0" t="s">
        <v>4048</v>
      </c>
    </row>
    <row r="693" customFormat="false" ht="12.8" hidden="false" customHeight="false" outlineLevel="0" collapsed="false">
      <c r="A693" s="0" t="n">
        <v>3</v>
      </c>
      <c r="B693" s="0" t="n">
        <v>12</v>
      </c>
      <c r="C693" s="0" t="n">
        <v>1010</v>
      </c>
      <c r="D693" s="0" t="s">
        <v>4037</v>
      </c>
      <c r="E693" s="0" t="s">
        <v>3970</v>
      </c>
      <c r="F693" s="0" t="s">
        <v>4046</v>
      </c>
    </row>
    <row r="694" customFormat="false" ht="12.8" hidden="false" customHeight="false" outlineLevel="0" collapsed="false">
      <c r="A694" s="0" t="n">
        <v>3</v>
      </c>
      <c r="B694" s="0" t="n">
        <v>12</v>
      </c>
      <c r="C694" s="0" t="n">
        <v>1011</v>
      </c>
      <c r="D694" s="0" t="s">
        <v>4037</v>
      </c>
      <c r="E694" s="0" t="s">
        <v>3970</v>
      </c>
      <c r="F694" s="0" t="s">
        <v>4041</v>
      </c>
    </row>
    <row r="695" customFormat="false" ht="12.8" hidden="false" customHeight="false" outlineLevel="0" collapsed="false">
      <c r="A695" s="0" t="n">
        <v>3</v>
      </c>
      <c r="B695" s="0" t="n">
        <v>12</v>
      </c>
      <c r="C695" s="0" t="n">
        <v>1012</v>
      </c>
      <c r="D695" s="0" t="s">
        <v>4037</v>
      </c>
      <c r="E695" s="0" t="s">
        <v>3970</v>
      </c>
      <c r="F695" s="0" t="s">
        <v>4049</v>
      </c>
    </row>
    <row r="696" customFormat="false" ht="12.8" hidden="false" customHeight="false" outlineLevel="0" collapsed="false">
      <c r="A696" s="0" t="n">
        <v>3</v>
      </c>
      <c r="B696" s="0" t="n">
        <v>12</v>
      </c>
      <c r="C696" s="0" t="n">
        <v>1013</v>
      </c>
      <c r="D696" s="0" t="s">
        <v>4037</v>
      </c>
      <c r="E696" s="0" t="s">
        <v>3970</v>
      </c>
      <c r="F696" s="0" t="s">
        <v>4050</v>
      </c>
    </row>
    <row r="697" customFormat="false" ht="12.8" hidden="false" customHeight="false" outlineLevel="0" collapsed="false">
      <c r="A697" s="0" t="n">
        <v>3</v>
      </c>
      <c r="B697" s="0" t="n">
        <v>12</v>
      </c>
      <c r="C697" s="0" t="n">
        <v>1014</v>
      </c>
      <c r="D697" s="0" t="s">
        <v>4037</v>
      </c>
      <c r="E697" s="0" t="s">
        <v>3970</v>
      </c>
      <c r="F697" s="0" t="s">
        <v>4051</v>
      </c>
    </row>
    <row r="698" customFormat="false" ht="12.8" hidden="false" customHeight="false" outlineLevel="0" collapsed="false">
      <c r="A698" s="0" t="n">
        <v>3</v>
      </c>
      <c r="B698" s="0" t="n">
        <v>12</v>
      </c>
      <c r="C698" s="0" t="n">
        <v>1015</v>
      </c>
      <c r="D698" s="0" t="s">
        <v>4037</v>
      </c>
      <c r="E698" s="0" t="s">
        <v>3970</v>
      </c>
      <c r="F698" s="0" t="s">
        <v>4052</v>
      </c>
    </row>
    <row r="699" customFormat="false" ht="12.8" hidden="false" customHeight="false" outlineLevel="0" collapsed="false">
      <c r="A699" s="0" t="n">
        <v>3</v>
      </c>
      <c r="B699" s="0" t="n">
        <v>12</v>
      </c>
      <c r="C699" s="0" t="n">
        <v>1016</v>
      </c>
      <c r="D699" s="0" t="s">
        <v>4037</v>
      </c>
      <c r="E699" s="0" t="s">
        <v>3970</v>
      </c>
      <c r="F699" s="0" t="s">
        <v>4052</v>
      </c>
    </row>
    <row r="700" customFormat="false" ht="12.8" hidden="false" customHeight="false" outlineLevel="0" collapsed="false">
      <c r="A700" s="0" t="n">
        <v>3</v>
      </c>
      <c r="B700" s="0" t="n">
        <v>12</v>
      </c>
      <c r="C700" s="0" t="n">
        <v>1017</v>
      </c>
      <c r="D700" s="0" t="s">
        <v>4037</v>
      </c>
      <c r="E700" s="0" t="s">
        <v>3970</v>
      </c>
      <c r="F700" s="0" t="s">
        <v>4052</v>
      </c>
    </row>
    <row r="701" customFormat="false" ht="12.8" hidden="false" customHeight="false" outlineLevel="0" collapsed="false">
      <c r="A701" s="0" t="n">
        <v>3</v>
      </c>
      <c r="B701" s="0" t="n">
        <v>12</v>
      </c>
      <c r="C701" s="0" t="n">
        <v>1018</v>
      </c>
      <c r="D701" s="0" t="s">
        <v>4037</v>
      </c>
      <c r="E701" s="0" t="s">
        <v>3970</v>
      </c>
      <c r="F701" s="0" t="s">
        <v>4052</v>
      </c>
    </row>
    <row r="702" customFormat="false" ht="12.8" hidden="false" customHeight="false" outlineLevel="0" collapsed="false">
      <c r="A702" s="0" t="n">
        <v>3</v>
      </c>
      <c r="B702" s="0" t="n">
        <v>12</v>
      </c>
      <c r="C702" s="0" t="n">
        <v>1019</v>
      </c>
      <c r="D702" s="0" t="s">
        <v>4037</v>
      </c>
      <c r="E702" s="0" t="s">
        <v>3970</v>
      </c>
      <c r="F702" s="0" t="s">
        <v>4052</v>
      </c>
    </row>
    <row r="703" customFormat="false" ht="12.8" hidden="false" customHeight="false" outlineLevel="0" collapsed="false">
      <c r="A703" s="0" t="n">
        <v>3</v>
      </c>
      <c r="B703" s="0" t="n">
        <v>12</v>
      </c>
      <c r="C703" s="0" t="n">
        <v>1020</v>
      </c>
      <c r="D703" s="0" t="s">
        <v>4037</v>
      </c>
      <c r="E703" s="0" t="s">
        <v>3970</v>
      </c>
      <c r="F703" s="0" t="s">
        <v>4052</v>
      </c>
    </row>
    <row r="704" customFormat="false" ht="12.8" hidden="false" customHeight="false" outlineLevel="0" collapsed="false">
      <c r="A704" s="0" t="n">
        <v>3</v>
      </c>
      <c r="B704" s="0" t="n">
        <v>12</v>
      </c>
      <c r="C704" s="0" t="n">
        <v>1021</v>
      </c>
      <c r="D704" s="0" t="s">
        <v>4037</v>
      </c>
      <c r="E704" s="0" t="s">
        <v>3970</v>
      </c>
      <c r="F704" s="0" t="s">
        <v>4052</v>
      </c>
    </row>
    <row r="705" customFormat="false" ht="12.8" hidden="false" customHeight="false" outlineLevel="0" collapsed="false">
      <c r="A705" s="0" t="n">
        <v>3</v>
      </c>
      <c r="B705" s="0" t="n">
        <v>12</v>
      </c>
      <c r="C705" s="0" t="n">
        <v>1022</v>
      </c>
      <c r="D705" s="0" t="s">
        <v>4037</v>
      </c>
      <c r="E705" s="0" t="s">
        <v>3970</v>
      </c>
      <c r="F705" s="0" t="s">
        <v>4052</v>
      </c>
    </row>
    <row r="706" customFormat="false" ht="12.8" hidden="false" customHeight="false" outlineLevel="0" collapsed="false">
      <c r="A706" s="0" t="n">
        <v>3</v>
      </c>
      <c r="B706" s="0" t="n">
        <v>12</v>
      </c>
      <c r="C706" s="0" t="n">
        <v>1023</v>
      </c>
      <c r="D706" s="0" t="s">
        <v>4037</v>
      </c>
      <c r="E706" s="0" t="s">
        <v>3970</v>
      </c>
      <c r="F706" s="0" t="s">
        <v>4052</v>
      </c>
    </row>
    <row r="707" customFormat="false" ht="12.8" hidden="false" customHeight="false" outlineLevel="0" collapsed="false">
      <c r="A707" s="0" t="n">
        <v>3</v>
      </c>
      <c r="B707" s="0" t="n">
        <v>12</v>
      </c>
      <c r="C707" s="0" t="n">
        <v>1034</v>
      </c>
      <c r="D707" s="0" t="s">
        <v>4037</v>
      </c>
      <c r="E707" s="0" t="s">
        <v>3970</v>
      </c>
      <c r="F707" s="0" t="s">
        <v>4053</v>
      </c>
    </row>
    <row r="708" customFormat="false" ht="12.8" hidden="false" customHeight="false" outlineLevel="0" collapsed="false">
      <c r="A708" s="0" t="n">
        <v>3</v>
      </c>
      <c r="B708" s="0" t="n">
        <v>12</v>
      </c>
      <c r="C708" s="0" t="n">
        <v>1035</v>
      </c>
      <c r="D708" s="0" t="s">
        <v>4037</v>
      </c>
      <c r="E708" s="0" t="s">
        <v>3970</v>
      </c>
      <c r="F708" s="0" t="s">
        <v>4053</v>
      </c>
    </row>
    <row r="709" customFormat="false" ht="12.8" hidden="false" customHeight="false" outlineLevel="0" collapsed="false">
      <c r="A709" s="0" t="n">
        <v>3</v>
      </c>
      <c r="B709" s="0" t="n">
        <v>12</v>
      </c>
      <c r="C709" s="0" t="n">
        <v>1036</v>
      </c>
      <c r="D709" s="0" t="s">
        <v>4037</v>
      </c>
      <c r="E709" s="0" t="s">
        <v>3970</v>
      </c>
      <c r="F709" s="0" t="s">
        <v>4053</v>
      </c>
    </row>
    <row r="710" customFormat="false" ht="12.8" hidden="false" customHeight="false" outlineLevel="0" collapsed="false">
      <c r="A710" s="0" t="n">
        <v>3</v>
      </c>
      <c r="B710" s="0" t="n">
        <v>12</v>
      </c>
      <c r="C710" s="0" t="n">
        <v>1041</v>
      </c>
      <c r="D710" s="0" t="s">
        <v>4037</v>
      </c>
      <c r="E710" s="0" t="s">
        <v>3970</v>
      </c>
      <c r="F710" s="0" t="s">
        <v>4054</v>
      </c>
    </row>
    <row r="711" customFormat="false" ht="12.8" hidden="false" customHeight="false" outlineLevel="0" collapsed="false">
      <c r="A711" s="0" t="n">
        <v>3</v>
      </c>
      <c r="B711" s="0" t="n">
        <v>12</v>
      </c>
      <c r="C711" s="0" t="n">
        <v>1054</v>
      </c>
      <c r="D711" s="0" t="s">
        <v>4037</v>
      </c>
      <c r="E711" s="0" t="s">
        <v>3970</v>
      </c>
      <c r="F711" s="0" t="s">
        <v>4055</v>
      </c>
    </row>
    <row r="712" customFormat="false" ht="12.8" hidden="false" customHeight="false" outlineLevel="0" collapsed="false">
      <c r="A712" s="0" t="n">
        <v>3</v>
      </c>
      <c r="B712" s="0" t="n">
        <v>12</v>
      </c>
      <c r="C712" s="0" t="n">
        <v>1055</v>
      </c>
      <c r="D712" s="0" t="s">
        <v>4037</v>
      </c>
      <c r="E712" s="0" t="s">
        <v>3970</v>
      </c>
      <c r="F712" s="0" t="s">
        <v>4055</v>
      </c>
    </row>
    <row r="713" customFormat="false" ht="12.8" hidden="false" customHeight="false" outlineLevel="0" collapsed="false">
      <c r="A713" s="0" t="n">
        <v>3</v>
      </c>
      <c r="B713" s="0" t="n">
        <v>12</v>
      </c>
      <c r="C713" s="0" t="n">
        <v>1056</v>
      </c>
      <c r="D713" s="0" t="s">
        <v>4037</v>
      </c>
      <c r="E713" s="0" t="s">
        <v>3970</v>
      </c>
      <c r="F713" s="0" t="s">
        <v>4055</v>
      </c>
    </row>
    <row r="714" customFormat="false" ht="12.8" hidden="false" customHeight="false" outlineLevel="0" collapsed="false">
      <c r="A714" s="0" t="n">
        <v>3</v>
      </c>
      <c r="B714" s="0" t="n">
        <v>12</v>
      </c>
      <c r="C714" s="0" t="n">
        <v>1057</v>
      </c>
      <c r="D714" s="0" t="s">
        <v>4037</v>
      </c>
      <c r="E714" s="0" t="s">
        <v>3970</v>
      </c>
      <c r="F714" s="0" t="s">
        <v>4055</v>
      </c>
    </row>
    <row r="715" customFormat="false" ht="12.8" hidden="false" customHeight="false" outlineLevel="0" collapsed="false">
      <c r="A715" s="0" t="n">
        <v>3</v>
      </c>
      <c r="B715" s="0" t="n">
        <v>12</v>
      </c>
      <c r="C715" s="0" t="n">
        <v>1090</v>
      </c>
      <c r="D715" s="0" t="s">
        <v>4037</v>
      </c>
      <c r="E715" s="0" t="s">
        <v>3970</v>
      </c>
      <c r="F715" s="0" t="s">
        <v>4056</v>
      </c>
    </row>
    <row r="716" customFormat="false" ht="12.8" hidden="false" customHeight="false" outlineLevel="0" collapsed="false">
      <c r="A716" s="0" t="n">
        <v>3</v>
      </c>
      <c r="B716" s="0" t="n">
        <v>12</v>
      </c>
      <c r="C716" s="0" t="n">
        <v>1091</v>
      </c>
      <c r="D716" s="0" t="s">
        <v>4037</v>
      </c>
      <c r="E716" s="0" t="s">
        <v>3970</v>
      </c>
      <c r="F716" s="0" t="s">
        <v>4056</v>
      </c>
    </row>
    <row r="717" customFormat="false" ht="12.8" hidden="false" customHeight="false" outlineLevel="0" collapsed="false">
      <c r="A717" s="0" t="n">
        <v>3</v>
      </c>
      <c r="B717" s="0" t="n">
        <v>12</v>
      </c>
      <c r="C717" s="0" t="n">
        <v>1092</v>
      </c>
      <c r="D717" s="0" t="s">
        <v>4037</v>
      </c>
      <c r="E717" s="0" t="s">
        <v>3970</v>
      </c>
      <c r="F717" s="0" t="s">
        <v>4056</v>
      </c>
    </row>
    <row r="718" customFormat="false" ht="12.8" hidden="false" customHeight="false" outlineLevel="0" collapsed="false">
      <c r="A718" s="0" t="n">
        <v>3</v>
      </c>
      <c r="B718" s="0" t="n">
        <v>12</v>
      </c>
      <c r="C718" s="0" t="n">
        <v>1093</v>
      </c>
      <c r="D718" s="0" t="s">
        <v>4037</v>
      </c>
      <c r="E718" s="0" t="s">
        <v>3970</v>
      </c>
      <c r="F718" s="0" t="s">
        <v>4056</v>
      </c>
    </row>
    <row r="719" customFormat="false" ht="12.8" hidden="false" customHeight="false" outlineLevel="0" collapsed="false">
      <c r="A719" s="0" t="n">
        <v>3</v>
      </c>
      <c r="B719" s="0" t="n">
        <v>12</v>
      </c>
      <c r="C719" s="0" t="n">
        <v>1094</v>
      </c>
      <c r="D719" s="0" t="s">
        <v>4037</v>
      </c>
      <c r="E719" s="0" t="s">
        <v>3970</v>
      </c>
      <c r="F719" s="0" t="s">
        <v>4056</v>
      </c>
    </row>
    <row r="720" customFormat="false" ht="12.8" hidden="false" customHeight="false" outlineLevel="0" collapsed="false">
      <c r="A720" s="0" t="n">
        <v>3</v>
      </c>
      <c r="B720" s="0" t="n">
        <v>12</v>
      </c>
      <c r="C720" s="0" t="n">
        <v>1095</v>
      </c>
      <c r="D720" s="0" t="s">
        <v>4037</v>
      </c>
      <c r="E720" s="0" t="s">
        <v>3970</v>
      </c>
      <c r="F720" s="0" t="s">
        <v>4056</v>
      </c>
    </row>
    <row r="721" customFormat="false" ht="12.8" hidden="false" customHeight="false" outlineLevel="0" collapsed="false">
      <c r="A721" s="0" t="n">
        <v>3</v>
      </c>
      <c r="B721" s="0" t="n">
        <v>12</v>
      </c>
      <c r="C721" s="0" t="n">
        <v>1096</v>
      </c>
      <c r="D721" s="0" t="s">
        <v>4037</v>
      </c>
      <c r="E721" s="0" t="s">
        <v>3970</v>
      </c>
      <c r="F721" s="0" t="s">
        <v>4056</v>
      </c>
    </row>
    <row r="722" customFormat="false" ht="12.8" hidden="false" customHeight="false" outlineLevel="0" collapsed="false">
      <c r="A722" s="0" t="n">
        <v>3</v>
      </c>
      <c r="B722" s="0" t="n">
        <v>12</v>
      </c>
      <c r="C722" s="0" t="n">
        <v>1110</v>
      </c>
      <c r="D722" s="0" t="s">
        <v>4037</v>
      </c>
      <c r="E722" s="0" t="s">
        <v>3970</v>
      </c>
      <c r="F722" s="0" t="s">
        <v>4057</v>
      </c>
    </row>
    <row r="723" customFormat="false" ht="12.8" hidden="false" customHeight="false" outlineLevel="0" collapsed="false">
      <c r="A723" s="0" t="n">
        <v>3</v>
      </c>
      <c r="B723" s="0" t="n">
        <v>12</v>
      </c>
      <c r="C723" s="0" t="n">
        <v>1111</v>
      </c>
      <c r="D723" s="0" t="s">
        <v>4037</v>
      </c>
      <c r="E723" s="0" t="s">
        <v>3970</v>
      </c>
      <c r="F723" s="0" t="s">
        <v>4057</v>
      </c>
    </row>
    <row r="724" customFormat="false" ht="12.8" hidden="false" customHeight="false" outlineLevel="0" collapsed="false">
      <c r="A724" s="0" t="n">
        <v>3</v>
      </c>
      <c r="B724" s="0" t="n">
        <v>12</v>
      </c>
      <c r="C724" s="0" t="n">
        <v>1112</v>
      </c>
      <c r="D724" s="0" t="s">
        <v>4037</v>
      </c>
      <c r="E724" s="0" t="s">
        <v>3970</v>
      </c>
      <c r="F724" s="0" t="s">
        <v>4057</v>
      </c>
    </row>
    <row r="725" customFormat="false" ht="12.8" hidden="false" customHeight="false" outlineLevel="0" collapsed="false">
      <c r="A725" s="0" t="n">
        <v>3</v>
      </c>
      <c r="B725" s="0" t="n">
        <v>12</v>
      </c>
      <c r="C725" s="0" t="n">
        <v>1113</v>
      </c>
      <c r="D725" s="0" t="s">
        <v>4037</v>
      </c>
      <c r="E725" s="0" t="s">
        <v>3970</v>
      </c>
      <c r="F725" s="0" t="s">
        <v>4057</v>
      </c>
    </row>
    <row r="726" customFormat="false" ht="12.8" hidden="false" customHeight="false" outlineLevel="0" collapsed="false">
      <c r="A726" s="0" t="n">
        <v>3</v>
      </c>
      <c r="B726" s="0" t="n">
        <v>12</v>
      </c>
      <c r="C726" s="0" t="n">
        <v>1114</v>
      </c>
      <c r="D726" s="0" t="s">
        <v>4037</v>
      </c>
      <c r="E726" s="0" t="s">
        <v>3970</v>
      </c>
      <c r="F726" s="0" t="s">
        <v>4057</v>
      </c>
    </row>
    <row r="727" customFormat="false" ht="12.8" hidden="false" customHeight="false" outlineLevel="0" collapsed="false">
      <c r="A727" s="0" t="n">
        <v>3</v>
      </c>
      <c r="B727" s="0" t="n">
        <v>12</v>
      </c>
      <c r="C727" s="0" t="n">
        <v>1115</v>
      </c>
      <c r="D727" s="0" t="s">
        <v>4037</v>
      </c>
      <c r="E727" s="0" t="s">
        <v>3970</v>
      </c>
      <c r="F727" s="0" t="s">
        <v>4057</v>
      </c>
    </row>
    <row r="728" customFormat="false" ht="12.8" hidden="false" customHeight="false" outlineLevel="0" collapsed="false">
      <c r="A728" s="0" t="n">
        <v>3</v>
      </c>
      <c r="B728" s="0" t="n">
        <v>12</v>
      </c>
      <c r="C728" s="0" t="n">
        <v>1116</v>
      </c>
      <c r="D728" s="0" t="s">
        <v>4037</v>
      </c>
      <c r="E728" s="0" t="s">
        <v>3970</v>
      </c>
      <c r="F728" s="0" t="s">
        <v>4057</v>
      </c>
    </row>
    <row r="729" customFormat="false" ht="12.8" hidden="false" customHeight="false" outlineLevel="0" collapsed="false">
      <c r="A729" s="0" t="n">
        <v>3</v>
      </c>
      <c r="B729" s="0" t="n">
        <v>12</v>
      </c>
      <c r="C729" s="0" t="n">
        <v>1117</v>
      </c>
      <c r="D729" s="0" t="s">
        <v>4037</v>
      </c>
      <c r="E729" s="0" t="s">
        <v>3970</v>
      </c>
      <c r="F729" s="0" t="s">
        <v>4057</v>
      </c>
    </row>
    <row r="730" customFormat="false" ht="12.8" hidden="false" customHeight="false" outlineLevel="0" collapsed="false">
      <c r="A730" s="0" t="n">
        <v>3</v>
      </c>
      <c r="B730" s="0" t="n">
        <v>12</v>
      </c>
      <c r="C730" s="0" t="n">
        <v>1118</v>
      </c>
      <c r="D730" s="0" t="s">
        <v>4037</v>
      </c>
      <c r="E730" s="0" t="s">
        <v>3970</v>
      </c>
      <c r="F730" s="0" t="s">
        <v>4057</v>
      </c>
    </row>
    <row r="731" customFormat="false" ht="12.8" hidden="false" customHeight="false" outlineLevel="0" collapsed="false">
      <c r="A731" s="0" t="n">
        <v>3</v>
      </c>
      <c r="B731" s="0" t="n">
        <v>12</v>
      </c>
      <c r="C731" s="0" t="n">
        <v>1119</v>
      </c>
      <c r="D731" s="0" t="s">
        <v>4037</v>
      </c>
      <c r="E731" s="0" t="s">
        <v>3970</v>
      </c>
      <c r="F731" s="0" t="s">
        <v>4057</v>
      </c>
    </row>
    <row r="732" customFormat="false" ht="12.8" hidden="false" customHeight="false" outlineLevel="0" collapsed="false">
      <c r="A732" s="0" t="n">
        <v>3</v>
      </c>
      <c r="B732" s="0" t="n">
        <v>12</v>
      </c>
      <c r="C732" s="0" t="n">
        <v>1120</v>
      </c>
      <c r="D732" s="0" t="s">
        <v>4037</v>
      </c>
      <c r="E732" s="0" t="s">
        <v>3970</v>
      </c>
      <c r="F732" s="0" t="s">
        <v>4058</v>
      </c>
    </row>
    <row r="733" customFormat="false" ht="12.8" hidden="false" customHeight="false" outlineLevel="0" collapsed="false">
      <c r="A733" s="0" t="n">
        <v>3</v>
      </c>
      <c r="B733" s="0" t="n">
        <v>12</v>
      </c>
      <c r="C733" s="0" t="n">
        <v>1121</v>
      </c>
      <c r="D733" s="0" t="s">
        <v>4037</v>
      </c>
      <c r="E733" s="0" t="s">
        <v>3970</v>
      </c>
      <c r="F733" s="0" t="s">
        <v>4058</v>
      </c>
    </row>
    <row r="734" customFormat="false" ht="12.8" hidden="false" customHeight="false" outlineLevel="0" collapsed="false">
      <c r="A734" s="0" t="n">
        <v>3</v>
      </c>
      <c r="B734" s="0" t="n">
        <v>12</v>
      </c>
      <c r="C734" s="0" t="n">
        <v>1122</v>
      </c>
      <c r="D734" s="0" t="s">
        <v>4037</v>
      </c>
      <c r="E734" s="0" t="s">
        <v>3970</v>
      </c>
      <c r="F734" s="0" t="s">
        <v>4058</v>
      </c>
    </row>
    <row r="735" customFormat="false" ht="12.8" hidden="false" customHeight="false" outlineLevel="0" collapsed="false">
      <c r="A735" s="0" t="n">
        <v>3</v>
      </c>
      <c r="B735" s="0" t="n">
        <v>12</v>
      </c>
      <c r="C735" s="0" t="n">
        <v>1123</v>
      </c>
      <c r="D735" s="0" t="s">
        <v>4037</v>
      </c>
      <c r="E735" s="0" t="s">
        <v>3970</v>
      </c>
      <c r="F735" s="0" t="s">
        <v>4058</v>
      </c>
    </row>
    <row r="736" customFormat="false" ht="12.8" hidden="false" customHeight="false" outlineLevel="0" collapsed="false">
      <c r="A736" s="0" t="n">
        <v>3</v>
      </c>
      <c r="B736" s="0" t="n">
        <v>12</v>
      </c>
      <c r="C736" s="0" t="n">
        <v>1124</v>
      </c>
      <c r="D736" s="0" t="s">
        <v>4037</v>
      </c>
      <c r="E736" s="0" t="s">
        <v>3970</v>
      </c>
      <c r="F736" s="0" t="s">
        <v>4058</v>
      </c>
    </row>
    <row r="737" customFormat="false" ht="12.8" hidden="false" customHeight="false" outlineLevel="0" collapsed="false">
      <c r="A737" s="0" t="n">
        <v>3</v>
      </c>
      <c r="B737" s="0" t="n">
        <v>12</v>
      </c>
      <c r="C737" s="0" t="n">
        <v>1125</v>
      </c>
      <c r="D737" s="0" t="s">
        <v>4037</v>
      </c>
      <c r="E737" s="0" t="s">
        <v>3970</v>
      </c>
      <c r="F737" s="0" t="s">
        <v>4058</v>
      </c>
    </row>
    <row r="738" customFormat="false" ht="12.8" hidden="false" customHeight="false" outlineLevel="0" collapsed="false">
      <c r="A738" s="0" t="n">
        <v>3</v>
      </c>
      <c r="B738" s="0" t="n">
        <v>12</v>
      </c>
      <c r="C738" s="0" t="n">
        <v>1126</v>
      </c>
      <c r="D738" s="0" t="s">
        <v>4037</v>
      </c>
      <c r="E738" s="0" t="s">
        <v>3970</v>
      </c>
      <c r="F738" s="0" t="s">
        <v>4058</v>
      </c>
    </row>
    <row r="739" customFormat="false" ht="12.8" hidden="false" customHeight="false" outlineLevel="0" collapsed="false">
      <c r="A739" s="0" t="n">
        <v>3</v>
      </c>
      <c r="B739" s="0" t="n">
        <v>12</v>
      </c>
      <c r="C739" s="0" t="n">
        <v>1128</v>
      </c>
      <c r="D739" s="0" t="s">
        <v>4037</v>
      </c>
      <c r="E739" s="0" t="s">
        <v>3970</v>
      </c>
      <c r="F739" s="0" t="s">
        <v>4059</v>
      </c>
    </row>
    <row r="740" customFormat="false" ht="12.8" hidden="false" customHeight="false" outlineLevel="0" collapsed="false">
      <c r="A740" s="0" t="n">
        <v>3</v>
      </c>
      <c r="B740" s="0" t="n">
        <v>12</v>
      </c>
      <c r="C740" s="0" t="n">
        <v>1146</v>
      </c>
      <c r="D740" s="0" t="s">
        <v>4037</v>
      </c>
      <c r="E740" s="0" t="s">
        <v>3970</v>
      </c>
      <c r="F740" s="0" t="s">
        <v>4060</v>
      </c>
    </row>
    <row r="741" customFormat="false" ht="12.8" hidden="false" customHeight="false" outlineLevel="0" collapsed="false">
      <c r="A741" s="0" t="n">
        <v>3</v>
      </c>
      <c r="B741" s="0" t="n">
        <v>12</v>
      </c>
      <c r="C741" s="0" t="n">
        <v>1147</v>
      </c>
      <c r="D741" s="0" t="s">
        <v>4037</v>
      </c>
      <c r="E741" s="0" t="s">
        <v>3970</v>
      </c>
      <c r="F741" s="0" t="s">
        <v>4060</v>
      </c>
    </row>
    <row r="742" customFormat="false" ht="12.8" hidden="false" customHeight="false" outlineLevel="0" collapsed="false">
      <c r="A742" s="0" t="n">
        <v>3</v>
      </c>
      <c r="B742" s="0" t="n">
        <v>12</v>
      </c>
      <c r="C742" s="0" t="n">
        <v>1148</v>
      </c>
      <c r="D742" s="0" t="s">
        <v>4037</v>
      </c>
      <c r="E742" s="0" t="s">
        <v>3970</v>
      </c>
      <c r="F742" s="0" t="s">
        <v>4060</v>
      </c>
    </row>
    <row r="743" customFormat="false" ht="12.8" hidden="false" customHeight="false" outlineLevel="0" collapsed="false">
      <c r="A743" s="0" t="n">
        <v>3</v>
      </c>
      <c r="B743" s="0" t="n">
        <v>12</v>
      </c>
      <c r="C743" s="0" t="n">
        <v>1149</v>
      </c>
      <c r="D743" s="0" t="s">
        <v>4037</v>
      </c>
      <c r="E743" s="0" t="s">
        <v>3970</v>
      </c>
      <c r="F743" s="0" t="s">
        <v>4060</v>
      </c>
    </row>
    <row r="744" customFormat="false" ht="12.8" hidden="false" customHeight="false" outlineLevel="0" collapsed="false">
      <c r="A744" s="0" t="n">
        <v>3</v>
      </c>
      <c r="B744" s="0" t="n">
        <v>12</v>
      </c>
      <c r="C744" s="0" t="n">
        <v>1150</v>
      </c>
      <c r="D744" s="0" t="s">
        <v>4037</v>
      </c>
      <c r="E744" s="0" t="s">
        <v>3970</v>
      </c>
      <c r="F744" s="0" t="s">
        <v>4060</v>
      </c>
    </row>
    <row r="745" customFormat="false" ht="12.8" hidden="false" customHeight="false" outlineLevel="0" collapsed="false">
      <c r="A745" s="0" t="n">
        <v>3</v>
      </c>
      <c r="B745" s="0" t="n">
        <v>12</v>
      </c>
      <c r="C745" s="0" t="n">
        <v>1151</v>
      </c>
      <c r="D745" s="0" t="s">
        <v>4037</v>
      </c>
      <c r="E745" s="0" t="s">
        <v>3970</v>
      </c>
      <c r="F745" s="0" t="s">
        <v>4060</v>
      </c>
    </row>
    <row r="746" customFormat="false" ht="12.8" hidden="false" customHeight="false" outlineLevel="0" collapsed="false">
      <c r="A746" s="0" t="n">
        <v>3</v>
      </c>
      <c r="B746" s="0" t="n">
        <v>12</v>
      </c>
      <c r="C746" s="0" t="n">
        <v>1152</v>
      </c>
      <c r="D746" s="0" t="s">
        <v>4037</v>
      </c>
      <c r="E746" s="0" t="s">
        <v>3970</v>
      </c>
      <c r="F746" s="0" t="s">
        <v>4060</v>
      </c>
    </row>
    <row r="747" customFormat="false" ht="12.8" hidden="false" customHeight="false" outlineLevel="0" collapsed="false">
      <c r="A747" s="0" t="n">
        <v>3</v>
      </c>
      <c r="B747" s="0" t="n">
        <v>12</v>
      </c>
      <c r="C747" s="0" t="n">
        <v>1153</v>
      </c>
      <c r="D747" s="0" t="s">
        <v>4037</v>
      </c>
      <c r="E747" s="0" t="s">
        <v>3970</v>
      </c>
      <c r="F747" s="0" t="s">
        <v>4060</v>
      </c>
    </row>
    <row r="748" customFormat="false" ht="12.8" hidden="false" customHeight="false" outlineLevel="0" collapsed="false">
      <c r="A748" s="0" t="n">
        <v>3</v>
      </c>
      <c r="B748" s="0" t="n">
        <v>12</v>
      </c>
      <c r="C748" s="0" t="n">
        <v>1154</v>
      </c>
      <c r="D748" s="0" t="s">
        <v>4037</v>
      </c>
      <c r="E748" s="0" t="s">
        <v>3970</v>
      </c>
      <c r="F748" s="0" t="s">
        <v>4060</v>
      </c>
    </row>
    <row r="749" customFormat="false" ht="12.8" hidden="false" customHeight="false" outlineLevel="0" collapsed="false">
      <c r="A749" s="0" t="n">
        <v>3</v>
      </c>
      <c r="B749" s="0" t="n">
        <v>12</v>
      </c>
      <c r="C749" s="0" t="n">
        <v>1155</v>
      </c>
      <c r="D749" s="0" t="s">
        <v>4037</v>
      </c>
      <c r="E749" s="0" t="s">
        <v>3970</v>
      </c>
      <c r="F749" s="0" t="s">
        <v>4060</v>
      </c>
    </row>
    <row r="750" customFormat="false" ht="12.8" hidden="false" customHeight="false" outlineLevel="0" collapsed="false">
      <c r="A750" s="0" t="n">
        <v>3</v>
      </c>
      <c r="B750" s="0" t="n">
        <v>12</v>
      </c>
      <c r="C750" s="0" t="n">
        <v>1174</v>
      </c>
      <c r="D750" s="0" t="s">
        <v>4037</v>
      </c>
      <c r="E750" s="0" t="s">
        <v>3970</v>
      </c>
      <c r="F750" s="0" t="s">
        <v>4057</v>
      </c>
    </row>
    <row r="751" customFormat="false" ht="12.8" hidden="false" customHeight="false" outlineLevel="0" collapsed="false">
      <c r="A751" s="0" t="n">
        <v>3</v>
      </c>
      <c r="B751" s="0" t="n">
        <v>12</v>
      </c>
      <c r="C751" s="0" t="n">
        <v>1175</v>
      </c>
      <c r="D751" s="0" t="s">
        <v>4037</v>
      </c>
      <c r="E751" s="0" t="s">
        <v>3970</v>
      </c>
      <c r="F751" s="0" t="s">
        <v>4043</v>
      </c>
    </row>
    <row r="752" customFormat="false" ht="12.8" hidden="false" customHeight="false" outlineLevel="0" collapsed="false">
      <c r="A752" s="0" t="n">
        <v>3</v>
      </c>
      <c r="B752" s="0" t="n">
        <v>12</v>
      </c>
      <c r="C752" s="0" t="n">
        <v>1176</v>
      </c>
      <c r="D752" s="0" t="s">
        <v>4037</v>
      </c>
      <c r="E752" s="0" t="s">
        <v>3970</v>
      </c>
      <c r="F752" s="0" t="s">
        <v>4061</v>
      </c>
    </row>
    <row r="753" customFormat="false" ht="12.8" hidden="false" customHeight="false" outlineLevel="0" collapsed="false">
      <c r="A753" s="0" t="n">
        <v>3</v>
      </c>
      <c r="B753" s="0" t="n">
        <v>12</v>
      </c>
      <c r="C753" s="0" t="n">
        <v>1177</v>
      </c>
      <c r="D753" s="0" t="s">
        <v>4037</v>
      </c>
      <c r="E753" s="0" t="s">
        <v>3970</v>
      </c>
      <c r="F753" s="0" t="s">
        <v>4061</v>
      </c>
    </row>
    <row r="754" customFormat="false" ht="12.8" hidden="false" customHeight="false" outlineLevel="0" collapsed="false">
      <c r="A754" s="0" t="n">
        <v>3</v>
      </c>
      <c r="B754" s="0" t="n">
        <v>12</v>
      </c>
      <c r="C754" s="0" t="n">
        <v>1178</v>
      </c>
      <c r="D754" s="0" t="s">
        <v>4037</v>
      </c>
      <c r="E754" s="0" t="s">
        <v>3970</v>
      </c>
      <c r="F754" s="0" t="s">
        <v>4061</v>
      </c>
    </row>
    <row r="755" customFormat="false" ht="12.8" hidden="false" customHeight="false" outlineLevel="0" collapsed="false">
      <c r="A755" s="0" t="n">
        <v>3</v>
      </c>
      <c r="B755" s="0" t="n">
        <v>12</v>
      </c>
      <c r="C755" s="0" t="n">
        <v>1179</v>
      </c>
      <c r="D755" s="0" t="s">
        <v>4037</v>
      </c>
      <c r="E755" s="0" t="s">
        <v>3970</v>
      </c>
      <c r="F755" s="0" t="s">
        <v>4062</v>
      </c>
    </row>
    <row r="756" customFormat="false" ht="12.8" hidden="false" customHeight="false" outlineLevel="0" collapsed="false">
      <c r="A756" s="0" t="n">
        <v>3</v>
      </c>
      <c r="B756" s="0" t="n">
        <v>12</v>
      </c>
      <c r="C756" s="0" t="n">
        <v>1180</v>
      </c>
      <c r="D756" s="0" t="s">
        <v>4037</v>
      </c>
      <c r="E756" s="0" t="s">
        <v>3970</v>
      </c>
      <c r="F756" s="0" t="s">
        <v>4062</v>
      </c>
    </row>
    <row r="757" customFormat="false" ht="12.8" hidden="false" customHeight="false" outlineLevel="0" collapsed="false">
      <c r="A757" s="0" t="n">
        <v>3</v>
      </c>
      <c r="B757" s="0" t="n">
        <v>12</v>
      </c>
      <c r="C757" s="0" t="n">
        <v>1181</v>
      </c>
      <c r="D757" s="0" t="s">
        <v>4037</v>
      </c>
      <c r="E757" s="0" t="s">
        <v>3970</v>
      </c>
      <c r="F757" s="0" t="s">
        <v>4062</v>
      </c>
    </row>
    <row r="758" customFormat="false" ht="12.8" hidden="false" customHeight="false" outlineLevel="0" collapsed="false">
      <c r="A758" s="0" t="n">
        <v>3</v>
      </c>
      <c r="B758" s="0" t="n">
        <v>12</v>
      </c>
      <c r="C758" s="0" t="n">
        <v>1182</v>
      </c>
      <c r="D758" s="0" t="s">
        <v>4037</v>
      </c>
      <c r="E758" s="0" t="s">
        <v>3970</v>
      </c>
      <c r="F758" s="0" t="s">
        <v>4062</v>
      </c>
    </row>
    <row r="759" customFormat="false" ht="12.8" hidden="false" customHeight="false" outlineLevel="0" collapsed="false">
      <c r="A759" s="0" t="n">
        <v>3</v>
      </c>
      <c r="B759" s="0" t="n">
        <v>12</v>
      </c>
      <c r="C759" s="0" t="n">
        <v>1183</v>
      </c>
      <c r="D759" s="0" t="s">
        <v>4037</v>
      </c>
      <c r="E759" s="0" t="s">
        <v>3970</v>
      </c>
      <c r="F759" s="0" t="s">
        <v>4062</v>
      </c>
    </row>
    <row r="760" customFormat="false" ht="12.8" hidden="false" customHeight="false" outlineLevel="0" collapsed="false">
      <c r="A760" s="0" t="n">
        <v>3</v>
      </c>
      <c r="B760" s="0" t="n">
        <v>12</v>
      </c>
      <c r="C760" s="0" t="n">
        <v>1184</v>
      </c>
      <c r="D760" s="0" t="s">
        <v>4037</v>
      </c>
      <c r="E760" s="0" t="s">
        <v>3970</v>
      </c>
      <c r="F760" s="0" t="s">
        <v>4062</v>
      </c>
    </row>
    <row r="761" customFormat="false" ht="12.8" hidden="false" customHeight="false" outlineLevel="0" collapsed="false">
      <c r="A761" s="0" t="n">
        <v>3</v>
      </c>
      <c r="B761" s="0" t="n">
        <v>12</v>
      </c>
      <c r="C761" s="0" t="n">
        <v>1185</v>
      </c>
      <c r="D761" s="0" t="s">
        <v>4037</v>
      </c>
      <c r="E761" s="0" t="s">
        <v>3970</v>
      </c>
      <c r="F761" s="0" t="s">
        <v>4062</v>
      </c>
    </row>
    <row r="762" customFormat="false" ht="12.8" hidden="false" customHeight="false" outlineLevel="0" collapsed="false">
      <c r="A762" s="0" t="n">
        <v>3</v>
      </c>
      <c r="B762" s="0" t="n">
        <v>12</v>
      </c>
      <c r="C762" s="0" t="n">
        <v>1186</v>
      </c>
      <c r="D762" s="0" t="s">
        <v>4037</v>
      </c>
      <c r="E762" s="0" t="s">
        <v>3970</v>
      </c>
      <c r="F762" s="0" t="s">
        <v>4062</v>
      </c>
    </row>
    <row r="763" customFormat="false" ht="12.8" hidden="false" customHeight="false" outlineLevel="0" collapsed="false">
      <c r="A763" s="0" t="n">
        <v>3</v>
      </c>
      <c r="B763" s="0" t="n">
        <v>12</v>
      </c>
      <c r="C763" s="0" t="n">
        <v>1187</v>
      </c>
      <c r="D763" s="0" t="s">
        <v>4037</v>
      </c>
      <c r="E763" s="0" t="s">
        <v>3970</v>
      </c>
      <c r="F763" s="0" t="s">
        <v>4062</v>
      </c>
    </row>
    <row r="764" customFormat="false" ht="12.8" hidden="false" customHeight="false" outlineLevel="0" collapsed="false">
      <c r="A764" s="0" t="n">
        <v>3</v>
      </c>
      <c r="B764" s="0" t="n">
        <v>12</v>
      </c>
      <c r="C764" s="0" t="n">
        <v>1188</v>
      </c>
      <c r="D764" s="0" t="s">
        <v>4037</v>
      </c>
      <c r="E764" s="0" t="s">
        <v>3970</v>
      </c>
      <c r="F764" s="0" t="s">
        <v>4062</v>
      </c>
    </row>
    <row r="765" customFormat="false" ht="12.8" hidden="false" customHeight="false" outlineLevel="0" collapsed="false">
      <c r="A765" s="0" t="n">
        <v>3</v>
      </c>
      <c r="B765" s="0" t="n">
        <v>12</v>
      </c>
      <c r="C765" s="0" t="n">
        <v>1189</v>
      </c>
      <c r="D765" s="0" t="s">
        <v>4037</v>
      </c>
      <c r="E765" s="0" t="s">
        <v>3970</v>
      </c>
      <c r="F765" s="0" t="s">
        <v>4062</v>
      </c>
    </row>
    <row r="766" customFormat="false" ht="12.8" hidden="false" customHeight="false" outlineLevel="0" collapsed="false">
      <c r="A766" s="0" t="n">
        <v>3</v>
      </c>
      <c r="B766" s="0" t="n">
        <v>12</v>
      </c>
      <c r="C766" s="0" t="n">
        <v>1209</v>
      </c>
      <c r="D766" s="0" t="s">
        <v>4037</v>
      </c>
      <c r="E766" s="0" t="s">
        <v>3970</v>
      </c>
      <c r="F766" s="0" t="s">
        <v>4036</v>
      </c>
    </row>
    <row r="767" customFormat="false" ht="12.8" hidden="false" customHeight="false" outlineLevel="0" collapsed="false">
      <c r="A767" s="0" t="n">
        <v>3</v>
      </c>
      <c r="B767" s="0" t="n">
        <v>12</v>
      </c>
      <c r="C767" s="0" t="n">
        <v>1210</v>
      </c>
      <c r="D767" s="0" t="s">
        <v>4037</v>
      </c>
      <c r="E767" s="0" t="s">
        <v>3970</v>
      </c>
      <c r="F767" s="0" t="s">
        <v>4038</v>
      </c>
    </row>
    <row r="768" customFormat="false" ht="12.8" hidden="false" customHeight="false" outlineLevel="0" collapsed="false">
      <c r="A768" s="0" t="n">
        <v>3</v>
      </c>
      <c r="B768" s="0" t="n">
        <v>12</v>
      </c>
      <c r="C768" s="0" t="n">
        <v>1211</v>
      </c>
      <c r="D768" s="0" t="s">
        <v>4037</v>
      </c>
      <c r="E768" s="0" t="s">
        <v>3970</v>
      </c>
      <c r="F768" s="0" t="s">
        <v>4039</v>
      </c>
    </row>
    <row r="769" customFormat="false" ht="12.8" hidden="false" customHeight="false" outlineLevel="0" collapsed="false">
      <c r="A769" s="0" t="n">
        <v>3</v>
      </c>
      <c r="B769" s="0" t="n">
        <v>12</v>
      </c>
      <c r="C769" s="0" t="n">
        <v>1212</v>
      </c>
      <c r="D769" s="0" t="s">
        <v>4037</v>
      </c>
      <c r="E769" s="0" t="s">
        <v>3970</v>
      </c>
      <c r="F769" s="0" t="s">
        <v>4040</v>
      </c>
    </row>
    <row r="770" customFormat="false" ht="12.8" hidden="false" customHeight="false" outlineLevel="0" collapsed="false">
      <c r="A770" s="0" t="n">
        <v>3</v>
      </c>
      <c r="B770" s="0" t="n">
        <v>12</v>
      </c>
      <c r="C770" s="0" t="n">
        <v>1213</v>
      </c>
      <c r="D770" s="0" t="s">
        <v>4037</v>
      </c>
      <c r="E770" s="0" t="s">
        <v>3970</v>
      </c>
      <c r="F770" s="0" t="s">
        <v>4042</v>
      </c>
    </row>
    <row r="771" customFormat="false" ht="12.8" hidden="false" customHeight="false" outlineLevel="0" collapsed="false">
      <c r="A771" s="0" t="n">
        <v>3</v>
      </c>
      <c r="B771" s="0" t="n">
        <v>12</v>
      </c>
      <c r="C771" s="0" t="n">
        <v>1217</v>
      </c>
      <c r="D771" s="0" t="s">
        <v>4037</v>
      </c>
      <c r="E771" s="0" t="s">
        <v>3970</v>
      </c>
      <c r="F771" s="0" t="s">
        <v>4044</v>
      </c>
    </row>
    <row r="772" customFormat="false" ht="12.8" hidden="false" customHeight="false" outlineLevel="0" collapsed="false">
      <c r="A772" s="0" t="n">
        <v>3</v>
      </c>
      <c r="B772" s="0" t="n">
        <v>12</v>
      </c>
      <c r="C772" s="0" t="n">
        <v>1219</v>
      </c>
      <c r="D772" s="0" t="s">
        <v>4037</v>
      </c>
      <c r="E772" s="0" t="s">
        <v>3970</v>
      </c>
      <c r="F772" s="0" t="s">
        <v>3927</v>
      </c>
    </row>
    <row r="773" customFormat="false" ht="12.8" hidden="false" customHeight="false" outlineLevel="0" collapsed="false">
      <c r="A773" s="0" t="n">
        <v>3</v>
      </c>
      <c r="B773" s="0" t="n">
        <v>12</v>
      </c>
      <c r="C773" s="0" t="n">
        <v>1286</v>
      </c>
      <c r="D773" s="0" t="s">
        <v>4037</v>
      </c>
      <c r="E773" s="0" t="s">
        <v>3970</v>
      </c>
      <c r="F773" s="0" t="s">
        <v>4055</v>
      </c>
    </row>
    <row r="774" customFormat="false" ht="12.8" hidden="false" customHeight="false" outlineLevel="0" collapsed="false">
      <c r="A774" s="0" t="n">
        <v>3</v>
      </c>
      <c r="B774" s="0" t="n">
        <v>12</v>
      </c>
      <c r="C774" s="0" t="n">
        <v>1317</v>
      </c>
      <c r="D774" s="0" t="s">
        <v>4037</v>
      </c>
      <c r="E774" s="0" t="s">
        <v>3970</v>
      </c>
      <c r="F774" s="0" t="s">
        <v>4056</v>
      </c>
    </row>
    <row r="775" customFormat="false" ht="12.8" hidden="false" customHeight="false" outlineLevel="0" collapsed="false">
      <c r="A775" s="0" t="n">
        <v>3</v>
      </c>
      <c r="B775" s="0" t="n">
        <v>12</v>
      </c>
      <c r="C775" s="0" t="n">
        <v>1320</v>
      </c>
      <c r="D775" s="0" t="s">
        <v>4037</v>
      </c>
      <c r="E775" s="0" t="s">
        <v>3970</v>
      </c>
      <c r="F775" s="0" t="s">
        <v>4041</v>
      </c>
    </row>
    <row r="776" customFormat="false" ht="12.8" hidden="false" customHeight="false" outlineLevel="0" collapsed="false">
      <c r="A776" s="0" t="n">
        <v>3</v>
      </c>
      <c r="B776" s="0" t="n">
        <v>12</v>
      </c>
      <c r="C776" s="0" t="n">
        <v>1321</v>
      </c>
      <c r="D776" s="0" t="s">
        <v>4037</v>
      </c>
      <c r="E776" s="0" t="s">
        <v>3970</v>
      </c>
      <c r="F776" s="0" t="s">
        <v>4052</v>
      </c>
    </row>
    <row r="777" customFormat="false" ht="12.8" hidden="false" customHeight="false" outlineLevel="0" collapsed="false">
      <c r="A777" s="0" t="n">
        <v>3</v>
      </c>
      <c r="B777" s="0" t="n">
        <v>12</v>
      </c>
      <c r="C777" s="0" t="n">
        <v>1325</v>
      </c>
      <c r="D777" s="0" t="s">
        <v>4037</v>
      </c>
      <c r="E777" s="0" t="s">
        <v>3970</v>
      </c>
      <c r="F777" s="0" t="s">
        <v>4053</v>
      </c>
    </row>
    <row r="778" customFormat="false" ht="12.8" hidden="false" customHeight="false" outlineLevel="0" collapsed="false">
      <c r="A778" s="0" t="n">
        <v>3</v>
      </c>
      <c r="B778" s="0" t="n">
        <v>12</v>
      </c>
      <c r="C778" s="0" t="n">
        <v>1328</v>
      </c>
      <c r="D778" s="0" t="s">
        <v>4037</v>
      </c>
      <c r="E778" s="0" t="s">
        <v>3970</v>
      </c>
      <c r="F778" s="0" t="s">
        <v>4058</v>
      </c>
    </row>
    <row r="779" customFormat="false" ht="12.8" hidden="false" customHeight="false" outlineLevel="0" collapsed="false">
      <c r="A779" s="0" t="n">
        <v>3</v>
      </c>
      <c r="B779" s="0" t="n">
        <v>12</v>
      </c>
      <c r="C779" s="0" t="n">
        <v>1331</v>
      </c>
      <c r="D779" s="0" t="s">
        <v>4037</v>
      </c>
      <c r="E779" s="0" t="s">
        <v>3970</v>
      </c>
      <c r="F779" s="0" t="s">
        <v>4060</v>
      </c>
    </row>
    <row r="780" customFormat="false" ht="12.8" hidden="false" customHeight="false" outlineLevel="0" collapsed="false">
      <c r="A780" s="0" t="n">
        <v>3</v>
      </c>
      <c r="B780" s="0" t="n">
        <v>12</v>
      </c>
      <c r="C780" s="0" t="n">
        <v>1336</v>
      </c>
      <c r="D780" s="0" t="s">
        <v>4037</v>
      </c>
      <c r="E780" s="0" t="s">
        <v>3970</v>
      </c>
      <c r="F780" s="0" t="s">
        <v>4057</v>
      </c>
    </row>
    <row r="781" customFormat="false" ht="12.8" hidden="false" customHeight="false" outlineLevel="0" collapsed="false">
      <c r="A781" s="0" t="n">
        <v>3</v>
      </c>
      <c r="B781" s="0" t="n">
        <v>12</v>
      </c>
      <c r="C781" s="0" t="n">
        <v>1337</v>
      </c>
      <c r="D781" s="0" t="s">
        <v>4037</v>
      </c>
      <c r="E781" s="0" t="s">
        <v>3970</v>
      </c>
      <c r="F781" s="0" t="s">
        <v>4043</v>
      </c>
    </row>
    <row r="782" customFormat="false" ht="12.8" hidden="false" customHeight="false" outlineLevel="0" collapsed="false">
      <c r="A782" s="0" t="n">
        <v>3</v>
      </c>
      <c r="B782" s="0" t="n">
        <v>12</v>
      </c>
      <c r="C782" s="0" t="n">
        <v>1338</v>
      </c>
      <c r="D782" s="0" t="s">
        <v>4037</v>
      </c>
      <c r="E782" s="0" t="s">
        <v>3970</v>
      </c>
      <c r="F782" s="0" t="s">
        <v>4062</v>
      </c>
    </row>
    <row r="783" customFormat="false" ht="12.8" hidden="false" customHeight="false" outlineLevel="0" collapsed="false">
      <c r="A783" s="0" t="n">
        <v>3</v>
      </c>
      <c r="B783" s="0" t="n">
        <v>12</v>
      </c>
      <c r="C783" s="0" t="n">
        <v>1348</v>
      </c>
      <c r="D783" s="0" t="s">
        <v>4037</v>
      </c>
      <c r="E783" s="0" t="s">
        <v>3970</v>
      </c>
      <c r="F783" s="0" t="s">
        <v>4063</v>
      </c>
    </row>
    <row r="784" customFormat="false" ht="12.8" hidden="false" customHeight="false" outlineLevel="0" collapsed="false">
      <c r="A784" s="0" t="n">
        <v>3</v>
      </c>
      <c r="B784" s="0" t="n">
        <v>12</v>
      </c>
      <c r="C784" s="0" t="n">
        <v>1349</v>
      </c>
      <c r="D784" s="0" t="s">
        <v>4037</v>
      </c>
      <c r="E784" s="0" t="s">
        <v>3970</v>
      </c>
      <c r="F784" s="0" t="s">
        <v>4063</v>
      </c>
    </row>
    <row r="785" customFormat="false" ht="12.8" hidden="false" customHeight="false" outlineLevel="0" collapsed="false">
      <c r="A785" s="0" t="n">
        <v>3</v>
      </c>
      <c r="B785" s="0" t="n">
        <v>12</v>
      </c>
      <c r="C785" s="0" t="n">
        <v>1350</v>
      </c>
      <c r="D785" s="0" t="s">
        <v>4037</v>
      </c>
      <c r="E785" s="0" t="s">
        <v>3970</v>
      </c>
      <c r="F785" s="0" t="s">
        <v>4063</v>
      </c>
    </row>
    <row r="786" customFormat="false" ht="12.8" hidden="false" customHeight="false" outlineLevel="0" collapsed="false">
      <c r="A786" s="0" t="n">
        <v>3</v>
      </c>
      <c r="B786" s="0" t="n">
        <v>12</v>
      </c>
      <c r="C786" s="0" t="n">
        <v>1351</v>
      </c>
      <c r="D786" s="0" t="s">
        <v>4037</v>
      </c>
      <c r="E786" s="0" t="s">
        <v>3970</v>
      </c>
      <c r="F786" s="0" t="s">
        <v>4063</v>
      </c>
    </row>
    <row r="787" customFormat="false" ht="12.8" hidden="false" customHeight="false" outlineLevel="0" collapsed="false">
      <c r="A787" s="0" t="n">
        <v>3</v>
      </c>
      <c r="B787" s="0" t="n">
        <v>12</v>
      </c>
      <c r="C787" s="0" t="n">
        <v>1352</v>
      </c>
      <c r="D787" s="0" t="s">
        <v>4037</v>
      </c>
      <c r="E787" s="0" t="s">
        <v>3970</v>
      </c>
      <c r="F787" s="0" t="s">
        <v>4063</v>
      </c>
    </row>
    <row r="788" customFormat="false" ht="12.8" hidden="false" customHeight="false" outlineLevel="0" collapsed="false">
      <c r="A788" s="0" t="n">
        <v>3</v>
      </c>
      <c r="B788" s="0" t="n">
        <v>12</v>
      </c>
      <c r="C788" s="0" t="n">
        <v>1353</v>
      </c>
      <c r="D788" s="0" t="s">
        <v>4037</v>
      </c>
      <c r="E788" s="0" t="s">
        <v>3970</v>
      </c>
      <c r="F788" s="0" t="s">
        <v>4063</v>
      </c>
    </row>
    <row r="789" customFormat="false" ht="12.8" hidden="false" customHeight="false" outlineLevel="0" collapsed="false">
      <c r="A789" s="0" t="n">
        <v>3</v>
      </c>
      <c r="B789" s="0" t="n">
        <v>12</v>
      </c>
      <c r="C789" s="0" t="n">
        <v>1354</v>
      </c>
      <c r="D789" s="0" t="s">
        <v>4037</v>
      </c>
      <c r="E789" s="0" t="s">
        <v>3970</v>
      </c>
      <c r="F789" s="0" t="s">
        <v>4063</v>
      </c>
    </row>
    <row r="790" customFormat="false" ht="12.8" hidden="false" customHeight="false" outlineLevel="0" collapsed="false">
      <c r="A790" s="0" t="n">
        <v>3</v>
      </c>
      <c r="B790" s="0" t="n">
        <v>12</v>
      </c>
      <c r="C790" s="0" t="n">
        <v>1355</v>
      </c>
      <c r="D790" s="0" t="s">
        <v>4037</v>
      </c>
      <c r="E790" s="0" t="s">
        <v>3970</v>
      </c>
      <c r="F790" s="0" t="s">
        <v>4063</v>
      </c>
    </row>
    <row r="791" customFormat="false" ht="12.8" hidden="false" customHeight="false" outlineLevel="0" collapsed="false">
      <c r="A791" s="0" t="n">
        <v>3</v>
      </c>
      <c r="B791" s="0" t="n">
        <v>12</v>
      </c>
      <c r="C791" s="0" t="n">
        <v>1356</v>
      </c>
      <c r="D791" s="0" t="s">
        <v>4037</v>
      </c>
      <c r="E791" s="0" t="s">
        <v>3970</v>
      </c>
      <c r="F791" s="0" t="s">
        <v>4063</v>
      </c>
    </row>
    <row r="792" customFormat="false" ht="12.8" hidden="false" customHeight="false" outlineLevel="0" collapsed="false">
      <c r="A792" s="0" t="n">
        <v>3</v>
      </c>
      <c r="B792" s="0" t="n">
        <v>12</v>
      </c>
      <c r="C792" s="0" t="n">
        <v>1357</v>
      </c>
      <c r="D792" s="0" t="s">
        <v>4037</v>
      </c>
      <c r="E792" s="0" t="s">
        <v>3970</v>
      </c>
      <c r="F792" s="0" t="s">
        <v>4063</v>
      </c>
    </row>
    <row r="793" customFormat="false" ht="12.8" hidden="false" customHeight="false" outlineLevel="0" collapsed="false">
      <c r="A793" s="0" t="n">
        <v>3</v>
      </c>
      <c r="B793" s="0" t="n">
        <v>12</v>
      </c>
      <c r="C793" s="0" t="n">
        <v>1358</v>
      </c>
      <c r="D793" s="0" t="s">
        <v>4037</v>
      </c>
      <c r="E793" s="0" t="s">
        <v>3970</v>
      </c>
      <c r="F793" s="0" t="s">
        <v>4063</v>
      </c>
    </row>
    <row r="794" customFormat="false" ht="12.8" hidden="false" customHeight="false" outlineLevel="0" collapsed="false">
      <c r="A794" s="0" t="n">
        <v>3</v>
      </c>
      <c r="B794" s="0" t="n">
        <v>12</v>
      </c>
      <c r="C794" s="0" t="n">
        <v>1361</v>
      </c>
      <c r="D794" s="0" t="s">
        <v>4037</v>
      </c>
      <c r="E794" s="0" t="s">
        <v>3970</v>
      </c>
      <c r="F794" s="0" t="s">
        <v>4064</v>
      </c>
    </row>
    <row r="795" customFormat="false" ht="12.8" hidden="false" customHeight="false" outlineLevel="0" collapsed="false">
      <c r="A795" s="0" t="n">
        <v>3</v>
      </c>
      <c r="B795" s="0" t="n">
        <v>12</v>
      </c>
      <c r="C795" s="0" t="n">
        <v>1362</v>
      </c>
      <c r="D795" s="0" t="s">
        <v>4037</v>
      </c>
      <c r="E795" s="0" t="s">
        <v>3970</v>
      </c>
      <c r="F795" s="0" t="s">
        <v>4064</v>
      </c>
    </row>
    <row r="796" customFormat="false" ht="12.8" hidden="false" customHeight="false" outlineLevel="0" collapsed="false">
      <c r="A796" s="0" t="n">
        <v>3</v>
      </c>
      <c r="B796" s="0" t="n">
        <v>12</v>
      </c>
      <c r="C796" s="0" t="n">
        <v>1363</v>
      </c>
      <c r="D796" s="0" t="s">
        <v>4037</v>
      </c>
      <c r="E796" s="0" t="s">
        <v>3970</v>
      </c>
      <c r="F796" s="0" t="s">
        <v>4064</v>
      </c>
    </row>
    <row r="797" customFormat="false" ht="12.8" hidden="false" customHeight="false" outlineLevel="0" collapsed="false">
      <c r="A797" s="0" t="n">
        <v>3</v>
      </c>
      <c r="B797" s="0" t="n">
        <v>12</v>
      </c>
      <c r="C797" s="0" t="n">
        <v>1364</v>
      </c>
      <c r="D797" s="0" t="s">
        <v>4037</v>
      </c>
      <c r="E797" s="0" t="s">
        <v>3970</v>
      </c>
      <c r="F797" s="0" t="s">
        <v>4064</v>
      </c>
    </row>
    <row r="798" customFormat="false" ht="12.8" hidden="false" customHeight="false" outlineLevel="0" collapsed="false">
      <c r="A798" s="0" t="n">
        <v>3</v>
      </c>
      <c r="B798" s="0" t="n">
        <v>12</v>
      </c>
      <c r="C798" s="0" t="n">
        <v>1365</v>
      </c>
      <c r="D798" s="0" t="s">
        <v>4037</v>
      </c>
      <c r="E798" s="0" t="s">
        <v>3970</v>
      </c>
      <c r="F798" s="0" t="s">
        <v>4064</v>
      </c>
    </row>
    <row r="799" customFormat="false" ht="12.8" hidden="false" customHeight="false" outlineLevel="0" collapsed="false">
      <c r="A799" s="0" t="n">
        <v>3</v>
      </c>
      <c r="B799" s="0" t="n">
        <v>12</v>
      </c>
      <c r="C799" s="0" t="n">
        <v>1366</v>
      </c>
      <c r="D799" s="0" t="s">
        <v>4037</v>
      </c>
      <c r="E799" s="0" t="s">
        <v>3970</v>
      </c>
      <c r="F799" s="0" t="s">
        <v>4064</v>
      </c>
    </row>
    <row r="800" customFormat="false" ht="12.8" hidden="false" customHeight="false" outlineLevel="0" collapsed="false">
      <c r="A800" s="0" t="n">
        <v>3</v>
      </c>
      <c r="B800" s="0" t="n">
        <v>12</v>
      </c>
      <c r="C800" s="0" t="n">
        <v>1367</v>
      </c>
      <c r="D800" s="0" t="s">
        <v>4037</v>
      </c>
      <c r="E800" s="0" t="s">
        <v>3970</v>
      </c>
      <c r="F800" s="0" t="s">
        <v>4064</v>
      </c>
    </row>
    <row r="801" customFormat="false" ht="12.8" hidden="false" customHeight="false" outlineLevel="0" collapsed="false">
      <c r="A801" s="0" t="n">
        <v>3</v>
      </c>
      <c r="B801" s="0" t="n">
        <v>12</v>
      </c>
      <c r="C801" s="0" t="n">
        <v>1368</v>
      </c>
      <c r="D801" s="0" t="s">
        <v>4037</v>
      </c>
      <c r="E801" s="0" t="s">
        <v>3970</v>
      </c>
      <c r="F801" s="0" t="s">
        <v>4064</v>
      </c>
    </row>
    <row r="802" customFormat="false" ht="12.8" hidden="false" customHeight="false" outlineLevel="0" collapsed="false">
      <c r="A802" s="0" t="n">
        <v>3</v>
      </c>
      <c r="B802" s="0" t="n">
        <v>12</v>
      </c>
      <c r="C802" s="0" t="n">
        <v>1369</v>
      </c>
      <c r="D802" s="0" t="s">
        <v>4037</v>
      </c>
      <c r="E802" s="0" t="s">
        <v>3970</v>
      </c>
      <c r="F802" s="0" t="s">
        <v>4064</v>
      </c>
    </row>
    <row r="803" customFormat="false" ht="12.8" hidden="false" customHeight="false" outlineLevel="0" collapsed="false">
      <c r="A803" s="0" t="n">
        <v>3</v>
      </c>
      <c r="B803" s="0" t="n">
        <v>12</v>
      </c>
      <c r="C803" s="0" t="n">
        <v>1370</v>
      </c>
      <c r="D803" s="0" t="s">
        <v>4037</v>
      </c>
      <c r="E803" s="0" t="s">
        <v>3970</v>
      </c>
      <c r="F803" s="0" t="s">
        <v>4064</v>
      </c>
    </row>
    <row r="804" customFormat="false" ht="12.8" hidden="false" customHeight="false" outlineLevel="0" collapsed="false">
      <c r="A804" s="0" t="n">
        <v>3</v>
      </c>
      <c r="B804" s="0" t="n">
        <v>12</v>
      </c>
      <c r="C804" s="0" t="n">
        <v>1371</v>
      </c>
      <c r="D804" s="0" t="s">
        <v>4037</v>
      </c>
      <c r="E804" s="0" t="s">
        <v>3970</v>
      </c>
      <c r="F804" s="0" t="s">
        <v>4064</v>
      </c>
    </row>
    <row r="805" customFormat="false" ht="12.8" hidden="false" customHeight="false" outlineLevel="0" collapsed="false">
      <c r="A805" s="0" t="n">
        <v>3</v>
      </c>
      <c r="B805" s="0" t="n">
        <v>12</v>
      </c>
      <c r="C805" s="0" t="n">
        <v>1380</v>
      </c>
      <c r="D805" s="0" t="s">
        <v>4037</v>
      </c>
      <c r="E805" s="0" t="s">
        <v>3970</v>
      </c>
      <c r="F805" s="0" t="s">
        <v>4036</v>
      </c>
    </row>
    <row r="806" customFormat="false" ht="12.8" hidden="false" customHeight="false" outlineLevel="0" collapsed="false">
      <c r="A806" s="0" t="n">
        <v>3</v>
      </c>
      <c r="B806" s="0" t="n">
        <v>12</v>
      </c>
      <c r="C806" s="0" t="n">
        <v>1381</v>
      </c>
      <c r="D806" s="0" t="s">
        <v>4037</v>
      </c>
      <c r="E806" s="0" t="s">
        <v>3970</v>
      </c>
      <c r="F806" s="0" t="s">
        <v>4038</v>
      </c>
    </row>
    <row r="807" customFormat="false" ht="12.8" hidden="false" customHeight="false" outlineLevel="0" collapsed="false">
      <c r="A807" s="0" t="n">
        <v>3</v>
      </c>
      <c r="B807" s="0" t="n">
        <v>12</v>
      </c>
      <c r="C807" s="0" t="n">
        <v>1382</v>
      </c>
      <c r="D807" s="0" t="s">
        <v>4037</v>
      </c>
      <c r="E807" s="0" t="s">
        <v>3970</v>
      </c>
      <c r="F807" s="0" t="s">
        <v>4039</v>
      </c>
    </row>
    <row r="808" customFormat="false" ht="12.8" hidden="false" customHeight="false" outlineLevel="0" collapsed="false">
      <c r="A808" s="0" t="n">
        <v>3</v>
      </c>
      <c r="B808" s="0" t="n">
        <v>12</v>
      </c>
      <c r="C808" s="0" t="n">
        <v>1383</v>
      </c>
      <c r="D808" s="0" t="s">
        <v>4037</v>
      </c>
      <c r="E808" s="0" t="s">
        <v>3970</v>
      </c>
      <c r="F808" s="0" t="s">
        <v>4040</v>
      </c>
    </row>
    <row r="809" customFormat="false" ht="12.8" hidden="false" customHeight="false" outlineLevel="0" collapsed="false">
      <c r="A809" s="0" t="n">
        <v>3</v>
      </c>
      <c r="B809" s="0" t="n">
        <v>12</v>
      </c>
      <c r="C809" s="0" t="n">
        <v>1384</v>
      </c>
      <c r="D809" s="0" t="s">
        <v>4037</v>
      </c>
      <c r="E809" s="0" t="s">
        <v>3970</v>
      </c>
      <c r="F809" s="0" t="s">
        <v>4042</v>
      </c>
    </row>
    <row r="810" customFormat="false" ht="12.8" hidden="false" customHeight="false" outlineLevel="0" collapsed="false">
      <c r="A810" s="0" t="n">
        <v>3</v>
      </c>
      <c r="B810" s="0" t="n">
        <v>12</v>
      </c>
      <c r="C810" s="0" t="n">
        <v>1390</v>
      </c>
      <c r="D810" s="0" t="s">
        <v>4037</v>
      </c>
      <c r="E810" s="0" t="s">
        <v>3970</v>
      </c>
      <c r="F810" s="0" t="s">
        <v>4044</v>
      </c>
    </row>
    <row r="811" customFormat="false" ht="12.8" hidden="false" customHeight="false" outlineLevel="0" collapsed="false">
      <c r="A811" s="0" t="n">
        <v>3</v>
      </c>
      <c r="B811" s="0" t="n">
        <v>12</v>
      </c>
      <c r="C811" s="0" t="n">
        <v>1391</v>
      </c>
      <c r="D811" s="0" t="s">
        <v>4037</v>
      </c>
      <c r="E811" s="0" t="s">
        <v>3970</v>
      </c>
      <c r="F811" s="0" t="s">
        <v>3927</v>
      </c>
    </row>
    <row r="812" customFormat="false" ht="12.8" hidden="false" customHeight="false" outlineLevel="0" collapsed="false">
      <c r="A812" s="0" t="n">
        <v>3</v>
      </c>
      <c r="B812" s="0" t="n">
        <v>12</v>
      </c>
      <c r="C812" s="0" t="n">
        <v>1395</v>
      </c>
      <c r="D812" s="0" t="s">
        <v>4037</v>
      </c>
      <c r="E812" s="0" t="s">
        <v>3970</v>
      </c>
      <c r="F812" s="0" t="s">
        <v>4045</v>
      </c>
    </row>
    <row r="813" customFormat="false" ht="12.8" hidden="false" customHeight="false" outlineLevel="0" collapsed="false">
      <c r="A813" s="0" t="n">
        <v>3</v>
      </c>
      <c r="B813" s="0" t="n">
        <v>12</v>
      </c>
      <c r="C813" s="0" t="n">
        <v>1474</v>
      </c>
      <c r="D813" s="0" t="s">
        <v>4037</v>
      </c>
      <c r="E813" s="0" t="s">
        <v>3970</v>
      </c>
      <c r="F813" s="0" t="s">
        <v>4063</v>
      </c>
    </row>
    <row r="814" customFormat="false" ht="12.8" hidden="false" customHeight="false" outlineLevel="0" collapsed="false">
      <c r="A814" s="0" t="n">
        <v>3</v>
      </c>
      <c r="B814" s="0" t="n">
        <v>12</v>
      </c>
      <c r="C814" s="0" t="n">
        <v>1476</v>
      </c>
      <c r="D814" s="0" t="s">
        <v>4037</v>
      </c>
      <c r="E814" s="0" t="s">
        <v>3970</v>
      </c>
      <c r="F814" s="0" t="s">
        <v>4055</v>
      </c>
    </row>
    <row r="815" customFormat="false" ht="12.8" hidden="false" customHeight="false" outlineLevel="0" collapsed="false">
      <c r="A815" s="0" t="n">
        <v>3</v>
      </c>
      <c r="B815" s="0" t="n">
        <v>12</v>
      </c>
      <c r="C815" s="0" t="n">
        <v>1491</v>
      </c>
      <c r="D815" s="0" t="s">
        <v>4037</v>
      </c>
      <c r="E815" s="0" t="s">
        <v>3970</v>
      </c>
      <c r="F815" s="0" t="s">
        <v>4056</v>
      </c>
    </row>
    <row r="816" customFormat="false" ht="12.8" hidden="false" customHeight="false" outlineLevel="0" collapsed="false">
      <c r="A816" s="0" t="n">
        <v>3</v>
      </c>
      <c r="B816" s="0" t="n">
        <v>12</v>
      </c>
      <c r="C816" s="0" t="n">
        <v>1493</v>
      </c>
      <c r="D816" s="0" t="s">
        <v>4037</v>
      </c>
      <c r="E816" s="0" t="s">
        <v>3970</v>
      </c>
      <c r="F816" s="0" t="s">
        <v>4052</v>
      </c>
    </row>
    <row r="817" customFormat="false" ht="12.8" hidden="false" customHeight="false" outlineLevel="0" collapsed="false">
      <c r="A817" s="0" t="n">
        <v>3</v>
      </c>
      <c r="B817" s="0" t="n">
        <v>12</v>
      </c>
      <c r="C817" s="0" t="n">
        <v>1497</v>
      </c>
      <c r="D817" s="0" t="s">
        <v>4037</v>
      </c>
      <c r="E817" s="0" t="s">
        <v>3970</v>
      </c>
      <c r="F817" s="0" t="s">
        <v>4053</v>
      </c>
    </row>
    <row r="818" customFormat="false" ht="12.8" hidden="false" customHeight="false" outlineLevel="0" collapsed="false">
      <c r="A818" s="0" t="n">
        <v>3</v>
      </c>
      <c r="B818" s="0" t="n">
        <v>12</v>
      </c>
      <c r="C818" s="0" t="n">
        <v>1500</v>
      </c>
      <c r="D818" s="0" t="s">
        <v>4037</v>
      </c>
      <c r="E818" s="0" t="s">
        <v>3970</v>
      </c>
      <c r="F818" s="0" t="s">
        <v>4058</v>
      </c>
    </row>
    <row r="819" customFormat="false" ht="12.8" hidden="false" customHeight="false" outlineLevel="0" collapsed="false">
      <c r="A819" s="0" t="n">
        <v>3</v>
      </c>
      <c r="B819" s="0" t="n">
        <v>12</v>
      </c>
      <c r="C819" s="0" t="n">
        <v>1508</v>
      </c>
      <c r="D819" s="0" t="s">
        <v>4037</v>
      </c>
      <c r="E819" s="0" t="s">
        <v>3970</v>
      </c>
      <c r="F819" s="0" t="s">
        <v>4057</v>
      </c>
    </row>
    <row r="820" customFormat="false" ht="12.8" hidden="false" customHeight="false" outlineLevel="0" collapsed="false">
      <c r="A820" s="0" t="n">
        <v>3</v>
      </c>
      <c r="B820" s="0" t="n">
        <v>12</v>
      </c>
      <c r="C820" s="0" t="n">
        <v>1509</v>
      </c>
      <c r="D820" s="0" t="s">
        <v>4037</v>
      </c>
      <c r="E820" s="0" t="s">
        <v>3970</v>
      </c>
      <c r="F820" s="0" t="s">
        <v>4043</v>
      </c>
    </row>
    <row r="821" customFormat="false" ht="12.8" hidden="false" customHeight="false" outlineLevel="0" collapsed="false">
      <c r="A821" s="0" t="n">
        <v>3</v>
      </c>
      <c r="B821" s="0" t="n">
        <v>12</v>
      </c>
      <c r="C821" s="0" t="n">
        <v>1510</v>
      </c>
      <c r="D821" s="0" t="s">
        <v>4037</v>
      </c>
      <c r="E821" s="0" t="s">
        <v>3970</v>
      </c>
      <c r="F821" s="0" t="s">
        <v>4062</v>
      </c>
    </row>
    <row r="822" customFormat="false" ht="12.8" hidden="false" customHeight="false" outlineLevel="0" collapsed="false">
      <c r="A822" s="0" t="n">
        <v>3</v>
      </c>
      <c r="B822" s="0" t="n">
        <v>12</v>
      </c>
      <c r="C822" s="0" t="n">
        <v>1556</v>
      </c>
      <c r="D822" s="0" t="s">
        <v>4037</v>
      </c>
      <c r="E822" s="0" t="s">
        <v>3970</v>
      </c>
      <c r="F822" s="0" t="s">
        <v>4064</v>
      </c>
    </row>
    <row r="823" customFormat="false" ht="12.8" hidden="false" customHeight="false" outlineLevel="0" collapsed="false">
      <c r="A823" s="0" t="n">
        <v>3</v>
      </c>
      <c r="B823" s="0" t="n">
        <v>12</v>
      </c>
      <c r="C823" s="0" t="n">
        <v>1561</v>
      </c>
      <c r="D823" s="0" t="s">
        <v>4037</v>
      </c>
      <c r="E823" s="0" t="s">
        <v>3970</v>
      </c>
      <c r="F823" s="0" t="s">
        <v>4036</v>
      </c>
    </row>
    <row r="824" customFormat="false" ht="12.8" hidden="false" customHeight="false" outlineLevel="0" collapsed="false">
      <c r="A824" s="0" t="n">
        <v>3</v>
      </c>
      <c r="B824" s="0" t="n">
        <v>12</v>
      </c>
      <c r="C824" s="0" t="n">
        <v>1562</v>
      </c>
      <c r="D824" s="0" t="s">
        <v>4037</v>
      </c>
      <c r="E824" s="0" t="s">
        <v>3970</v>
      </c>
      <c r="F824" s="0" t="s">
        <v>4038</v>
      </c>
    </row>
    <row r="825" customFormat="false" ht="12.8" hidden="false" customHeight="false" outlineLevel="0" collapsed="false">
      <c r="A825" s="0" t="n">
        <v>3</v>
      </c>
      <c r="B825" s="0" t="n">
        <v>12</v>
      </c>
      <c r="C825" s="0" t="n">
        <v>1563</v>
      </c>
      <c r="D825" s="0" t="s">
        <v>4037</v>
      </c>
      <c r="E825" s="0" t="s">
        <v>3970</v>
      </c>
      <c r="F825" s="0" t="s">
        <v>4039</v>
      </c>
    </row>
    <row r="826" customFormat="false" ht="12.8" hidden="false" customHeight="false" outlineLevel="0" collapsed="false">
      <c r="A826" s="0" t="n">
        <v>3</v>
      </c>
      <c r="B826" s="0" t="n">
        <v>12</v>
      </c>
      <c r="C826" s="0" t="n">
        <v>1564</v>
      </c>
      <c r="D826" s="0" t="s">
        <v>4037</v>
      </c>
      <c r="E826" s="0" t="s">
        <v>3970</v>
      </c>
      <c r="F826" s="0" t="s">
        <v>4040</v>
      </c>
    </row>
    <row r="827" customFormat="false" ht="12.8" hidden="false" customHeight="false" outlineLevel="0" collapsed="false">
      <c r="A827" s="0" t="n">
        <v>3</v>
      </c>
      <c r="B827" s="0" t="n">
        <v>12</v>
      </c>
      <c r="C827" s="0" t="n">
        <v>1565</v>
      </c>
      <c r="D827" s="0" t="s">
        <v>4037</v>
      </c>
      <c r="E827" s="0" t="s">
        <v>3970</v>
      </c>
      <c r="F827" s="0" t="s">
        <v>4042</v>
      </c>
    </row>
    <row r="828" customFormat="false" ht="12.8" hidden="false" customHeight="false" outlineLevel="0" collapsed="false">
      <c r="A828" s="0" t="n">
        <v>3</v>
      </c>
      <c r="B828" s="0" t="n">
        <v>12</v>
      </c>
      <c r="C828" s="0" t="n">
        <v>1569</v>
      </c>
      <c r="D828" s="0" t="s">
        <v>4037</v>
      </c>
      <c r="E828" s="0" t="s">
        <v>3970</v>
      </c>
      <c r="F828" s="0" t="s">
        <v>4044</v>
      </c>
    </row>
    <row r="829" customFormat="false" ht="12.8" hidden="false" customHeight="false" outlineLevel="0" collapsed="false">
      <c r="A829" s="0" t="n">
        <v>3</v>
      </c>
      <c r="B829" s="0" t="n">
        <v>12</v>
      </c>
      <c r="C829" s="0" t="n">
        <v>1571</v>
      </c>
      <c r="D829" s="0" t="s">
        <v>4037</v>
      </c>
      <c r="E829" s="0" t="s">
        <v>3970</v>
      </c>
      <c r="F829" s="0" t="s">
        <v>3927</v>
      </c>
    </row>
    <row r="830" customFormat="false" ht="12.8" hidden="false" customHeight="false" outlineLevel="0" collapsed="false">
      <c r="A830" s="0" t="n">
        <v>3</v>
      </c>
      <c r="B830" s="0" t="n">
        <v>12</v>
      </c>
      <c r="C830" s="0" t="n">
        <v>1634</v>
      </c>
      <c r="D830" s="0" t="s">
        <v>4037</v>
      </c>
      <c r="E830" s="0" t="s">
        <v>3970</v>
      </c>
      <c r="F830" s="0" t="s">
        <v>4055</v>
      </c>
    </row>
    <row r="831" customFormat="false" ht="12.8" hidden="false" customHeight="false" outlineLevel="0" collapsed="false">
      <c r="A831" s="0" t="n">
        <v>3</v>
      </c>
      <c r="B831" s="0" t="n">
        <v>12</v>
      </c>
      <c r="C831" s="0" t="n">
        <v>1665</v>
      </c>
      <c r="D831" s="0" t="s">
        <v>4037</v>
      </c>
      <c r="E831" s="0" t="s">
        <v>3970</v>
      </c>
      <c r="F831" s="0" t="s">
        <v>4056</v>
      </c>
    </row>
    <row r="832" customFormat="false" ht="12.8" hidden="false" customHeight="false" outlineLevel="0" collapsed="false">
      <c r="A832" s="0" t="n">
        <v>3</v>
      </c>
      <c r="B832" s="0" t="n">
        <v>12</v>
      </c>
      <c r="C832" s="0" t="n">
        <v>1668</v>
      </c>
      <c r="D832" s="0" t="s">
        <v>4037</v>
      </c>
      <c r="E832" s="0" t="s">
        <v>3970</v>
      </c>
      <c r="F832" s="0" t="s">
        <v>4041</v>
      </c>
    </row>
    <row r="833" customFormat="false" ht="12.8" hidden="false" customHeight="false" outlineLevel="0" collapsed="false">
      <c r="A833" s="0" t="n">
        <v>3</v>
      </c>
      <c r="B833" s="0" t="n">
        <v>12</v>
      </c>
      <c r="C833" s="0" t="n">
        <v>1669</v>
      </c>
      <c r="D833" s="0" t="s">
        <v>4037</v>
      </c>
      <c r="E833" s="0" t="s">
        <v>3970</v>
      </c>
      <c r="F833" s="0" t="s">
        <v>4052</v>
      </c>
    </row>
    <row r="834" customFormat="false" ht="12.8" hidden="false" customHeight="false" outlineLevel="0" collapsed="false">
      <c r="A834" s="0" t="n">
        <v>3</v>
      </c>
      <c r="B834" s="0" t="n">
        <v>12</v>
      </c>
      <c r="C834" s="0" t="n">
        <v>1673</v>
      </c>
      <c r="D834" s="0" t="s">
        <v>4037</v>
      </c>
      <c r="E834" s="0" t="s">
        <v>3970</v>
      </c>
      <c r="F834" s="0" t="s">
        <v>4053</v>
      </c>
    </row>
    <row r="835" customFormat="false" ht="12.8" hidden="false" customHeight="false" outlineLevel="0" collapsed="false">
      <c r="A835" s="0" t="n">
        <v>3</v>
      </c>
      <c r="B835" s="0" t="n">
        <v>12</v>
      </c>
      <c r="C835" s="0" t="n">
        <v>1676</v>
      </c>
      <c r="D835" s="0" t="s">
        <v>4037</v>
      </c>
      <c r="E835" s="0" t="s">
        <v>3970</v>
      </c>
      <c r="F835" s="0" t="s">
        <v>4058</v>
      </c>
    </row>
    <row r="836" customFormat="false" ht="12.8" hidden="false" customHeight="false" outlineLevel="0" collapsed="false">
      <c r="A836" s="0" t="n">
        <v>3</v>
      </c>
      <c r="B836" s="0" t="n">
        <v>12</v>
      </c>
      <c r="C836" s="0" t="n">
        <v>1683</v>
      </c>
      <c r="D836" s="0" t="s">
        <v>4037</v>
      </c>
      <c r="E836" s="0" t="s">
        <v>3970</v>
      </c>
      <c r="F836" s="0" t="s">
        <v>4057</v>
      </c>
    </row>
    <row r="837" customFormat="false" ht="12.8" hidden="false" customHeight="false" outlineLevel="0" collapsed="false">
      <c r="A837" s="0" t="n">
        <v>3</v>
      </c>
      <c r="B837" s="0" t="n">
        <v>12</v>
      </c>
      <c r="C837" s="0" t="n">
        <v>1684</v>
      </c>
      <c r="D837" s="0" t="s">
        <v>4037</v>
      </c>
      <c r="E837" s="0" t="s">
        <v>3970</v>
      </c>
      <c r="F837" s="0" t="s">
        <v>4043</v>
      </c>
    </row>
    <row r="838" customFormat="false" ht="12.8" hidden="false" customHeight="false" outlineLevel="0" collapsed="false">
      <c r="A838" s="0" t="n">
        <v>3</v>
      </c>
      <c r="B838" s="0" t="n">
        <v>12</v>
      </c>
      <c r="C838" s="0" t="n">
        <v>1685</v>
      </c>
      <c r="D838" s="0" t="s">
        <v>4037</v>
      </c>
      <c r="E838" s="0" t="s">
        <v>3970</v>
      </c>
      <c r="F838" s="0" t="s">
        <v>4062</v>
      </c>
    </row>
    <row r="839" customFormat="false" ht="12.8" hidden="false" customHeight="false" outlineLevel="0" collapsed="false">
      <c r="A839" s="0" t="n">
        <v>3</v>
      </c>
      <c r="B839" s="0" t="n">
        <v>12</v>
      </c>
      <c r="C839" s="0" t="n">
        <v>1707</v>
      </c>
      <c r="D839" s="0" t="s">
        <v>4037</v>
      </c>
      <c r="E839" s="0" t="s">
        <v>3970</v>
      </c>
      <c r="F839" s="0" t="s">
        <v>4065</v>
      </c>
    </row>
    <row r="840" customFormat="false" ht="12.8" hidden="false" customHeight="false" outlineLevel="0" collapsed="false">
      <c r="A840" s="0" t="n">
        <v>3</v>
      </c>
      <c r="B840" s="0" t="n">
        <v>12</v>
      </c>
      <c r="C840" s="0" t="n">
        <v>1711</v>
      </c>
      <c r="D840" s="0" t="s">
        <v>4037</v>
      </c>
      <c r="E840" s="0" t="s">
        <v>3970</v>
      </c>
      <c r="F840" s="0" t="s">
        <v>4066</v>
      </c>
    </row>
    <row r="841" customFormat="false" ht="12.8" hidden="false" customHeight="false" outlineLevel="0" collapsed="false">
      <c r="A841" s="0" t="n">
        <v>3</v>
      </c>
      <c r="B841" s="0" t="n">
        <v>12</v>
      </c>
      <c r="C841" s="0" t="n">
        <v>1712</v>
      </c>
      <c r="D841" s="0" t="s">
        <v>4037</v>
      </c>
      <c r="E841" s="0" t="s">
        <v>3970</v>
      </c>
      <c r="F841" s="0" t="s">
        <v>4066</v>
      </c>
    </row>
    <row r="842" customFormat="false" ht="12.8" hidden="false" customHeight="false" outlineLevel="0" collapsed="false">
      <c r="A842" s="0" t="n">
        <v>3</v>
      </c>
      <c r="B842" s="0" t="n">
        <v>12</v>
      </c>
      <c r="C842" s="0" t="n">
        <v>1713</v>
      </c>
      <c r="D842" s="0" t="s">
        <v>4037</v>
      </c>
      <c r="E842" s="0" t="s">
        <v>3970</v>
      </c>
      <c r="F842" s="0" t="s">
        <v>4066</v>
      </c>
    </row>
    <row r="843" customFormat="false" ht="12.8" hidden="false" customHeight="false" outlineLevel="0" collapsed="false">
      <c r="A843" s="0" t="n">
        <v>3</v>
      </c>
      <c r="B843" s="0" t="n">
        <v>12</v>
      </c>
      <c r="C843" s="0" t="n">
        <v>1714</v>
      </c>
      <c r="D843" s="0" t="s">
        <v>4037</v>
      </c>
      <c r="E843" s="0" t="s">
        <v>3970</v>
      </c>
      <c r="F843" s="0" t="s">
        <v>4066</v>
      </c>
    </row>
    <row r="844" customFormat="false" ht="12.8" hidden="false" customHeight="false" outlineLevel="0" collapsed="false">
      <c r="A844" s="0" t="n">
        <v>3</v>
      </c>
      <c r="B844" s="0" t="n">
        <v>12</v>
      </c>
      <c r="C844" s="0" t="n">
        <v>1715</v>
      </c>
      <c r="D844" s="0" t="s">
        <v>4037</v>
      </c>
      <c r="E844" s="0" t="s">
        <v>3970</v>
      </c>
      <c r="F844" s="0" t="s">
        <v>4066</v>
      </c>
    </row>
    <row r="845" customFormat="false" ht="12.8" hidden="false" customHeight="false" outlineLevel="0" collapsed="false">
      <c r="A845" s="0" t="n">
        <v>3</v>
      </c>
      <c r="B845" s="0" t="n">
        <v>12</v>
      </c>
      <c r="C845" s="0" t="n">
        <v>1716</v>
      </c>
      <c r="D845" s="0" t="s">
        <v>4037</v>
      </c>
      <c r="E845" s="0" t="s">
        <v>3970</v>
      </c>
      <c r="F845" s="0" t="s">
        <v>4066</v>
      </c>
    </row>
    <row r="846" customFormat="false" ht="12.8" hidden="false" customHeight="false" outlineLevel="0" collapsed="false">
      <c r="A846" s="0" t="n">
        <v>3</v>
      </c>
      <c r="B846" s="0" t="n">
        <v>12</v>
      </c>
      <c r="C846" s="0" t="n">
        <v>1717</v>
      </c>
      <c r="D846" s="0" t="s">
        <v>4037</v>
      </c>
      <c r="E846" s="0" t="s">
        <v>3970</v>
      </c>
      <c r="F846" s="0" t="s">
        <v>4066</v>
      </c>
    </row>
    <row r="847" customFormat="false" ht="12.8" hidden="false" customHeight="false" outlineLevel="0" collapsed="false">
      <c r="A847" s="0" t="n">
        <v>3</v>
      </c>
      <c r="B847" s="0" t="n">
        <v>12</v>
      </c>
      <c r="C847" s="0" t="n">
        <v>1718</v>
      </c>
      <c r="D847" s="0" t="s">
        <v>4037</v>
      </c>
      <c r="E847" s="0" t="s">
        <v>3970</v>
      </c>
      <c r="F847" s="0" t="s">
        <v>4066</v>
      </c>
    </row>
    <row r="848" customFormat="false" ht="12.8" hidden="false" customHeight="false" outlineLevel="0" collapsed="false">
      <c r="A848" s="0" t="n">
        <v>3</v>
      </c>
      <c r="B848" s="0" t="n">
        <v>12</v>
      </c>
      <c r="C848" s="0" t="n">
        <v>1719</v>
      </c>
      <c r="D848" s="0" t="s">
        <v>4037</v>
      </c>
      <c r="E848" s="0" t="s">
        <v>3970</v>
      </c>
      <c r="F848" s="0" t="s">
        <v>4066</v>
      </c>
    </row>
    <row r="849" customFormat="false" ht="12.8" hidden="false" customHeight="false" outlineLevel="0" collapsed="false">
      <c r="A849" s="0" t="n">
        <v>3</v>
      </c>
      <c r="B849" s="0" t="n">
        <v>12</v>
      </c>
      <c r="C849" s="0" t="n">
        <v>1720</v>
      </c>
      <c r="D849" s="0" t="s">
        <v>4037</v>
      </c>
      <c r="E849" s="0" t="s">
        <v>3970</v>
      </c>
      <c r="F849" s="0" t="s">
        <v>4066</v>
      </c>
    </row>
    <row r="850" customFormat="false" ht="12.8" hidden="false" customHeight="false" outlineLevel="0" collapsed="false">
      <c r="A850" s="0" t="n">
        <v>3</v>
      </c>
      <c r="B850" s="0" t="n">
        <v>12</v>
      </c>
      <c r="C850" s="0" t="n">
        <v>1721</v>
      </c>
      <c r="D850" s="0" t="s">
        <v>4037</v>
      </c>
      <c r="E850" s="0" t="s">
        <v>3970</v>
      </c>
      <c r="F850" s="0" t="s">
        <v>4066</v>
      </c>
    </row>
    <row r="851" customFormat="false" ht="12.8" hidden="false" customHeight="false" outlineLevel="0" collapsed="false">
      <c r="A851" s="0" t="n">
        <v>3</v>
      </c>
      <c r="B851" s="0" t="n">
        <v>12</v>
      </c>
      <c r="C851" s="0" t="n">
        <v>1722</v>
      </c>
      <c r="D851" s="0" t="s">
        <v>4037</v>
      </c>
      <c r="E851" s="0" t="s">
        <v>3970</v>
      </c>
      <c r="F851" s="0" t="s">
        <v>4066</v>
      </c>
    </row>
    <row r="852" customFormat="false" ht="12.8" hidden="false" customHeight="false" outlineLevel="0" collapsed="false">
      <c r="A852" s="0" t="n">
        <v>3</v>
      </c>
      <c r="B852" s="0" t="n">
        <v>12</v>
      </c>
      <c r="C852" s="0" t="n">
        <v>1723</v>
      </c>
      <c r="D852" s="0" t="s">
        <v>4037</v>
      </c>
      <c r="E852" s="0" t="s">
        <v>3970</v>
      </c>
      <c r="F852" s="0" t="s">
        <v>4066</v>
      </c>
    </row>
    <row r="853" customFormat="false" ht="12.8" hidden="false" customHeight="false" outlineLevel="0" collapsed="false">
      <c r="A853" s="0" t="n">
        <v>3</v>
      </c>
      <c r="B853" s="0" t="n">
        <v>12</v>
      </c>
      <c r="C853" s="0" t="n">
        <v>1774</v>
      </c>
      <c r="D853" s="0" t="s">
        <v>4037</v>
      </c>
      <c r="E853" s="0" t="s">
        <v>3970</v>
      </c>
      <c r="F853" s="0" t="s">
        <v>4067</v>
      </c>
    </row>
    <row r="854" customFormat="false" ht="12.8" hidden="false" customHeight="false" outlineLevel="0" collapsed="false">
      <c r="A854" s="0" t="n">
        <v>3</v>
      </c>
      <c r="B854" s="0" t="n">
        <v>12</v>
      </c>
      <c r="C854" s="0" t="n">
        <v>1792</v>
      </c>
      <c r="D854" s="0" t="s">
        <v>4037</v>
      </c>
      <c r="E854" s="0" t="s">
        <v>3970</v>
      </c>
      <c r="F854" s="0" t="s">
        <v>4068</v>
      </c>
    </row>
    <row r="855" customFormat="false" ht="12.8" hidden="false" customHeight="false" outlineLevel="0" collapsed="false">
      <c r="A855" s="0" t="n">
        <v>3</v>
      </c>
      <c r="B855" s="0" t="n">
        <v>12</v>
      </c>
      <c r="C855" s="0" t="n">
        <v>1793</v>
      </c>
      <c r="D855" s="0" t="s">
        <v>4037</v>
      </c>
      <c r="E855" s="0" t="s">
        <v>3970</v>
      </c>
      <c r="F855" s="0" t="s">
        <v>4068</v>
      </c>
    </row>
    <row r="856" customFormat="false" ht="12.8" hidden="false" customHeight="false" outlineLevel="0" collapsed="false">
      <c r="A856" s="0" t="n">
        <v>3</v>
      </c>
      <c r="B856" s="0" t="n">
        <v>12</v>
      </c>
      <c r="C856" s="0" t="n">
        <v>1794</v>
      </c>
      <c r="D856" s="0" t="s">
        <v>4037</v>
      </c>
      <c r="E856" s="0" t="s">
        <v>3970</v>
      </c>
      <c r="F856" s="0" t="s">
        <v>4068</v>
      </c>
    </row>
    <row r="857" customFormat="false" ht="12.8" hidden="false" customHeight="false" outlineLevel="0" collapsed="false">
      <c r="A857" s="0" t="n">
        <v>3</v>
      </c>
      <c r="B857" s="0" t="n">
        <v>12</v>
      </c>
      <c r="C857" s="0" t="n">
        <v>1809</v>
      </c>
      <c r="D857" s="0" t="s">
        <v>4037</v>
      </c>
      <c r="E857" s="0" t="s">
        <v>3970</v>
      </c>
      <c r="F857" s="0" t="s">
        <v>4069</v>
      </c>
    </row>
    <row r="858" customFormat="false" ht="12.8" hidden="false" customHeight="false" outlineLevel="0" collapsed="false">
      <c r="A858" s="0" t="n">
        <v>3</v>
      </c>
      <c r="B858" s="0" t="n">
        <v>12</v>
      </c>
      <c r="C858" s="0" t="n">
        <v>1810</v>
      </c>
      <c r="D858" s="0" t="s">
        <v>4037</v>
      </c>
      <c r="E858" s="0" t="s">
        <v>3970</v>
      </c>
      <c r="F858" s="0" t="s">
        <v>4069</v>
      </c>
    </row>
    <row r="859" customFormat="false" ht="12.8" hidden="false" customHeight="false" outlineLevel="0" collapsed="false">
      <c r="A859" s="0" t="n">
        <v>3</v>
      </c>
      <c r="B859" s="0" t="n">
        <v>12</v>
      </c>
      <c r="C859" s="0" t="n">
        <v>1811</v>
      </c>
      <c r="D859" s="0" t="s">
        <v>4037</v>
      </c>
      <c r="E859" s="0" t="s">
        <v>3970</v>
      </c>
      <c r="F859" s="0" t="s">
        <v>4069</v>
      </c>
    </row>
    <row r="860" customFormat="false" ht="12.8" hidden="false" customHeight="false" outlineLevel="0" collapsed="false">
      <c r="A860" s="0" t="n">
        <v>3</v>
      </c>
      <c r="B860" s="0" t="n">
        <v>12</v>
      </c>
      <c r="C860" s="0" t="n">
        <v>1850</v>
      </c>
      <c r="D860" s="0" t="s">
        <v>4037</v>
      </c>
      <c r="E860" s="0" t="s">
        <v>3970</v>
      </c>
      <c r="F860" s="0" t="s">
        <v>4070</v>
      </c>
    </row>
    <row r="861" customFormat="false" ht="12.8" hidden="false" customHeight="false" outlineLevel="0" collapsed="false">
      <c r="A861" s="0" t="n">
        <v>3</v>
      </c>
      <c r="B861" s="0" t="n">
        <v>12</v>
      </c>
      <c r="C861" s="0" t="n">
        <v>1851</v>
      </c>
      <c r="D861" s="0" t="s">
        <v>4037</v>
      </c>
      <c r="E861" s="0" t="s">
        <v>3970</v>
      </c>
      <c r="F861" s="0" t="s">
        <v>4070</v>
      </c>
    </row>
    <row r="862" customFormat="false" ht="12.8" hidden="false" customHeight="false" outlineLevel="0" collapsed="false">
      <c r="A862" s="0" t="n">
        <v>3</v>
      </c>
      <c r="B862" s="0" t="n">
        <v>12</v>
      </c>
      <c r="C862" s="0" t="n">
        <v>1852</v>
      </c>
      <c r="D862" s="0" t="s">
        <v>4037</v>
      </c>
      <c r="E862" s="0" t="s">
        <v>3970</v>
      </c>
      <c r="F862" s="0" t="s">
        <v>4070</v>
      </c>
    </row>
    <row r="863" customFormat="false" ht="12.8" hidden="false" customHeight="false" outlineLevel="0" collapsed="false">
      <c r="A863" s="0" t="n">
        <v>3</v>
      </c>
      <c r="B863" s="0" t="n">
        <v>12</v>
      </c>
      <c r="C863" s="0" t="n">
        <v>1853</v>
      </c>
      <c r="D863" s="0" t="s">
        <v>4037</v>
      </c>
      <c r="E863" s="0" t="s">
        <v>3970</v>
      </c>
      <c r="F863" s="0" t="s">
        <v>4070</v>
      </c>
    </row>
    <row r="864" customFormat="false" ht="12.8" hidden="false" customHeight="false" outlineLevel="0" collapsed="false">
      <c r="A864" s="0" t="n">
        <v>3</v>
      </c>
      <c r="B864" s="0" t="n">
        <v>12</v>
      </c>
      <c r="C864" s="0" t="n">
        <v>1854</v>
      </c>
      <c r="D864" s="0" t="s">
        <v>4037</v>
      </c>
      <c r="E864" s="0" t="s">
        <v>3970</v>
      </c>
      <c r="F864" s="0" t="s">
        <v>4070</v>
      </c>
    </row>
    <row r="865" customFormat="false" ht="12.8" hidden="false" customHeight="false" outlineLevel="0" collapsed="false">
      <c r="A865" s="0" t="n">
        <v>3</v>
      </c>
      <c r="B865" s="0" t="n">
        <v>12</v>
      </c>
      <c r="C865" s="0" t="n">
        <v>1855</v>
      </c>
      <c r="D865" s="0" t="s">
        <v>4037</v>
      </c>
      <c r="E865" s="0" t="s">
        <v>3970</v>
      </c>
      <c r="F865" s="0" t="s">
        <v>4070</v>
      </c>
    </row>
    <row r="866" customFormat="false" ht="12.8" hidden="false" customHeight="false" outlineLevel="0" collapsed="false">
      <c r="A866" s="0" t="n">
        <v>3</v>
      </c>
      <c r="B866" s="0" t="n">
        <v>12</v>
      </c>
      <c r="C866" s="0" t="n">
        <v>1856</v>
      </c>
      <c r="D866" s="0" t="s">
        <v>4037</v>
      </c>
      <c r="E866" s="0" t="s">
        <v>3970</v>
      </c>
      <c r="F866" s="0" t="s">
        <v>4070</v>
      </c>
    </row>
    <row r="867" customFormat="false" ht="12.8" hidden="false" customHeight="false" outlineLevel="0" collapsed="false">
      <c r="A867" s="0" t="n">
        <v>3</v>
      </c>
      <c r="B867" s="0" t="n">
        <v>12</v>
      </c>
      <c r="C867" s="0" t="n">
        <v>1857</v>
      </c>
      <c r="D867" s="0" t="s">
        <v>4037</v>
      </c>
      <c r="E867" s="0" t="s">
        <v>3970</v>
      </c>
      <c r="F867" s="0" t="s">
        <v>4070</v>
      </c>
    </row>
    <row r="868" customFormat="false" ht="12.8" hidden="false" customHeight="false" outlineLevel="0" collapsed="false">
      <c r="A868" s="0" t="n">
        <v>3</v>
      </c>
      <c r="B868" s="0" t="n">
        <v>12</v>
      </c>
      <c r="C868" s="0" t="n">
        <v>1858</v>
      </c>
      <c r="D868" s="0" t="s">
        <v>4037</v>
      </c>
      <c r="E868" s="0" t="s">
        <v>3970</v>
      </c>
      <c r="F868" s="0" t="s">
        <v>4070</v>
      </c>
    </row>
    <row r="869" customFormat="false" ht="12.8" hidden="false" customHeight="false" outlineLevel="0" collapsed="false">
      <c r="A869" s="0" t="n">
        <v>3</v>
      </c>
      <c r="B869" s="0" t="n">
        <v>12</v>
      </c>
      <c r="C869" s="0" t="n">
        <v>1859</v>
      </c>
      <c r="D869" s="0" t="s">
        <v>4037</v>
      </c>
      <c r="E869" s="0" t="s">
        <v>3970</v>
      </c>
      <c r="F869" s="0" t="s">
        <v>4070</v>
      </c>
    </row>
    <row r="870" customFormat="false" ht="12.8" hidden="false" customHeight="false" outlineLevel="0" collapsed="false">
      <c r="A870" s="0" t="n">
        <v>3</v>
      </c>
      <c r="B870" s="0" t="n">
        <v>12</v>
      </c>
      <c r="C870" s="0" t="n">
        <v>1860</v>
      </c>
      <c r="D870" s="0" t="s">
        <v>4037</v>
      </c>
      <c r="E870" s="0" t="s">
        <v>3970</v>
      </c>
      <c r="F870" s="0" t="s">
        <v>4071</v>
      </c>
    </row>
    <row r="871" customFormat="false" ht="12.8" hidden="false" customHeight="false" outlineLevel="0" collapsed="false">
      <c r="A871" s="0" t="n">
        <v>3</v>
      </c>
      <c r="B871" s="0" t="n">
        <v>12</v>
      </c>
      <c r="C871" s="0" t="n">
        <v>1861</v>
      </c>
      <c r="D871" s="0" t="s">
        <v>4037</v>
      </c>
      <c r="E871" s="0" t="s">
        <v>3970</v>
      </c>
      <c r="F871" s="0" t="s">
        <v>4071</v>
      </c>
    </row>
    <row r="872" customFormat="false" ht="12.8" hidden="false" customHeight="false" outlineLevel="0" collapsed="false">
      <c r="A872" s="0" t="n">
        <v>3</v>
      </c>
      <c r="B872" s="0" t="n">
        <v>12</v>
      </c>
      <c r="C872" s="0" t="n">
        <v>1862</v>
      </c>
      <c r="D872" s="0" t="s">
        <v>4037</v>
      </c>
      <c r="E872" s="0" t="s">
        <v>3970</v>
      </c>
      <c r="F872" s="0" t="s">
        <v>4071</v>
      </c>
    </row>
    <row r="873" customFormat="false" ht="12.8" hidden="false" customHeight="false" outlineLevel="0" collapsed="false">
      <c r="A873" s="0" t="n">
        <v>3</v>
      </c>
      <c r="B873" s="0" t="n">
        <v>12</v>
      </c>
      <c r="C873" s="0" t="n">
        <v>1863</v>
      </c>
      <c r="D873" s="0" t="s">
        <v>4037</v>
      </c>
      <c r="E873" s="0" t="s">
        <v>3970</v>
      </c>
      <c r="F873" s="0" t="s">
        <v>4071</v>
      </c>
    </row>
    <row r="874" customFormat="false" ht="12.8" hidden="false" customHeight="false" outlineLevel="0" collapsed="false">
      <c r="A874" s="0" t="n">
        <v>3</v>
      </c>
      <c r="B874" s="0" t="n">
        <v>12</v>
      </c>
      <c r="C874" s="0" t="n">
        <v>1865</v>
      </c>
      <c r="D874" s="0" t="s">
        <v>4037</v>
      </c>
      <c r="E874" s="0" t="s">
        <v>3970</v>
      </c>
      <c r="F874" s="0" t="s">
        <v>4072</v>
      </c>
    </row>
    <row r="875" customFormat="false" ht="12.8" hidden="false" customHeight="false" outlineLevel="0" collapsed="false">
      <c r="A875" s="0" t="n">
        <v>3</v>
      </c>
      <c r="B875" s="0" t="n">
        <v>12</v>
      </c>
      <c r="C875" s="0" t="n">
        <v>1866</v>
      </c>
      <c r="D875" s="0" t="s">
        <v>4037</v>
      </c>
      <c r="E875" s="0" t="s">
        <v>3970</v>
      </c>
      <c r="F875" s="0" t="s">
        <v>4072</v>
      </c>
    </row>
    <row r="876" customFormat="false" ht="12.8" hidden="false" customHeight="false" outlineLevel="0" collapsed="false">
      <c r="A876" s="0" t="n">
        <v>3</v>
      </c>
      <c r="B876" s="0" t="n">
        <v>12</v>
      </c>
      <c r="C876" s="0" t="n">
        <v>1867</v>
      </c>
      <c r="D876" s="0" t="s">
        <v>4037</v>
      </c>
      <c r="E876" s="0" t="s">
        <v>3970</v>
      </c>
      <c r="F876" s="0" t="s">
        <v>4072</v>
      </c>
    </row>
    <row r="877" customFormat="false" ht="12.8" hidden="false" customHeight="false" outlineLevel="0" collapsed="false">
      <c r="A877" s="0" t="n">
        <v>3</v>
      </c>
      <c r="B877" s="0" t="n">
        <v>12</v>
      </c>
      <c r="C877" s="0" t="n">
        <v>1868</v>
      </c>
      <c r="D877" s="0" t="s">
        <v>4037</v>
      </c>
      <c r="E877" s="0" t="s">
        <v>3970</v>
      </c>
      <c r="F877" s="0" t="s">
        <v>4072</v>
      </c>
    </row>
    <row r="878" customFormat="false" ht="12.8" hidden="false" customHeight="false" outlineLevel="0" collapsed="false">
      <c r="A878" s="0" t="n">
        <v>3</v>
      </c>
      <c r="B878" s="0" t="n">
        <v>12</v>
      </c>
      <c r="C878" s="0" t="n">
        <v>1869</v>
      </c>
      <c r="D878" s="0" t="s">
        <v>4037</v>
      </c>
      <c r="E878" s="0" t="s">
        <v>3970</v>
      </c>
      <c r="F878" s="0" t="s">
        <v>4072</v>
      </c>
    </row>
    <row r="879" customFormat="false" ht="12.8" hidden="false" customHeight="false" outlineLevel="0" collapsed="false">
      <c r="A879" s="0" t="n">
        <v>3</v>
      </c>
      <c r="B879" s="0" t="n">
        <v>12</v>
      </c>
      <c r="C879" s="0" t="n">
        <v>1870</v>
      </c>
      <c r="D879" s="0" t="s">
        <v>4037</v>
      </c>
      <c r="E879" s="0" t="s">
        <v>3970</v>
      </c>
      <c r="F879" s="0" t="s">
        <v>4072</v>
      </c>
    </row>
    <row r="880" customFormat="false" ht="12.8" hidden="false" customHeight="false" outlineLevel="0" collapsed="false">
      <c r="A880" s="0" t="n">
        <v>3</v>
      </c>
      <c r="B880" s="0" t="n">
        <v>12</v>
      </c>
      <c r="C880" s="0" t="n">
        <v>1871</v>
      </c>
      <c r="D880" s="0" t="s">
        <v>4037</v>
      </c>
      <c r="E880" s="0" t="s">
        <v>3970</v>
      </c>
      <c r="F880" s="0" t="s">
        <v>4072</v>
      </c>
    </row>
    <row r="881" customFormat="false" ht="12.8" hidden="false" customHeight="false" outlineLevel="0" collapsed="false">
      <c r="A881" s="0" t="n">
        <v>3</v>
      </c>
      <c r="B881" s="0" t="n">
        <v>12</v>
      </c>
      <c r="C881" s="0" t="n">
        <v>1872</v>
      </c>
      <c r="D881" s="0" t="s">
        <v>4037</v>
      </c>
      <c r="E881" s="0" t="s">
        <v>3970</v>
      </c>
      <c r="F881" s="0" t="s">
        <v>4072</v>
      </c>
    </row>
    <row r="882" customFormat="false" ht="12.8" hidden="false" customHeight="false" outlineLevel="0" collapsed="false">
      <c r="A882" s="0" t="n">
        <v>3</v>
      </c>
      <c r="B882" s="0" t="n">
        <v>12</v>
      </c>
      <c r="C882" s="0" t="n">
        <v>1873</v>
      </c>
      <c r="D882" s="0" t="s">
        <v>4037</v>
      </c>
      <c r="E882" s="0" t="s">
        <v>3970</v>
      </c>
      <c r="F882" s="0" t="s">
        <v>4072</v>
      </c>
    </row>
    <row r="883" customFormat="false" ht="12.8" hidden="false" customHeight="false" outlineLevel="0" collapsed="false">
      <c r="A883" s="0" t="n">
        <v>3</v>
      </c>
      <c r="B883" s="0" t="n">
        <v>12</v>
      </c>
      <c r="C883" s="0" t="n">
        <v>1874</v>
      </c>
      <c r="D883" s="0" t="s">
        <v>4037</v>
      </c>
      <c r="E883" s="0" t="s">
        <v>3970</v>
      </c>
      <c r="F883" s="0" t="s">
        <v>4072</v>
      </c>
    </row>
    <row r="884" customFormat="false" ht="12.8" hidden="false" customHeight="false" outlineLevel="0" collapsed="false">
      <c r="A884" s="0" t="n">
        <v>3</v>
      </c>
      <c r="B884" s="0" t="n">
        <v>12</v>
      </c>
      <c r="C884" s="0" t="n">
        <v>1875</v>
      </c>
      <c r="D884" s="0" t="s">
        <v>4037</v>
      </c>
      <c r="E884" s="0" t="s">
        <v>3970</v>
      </c>
      <c r="F884" s="0" t="s">
        <v>4072</v>
      </c>
    </row>
    <row r="885" customFormat="false" ht="12.8" hidden="false" customHeight="false" outlineLevel="0" collapsed="false">
      <c r="A885" s="0" t="n">
        <v>3</v>
      </c>
      <c r="B885" s="0" t="n">
        <v>12</v>
      </c>
      <c r="C885" s="0" t="n">
        <v>1882</v>
      </c>
      <c r="D885" s="0" t="s">
        <v>4037</v>
      </c>
      <c r="E885" s="0" t="s">
        <v>3970</v>
      </c>
      <c r="F885" s="0" t="s">
        <v>4036</v>
      </c>
    </row>
    <row r="886" customFormat="false" ht="12.8" hidden="false" customHeight="false" outlineLevel="0" collapsed="false">
      <c r="A886" s="0" t="n">
        <v>3</v>
      </c>
      <c r="B886" s="0" t="n">
        <v>12</v>
      </c>
      <c r="C886" s="0" t="n">
        <v>1883</v>
      </c>
      <c r="D886" s="0" t="s">
        <v>4037</v>
      </c>
      <c r="E886" s="0" t="s">
        <v>3970</v>
      </c>
      <c r="F886" s="0" t="s">
        <v>4040</v>
      </c>
    </row>
    <row r="887" customFormat="false" ht="12.8" hidden="false" customHeight="false" outlineLevel="0" collapsed="false">
      <c r="A887" s="0" t="n">
        <v>3</v>
      </c>
      <c r="B887" s="0" t="n">
        <v>12</v>
      </c>
      <c r="C887" s="0" t="n">
        <v>1931</v>
      </c>
      <c r="D887" s="0" t="s">
        <v>4037</v>
      </c>
      <c r="E887" s="0" t="s">
        <v>3970</v>
      </c>
      <c r="F887" s="0" t="s">
        <v>4067</v>
      </c>
    </row>
    <row r="888" customFormat="false" ht="12.8" hidden="false" customHeight="false" outlineLevel="0" collapsed="false">
      <c r="A888" s="0" t="n">
        <v>3</v>
      </c>
      <c r="B888" s="0" t="n">
        <v>12</v>
      </c>
      <c r="C888" s="0" t="n">
        <v>1945</v>
      </c>
      <c r="D888" s="0" t="s">
        <v>4037</v>
      </c>
      <c r="E888" s="0" t="s">
        <v>3970</v>
      </c>
      <c r="F888" s="0" t="s">
        <v>4063</v>
      </c>
    </row>
    <row r="889" customFormat="false" ht="12.8" hidden="false" customHeight="false" outlineLevel="0" collapsed="false">
      <c r="A889" s="0" t="n">
        <v>3</v>
      </c>
      <c r="B889" s="0" t="n">
        <v>12</v>
      </c>
      <c r="C889" s="0" t="n">
        <v>1978</v>
      </c>
      <c r="D889" s="0" t="s">
        <v>4037</v>
      </c>
      <c r="E889" s="0" t="s">
        <v>3970</v>
      </c>
      <c r="F889" s="0" t="s">
        <v>4041</v>
      </c>
    </row>
    <row r="890" customFormat="false" ht="12.8" hidden="false" customHeight="false" outlineLevel="0" collapsed="false">
      <c r="A890" s="0" t="n">
        <v>3</v>
      </c>
      <c r="B890" s="0" t="n">
        <v>12</v>
      </c>
      <c r="C890" s="0" t="n">
        <v>1979</v>
      </c>
      <c r="D890" s="0" t="s">
        <v>4037</v>
      </c>
      <c r="E890" s="0" t="s">
        <v>3970</v>
      </c>
      <c r="F890" s="0" t="s">
        <v>4052</v>
      </c>
    </row>
    <row r="891" customFormat="false" ht="12.8" hidden="false" customHeight="false" outlineLevel="0" collapsed="false">
      <c r="A891" s="0" t="n">
        <v>3</v>
      </c>
      <c r="B891" s="0" t="n">
        <v>12</v>
      </c>
      <c r="C891" s="0" t="n">
        <v>1991</v>
      </c>
      <c r="D891" s="0" t="s">
        <v>4037</v>
      </c>
      <c r="E891" s="0" t="s">
        <v>3970</v>
      </c>
      <c r="F891" s="0" t="s">
        <v>4043</v>
      </c>
    </row>
    <row r="892" customFormat="false" ht="12.8" hidden="false" customHeight="false" outlineLevel="0" collapsed="false">
      <c r="A892" s="0" t="n">
        <v>3</v>
      </c>
      <c r="B892" s="0" t="n">
        <v>12</v>
      </c>
      <c r="C892" s="0" t="n">
        <v>1992</v>
      </c>
      <c r="D892" s="0" t="s">
        <v>4037</v>
      </c>
      <c r="E892" s="0" t="s">
        <v>3970</v>
      </c>
      <c r="F892" s="0" t="s">
        <v>4062</v>
      </c>
    </row>
    <row r="893" customFormat="false" ht="12.8" hidden="false" customHeight="false" outlineLevel="0" collapsed="false">
      <c r="A893" s="0" t="n">
        <v>3</v>
      </c>
      <c r="B893" s="0" t="n">
        <v>12</v>
      </c>
      <c r="C893" s="0" t="n">
        <v>1998</v>
      </c>
      <c r="D893" s="0" t="s">
        <v>4037</v>
      </c>
      <c r="E893" s="0" t="s">
        <v>3970</v>
      </c>
      <c r="F893" s="0" t="s">
        <v>4058</v>
      </c>
    </row>
    <row r="894" customFormat="false" ht="12.8" hidden="false" customHeight="false" outlineLevel="0" collapsed="false">
      <c r="A894" s="0" t="n">
        <v>3</v>
      </c>
      <c r="B894" s="0" t="n">
        <v>12</v>
      </c>
      <c r="C894" s="0" t="n">
        <v>1999</v>
      </c>
      <c r="D894" s="0" t="s">
        <v>4037</v>
      </c>
      <c r="E894" s="0" t="s">
        <v>3970</v>
      </c>
      <c r="F894" s="0" t="s">
        <v>4057</v>
      </c>
    </row>
    <row r="895" customFormat="false" ht="12.8" hidden="false" customHeight="false" outlineLevel="0" collapsed="false">
      <c r="A895" s="0" t="n">
        <v>3</v>
      </c>
      <c r="B895" s="0" t="n">
        <v>12</v>
      </c>
      <c r="C895" s="0" t="n">
        <v>2005</v>
      </c>
      <c r="D895" s="0" t="s">
        <v>4037</v>
      </c>
      <c r="E895" s="0" t="s">
        <v>3970</v>
      </c>
      <c r="F895" s="0" t="s">
        <v>4070</v>
      </c>
    </row>
    <row r="896" customFormat="false" ht="12.8" hidden="false" customHeight="false" outlineLevel="0" collapsed="false">
      <c r="A896" s="0" t="n">
        <v>3</v>
      </c>
      <c r="B896" s="0" t="n">
        <v>12</v>
      </c>
      <c r="C896" s="0" t="n">
        <v>2006</v>
      </c>
      <c r="D896" s="0" t="s">
        <v>4037</v>
      </c>
      <c r="E896" s="0" t="s">
        <v>3970</v>
      </c>
      <c r="F896" s="0" t="s">
        <v>4071</v>
      </c>
    </row>
    <row r="897" customFormat="false" ht="12.8" hidden="false" customHeight="false" outlineLevel="0" collapsed="false">
      <c r="A897" s="0" t="n">
        <v>3</v>
      </c>
      <c r="B897" s="0" t="n">
        <v>12</v>
      </c>
      <c r="C897" s="0" t="n">
        <v>2010</v>
      </c>
      <c r="D897" s="0" t="s">
        <v>4037</v>
      </c>
      <c r="E897" s="0" t="s">
        <v>3970</v>
      </c>
      <c r="F897" s="0" t="s">
        <v>4073</v>
      </c>
    </row>
    <row r="898" customFormat="false" ht="12.8" hidden="false" customHeight="false" outlineLevel="0" collapsed="false">
      <c r="A898" s="0" t="n">
        <v>3</v>
      </c>
      <c r="B898" s="0" t="n">
        <v>12</v>
      </c>
      <c r="C898" s="0" t="n">
        <v>2022</v>
      </c>
      <c r="D898" s="0" t="s">
        <v>4037</v>
      </c>
      <c r="E898" s="0" t="s">
        <v>3970</v>
      </c>
      <c r="F898" s="0" t="s">
        <v>4074</v>
      </c>
    </row>
    <row r="899" customFormat="false" ht="12.8" hidden="false" customHeight="false" outlineLevel="0" collapsed="false">
      <c r="A899" s="0" t="n">
        <v>3</v>
      </c>
      <c r="B899" s="0" t="n">
        <v>12</v>
      </c>
      <c r="C899" s="0" t="n">
        <v>2023</v>
      </c>
      <c r="D899" s="0" t="s">
        <v>4037</v>
      </c>
      <c r="E899" s="0" t="s">
        <v>3970</v>
      </c>
      <c r="F899" s="0" t="s">
        <v>4074</v>
      </c>
    </row>
    <row r="900" customFormat="false" ht="12.8" hidden="false" customHeight="false" outlineLevel="0" collapsed="false">
      <c r="A900" s="0" t="n">
        <v>3</v>
      </c>
      <c r="B900" s="0" t="n">
        <v>12</v>
      </c>
      <c r="C900" s="0" t="n">
        <v>2024</v>
      </c>
      <c r="D900" s="0" t="s">
        <v>4037</v>
      </c>
      <c r="E900" s="0" t="s">
        <v>3970</v>
      </c>
      <c r="F900" s="0" t="s">
        <v>4074</v>
      </c>
    </row>
    <row r="901" customFormat="false" ht="12.8" hidden="false" customHeight="false" outlineLevel="0" collapsed="false">
      <c r="A901" s="0" t="n">
        <v>3</v>
      </c>
      <c r="B901" s="0" t="n">
        <v>12</v>
      </c>
      <c r="C901" s="0" t="n">
        <v>2025</v>
      </c>
      <c r="D901" s="0" t="s">
        <v>4037</v>
      </c>
      <c r="E901" s="0" t="s">
        <v>3970</v>
      </c>
      <c r="F901" s="0" t="s">
        <v>4074</v>
      </c>
    </row>
    <row r="902" customFormat="false" ht="12.8" hidden="false" customHeight="false" outlineLevel="0" collapsed="false">
      <c r="A902" s="0" t="n">
        <v>3</v>
      </c>
      <c r="B902" s="0" t="n">
        <v>12</v>
      </c>
      <c r="C902" s="0" t="n">
        <v>2026</v>
      </c>
      <c r="D902" s="0" t="s">
        <v>4037</v>
      </c>
      <c r="E902" s="0" t="s">
        <v>3970</v>
      </c>
      <c r="F902" s="0" t="s">
        <v>4074</v>
      </c>
    </row>
    <row r="903" customFormat="false" ht="12.8" hidden="false" customHeight="false" outlineLevel="0" collapsed="false">
      <c r="A903" s="0" t="n">
        <v>3</v>
      </c>
      <c r="B903" s="0" t="n">
        <v>12</v>
      </c>
      <c r="C903" s="0" t="n">
        <v>2027</v>
      </c>
      <c r="D903" s="0" t="s">
        <v>4037</v>
      </c>
      <c r="E903" s="0" t="s">
        <v>3970</v>
      </c>
      <c r="F903" s="0" t="s">
        <v>4074</v>
      </c>
    </row>
    <row r="904" customFormat="false" ht="12.8" hidden="false" customHeight="false" outlineLevel="0" collapsed="false">
      <c r="A904" s="0" t="n">
        <v>3</v>
      </c>
      <c r="B904" s="0" t="n">
        <v>12</v>
      </c>
      <c r="C904" s="0" t="n">
        <v>2028</v>
      </c>
      <c r="D904" s="0" t="s">
        <v>4037</v>
      </c>
      <c r="E904" s="0" t="s">
        <v>3970</v>
      </c>
      <c r="F904" s="0" t="s">
        <v>4074</v>
      </c>
    </row>
    <row r="905" customFormat="false" ht="12.8" hidden="false" customHeight="false" outlineLevel="0" collapsed="false">
      <c r="A905" s="0" t="n">
        <v>3</v>
      </c>
      <c r="B905" s="0" t="n">
        <v>12</v>
      </c>
      <c r="C905" s="0" t="n">
        <v>2029</v>
      </c>
      <c r="D905" s="0" t="s">
        <v>4037</v>
      </c>
      <c r="E905" s="0" t="s">
        <v>3970</v>
      </c>
      <c r="F905" s="0" t="s">
        <v>4074</v>
      </c>
    </row>
    <row r="906" customFormat="false" ht="12.8" hidden="false" customHeight="false" outlineLevel="0" collapsed="false">
      <c r="A906" s="0" t="n">
        <v>3</v>
      </c>
      <c r="B906" s="0" t="n">
        <v>12</v>
      </c>
      <c r="C906" s="0" t="n">
        <v>2030</v>
      </c>
      <c r="D906" s="0" t="s">
        <v>4037</v>
      </c>
      <c r="E906" s="0" t="s">
        <v>3970</v>
      </c>
      <c r="F906" s="0" t="s">
        <v>4074</v>
      </c>
    </row>
    <row r="907" customFormat="false" ht="12.8" hidden="false" customHeight="false" outlineLevel="0" collapsed="false">
      <c r="A907" s="0" t="n">
        <v>3</v>
      </c>
      <c r="B907" s="0" t="n">
        <v>12</v>
      </c>
      <c r="C907" s="0" t="n">
        <v>2046</v>
      </c>
      <c r="D907" s="0" t="s">
        <v>4037</v>
      </c>
      <c r="E907" s="0" t="s">
        <v>3970</v>
      </c>
      <c r="F907" s="0" t="s">
        <v>4008</v>
      </c>
    </row>
    <row r="908" customFormat="false" ht="12.8" hidden="false" customHeight="false" outlineLevel="0" collapsed="false">
      <c r="A908" s="0" t="n">
        <v>3</v>
      </c>
      <c r="B908" s="0" t="n">
        <v>12</v>
      </c>
      <c r="C908" s="0" t="n">
        <v>2047</v>
      </c>
      <c r="D908" s="0" t="s">
        <v>4037</v>
      </c>
      <c r="E908" s="0" t="s">
        <v>3970</v>
      </c>
      <c r="F908" s="0" t="s">
        <v>4009</v>
      </c>
    </row>
    <row r="909" customFormat="false" ht="12.8" hidden="false" customHeight="false" outlineLevel="0" collapsed="false">
      <c r="A909" s="0" t="n">
        <v>3</v>
      </c>
      <c r="B909" s="0" t="n">
        <v>12</v>
      </c>
      <c r="C909" s="0" t="n">
        <v>2048</v>
      </c>
      <c r="D909" s="0" t="s">
        <v>4037</v>
      </c>
      <c r="E909" s="0" t="s">
        <v>3970</v>
      </c>
      <c r="F909" s="0" t="s">
        <v>4010</v>
      </c>
    </row>
    <row r="910" customFormat="false" ht="12.8" hidden="false" customHeight="false" outlineLevel="0" collapsed="false">
      <c r="A910" s="0" t="n">
        <v>3</v>
      </c>
      <c r="B910" s="0" t="n">
        <v>12</v>
      </c>
      <c r="C910" s="0" t="n">
        <v>2049</v>
      </c>
      <c r="D910" s="0" t="s">
        <v>4037</v>
      </c>
      <c r="E910" s="0" t="s">
        <v>3970</v>
      </c>
      <c r="F910" s="0" t="s">
        <v>4011</v>
      </c>
    </row>
    <row r="911" customFormat="false" ht="12.8" hidden="false" customHeight="false" outlineLevel="0" collapsed="false">
      <c r="A911" s="0" t="n">
        <v>3</v>
      </c>
      <c r="B911" s="0" t="n">
        <v>12</v>
      </c>
      <c r="C911" s="0" t="n">
        <v>2050</v>
      </c>
      <c r="D911" s="0" t="s">
        <v>4037</v>
      </c>
      <c r="E911" s="0" t="s">
        <v>3970</v>
      </c>
      <c r="F911" s="0" t="s">
        <v>4012</v>
      </c>
    </row>
    <row r="912" customFormat="false" ht="12.8" hidden="false" customHeight="false" outlineLevel="0" collapsed="false">
      <c r="A912" s="0" t="n">
        <v>3</v>
      </c>
      <c r="B912" s="0" t="n">
        <v>12</v>
      </c>
      <c r="C912" s="0" t="n">
        <v>2051</v>
      </c>
      <c r="D912" s="0" t="s">
        <v>4037</v>
      </c>
      <c r="E912" s="0" t="s">
        <v>3970</v>
      </c>
      <c r="F912" s="0" t="s">
        <v>4075</v>
      </c>
    </row>
    <row r="913" customFormat="false" ht="12.8" hidden="false" customHeight="false" outlineLevel="0" collapsed="false">
      <c r="A913" s="0" t="n">
        <v>3</v>
      </c>
      <c r="B913" s="0" t="n">
        <v>12</v>
      </c>
      <c r="C913" s="0" t="n">
        <v>2052</v>
      </c>
      <c r="D913" s="0" t="s">
        <v>4037</v>
      </c>
      <c r="E913" s="0" t="s">
        <v>3970</v>
      </c>
      <c r="F913" s="0" t="s">
        <v>4014</v>
      </c>
    </row>
    <row r="914" customFormat="false" ht="12.8" hidden="false" customHeight="false" outlineLevel="0" collapsed="false">
      <c r="A914" s="0" t="n">
        <v>3</v>
      </c>
      <c r="B914" s="0" t="n">
        <v>12</v>
      </c>
      <c r="C914" s="0" t="n">
        <v>2053</v>
      </c>
      <c r="D914" s="0" t="s">
        <v>4037</v>
      </c>
      <c r="E914" s="0" t="s">
        <v>3970</v>
      </c>
      <c r="F914" s="0" t="s">
        <v>4014</v>
      </c>
    </row>
    <row r="915" customFormat="false" ht="12.8" hidden="false" customHeight="false" outlineLevel="0" collapsed="false">
      <c r="A915" s="0" t="n">
        <v>3</v>
      </c>
      <c r="B915" s="0" t="n">
        <v>12</v>
      </c>
      <c r="C915" s="0" t="n">
        <v>2054</v>
      </c>
      <c r="D915" s="0" t="s">
        <v>4037</v>
      </c>
      <c r="E915" s="0" t="s">
        <v>3970</v>
      </c>
      <c r="F915" s="0" t="s">
        <v>4015</v>
      </c>
    </row>
    <row r="916" customFormat="false" ht="12.8" hidden="false" customHeight="false" outlineLevel="0" collapsed="false">
      <c r="A916" s="0" t="n">
        <v>3</v>
      </c>
      <c r="B916" s="0" t="n">
        <v>12</v>
      </c>
      <c r="C916" s="0" t="n">
        <v>2055</v>
      </c>
      <c r="D916" s="0" t="s">
        <v>4037</v>
      </c>
      <c r="E916" s="0" t="s">
        <v>3970</v>
      </c>
      <c r="F916" s="0" t="s">
        <v>4016</v>
      </c>
    </row>
    <row r="917" customFormat="false" ht="12.8" hidden="false" customHeight="false" outlineLevel="0" collapsed="false">
      <c r="A917" s="0" t="n">
        <v>3</v>
      </c>
      <c r="B917" s="0" t="n">
        <v>12</v>
      </c>
      <c r="C917" s="0" t="n">
        <v>2056</v>
      </c>
      <c r="D917" s="0" t="s">
        <v>4037</v>
      </c>
      <c r="E917" s="0" t="s">
        <v>3970</v>
      </c>
      <c r="F917" s="0" t="s">
        <v>4017</v>
      </c>
    </row>
    <row r="918" customFormat="false" ht="12.8" hidden="false" customHeight="false" outlineLevel="0" collapsed="false">
      <c r="A918" s="0" t="n">
        <v>3</v>
      </c>
      <c r="B918" s="0" t="n">
        <v>12</v>
      </c>
      <c r="C918" s="0" t="n">
        <v>2057</v>
      </c>
      <c r="D918" s="0" t="s">
        <v>4037</v>
      </c>
      <c r="E918" s="0" t="s">
        <v>3970</v>
      </c>
      <c r="F918" s="0" t="s">
        <v>4018</v>
      </c>
    </row>
    <row r="919" customFormat="false" ht="12.8" hidden="false" customHeight="false" outlineLevel="0" collapsed="false">
      <c r="A919" s="0" t="n">
        <v>3</v>
      </c>
      <c r="B919" s="0" t="n">
        <v>12</v>
      </c>
      <c r="C919" s="0" t="n">
        <v>2058</v>
      </c>
      <c r="D919" s="0" t="s">
        <v>4037</v>
      </c>
      <c r="E919" s="0" t="s">
        <v>3970</v>
      </c>
      <c r="F919" s="0" t="s">
        <v>4019</v>
      </c>
    </row>
    <row r="920" customFormat="false" ht="12.8" hidden="false" customHeight="false" outlineLevel="0" collapsed="false">
      <c r="A920" s="0" t="n">
        <v>3</v>
      </c>
      <c r="B920" s="0" t="n">
        <v>12</v>
      </c>
      <c r="C920" s="0" t="n">
        <v>2059</v>
      </c>
      <c r="D920" s="0" t="s">
        <v>4037</v>
      </c>
      <c r="E920" s="0" t="s">
        <v>3970</v>
      </c>
      <c r="F920" s="0" t="s">
        <v>4020</v>
      </c>
    </row>
    <row r="921" customFormat="false" ht="12.8" hidden="false" customHeight="false" outlineLevel="0" collapsed="false">
      <c r="A921" s="0" t="n">
        <v>3</v>
      </c>
      <c r="B921" s="0" t="n">
        <v>12</v>
      </c>
      <c r="C921" s="0" t="n">
        <v>2060</v>
      </c>
      <c r="D921" s="0" t="s">
        <v>4037</v>
      </c>
      <c r="E921" s="0" t="s">
        <v>3970</v>
      </c>
      <c r="F921" s="0" t="s">
        <v>4021</v>
      </c>
    </row>
    <row r="922" customFormat="false" ht="12.8" hidden="false" customHeight="false" outlineLevel="0" collapsed="false">
      <c r="A922" s="0" t="n">
        <v>3</v>
      </c>
      <c r="B922" s="0" t="n">
        <v>12</v>
      </c>
      <c r="C922" s="0" t="n">
        <v>2076</v>
      </c>
      <c r="D922" s="0" t="s">
        <v>4037</v>
      </c>
      <c r="E922" s="0" t="s">
        <v>3970</v>
      </c>
      <c r="F922" s="0" t="s">
        <v>4076</v>
      </c>
    </row>
    <row r="923" customFormat="false" ht="12.8" hidden="false" customHeight="false" outlineLevel="0" collapsed="false">
      <c r="A923" s="0" t="n">
        <v>3</v>
      </c>
      <c r="B923" s="0" t="n">
        <v>12</v>
      </c>
      <c r="C923" s="0" t="n">
        <v>2077</v>
      </c>
      <c r="D923" s="0" t="s">
        <v>4037</v>
      </c>
      <c r="E923" s="0" t="s">
        <v>3970</v>
      </c>
      <c r="F923" s="0" t="s">
        <v>4067</v>
      </c>
    </row>
    <row r="924" customFormat="false" ht="12.8" hidden="false" customHeight="false" outlineLevel="0" collapsed="false">
      <c r="A924" s="0" t="n">
        <v>3</v>
      </c>
      <c r="B924" s="0" t="n">
        <v>12</v>
      </c>
      <c r="C924" s="0" t="n">
        <v>2078</v>
      </c>
      <c r="D924" s="0" t="s">
        <v>4037</v>
      </c>
      <c r="E924" s="0" t="s">
        <v>3970</v>
      </c>
      <c r="F924" s="0" t="s">
        <v>4067</v>
      </c>
    </row>
    <row r="925" customFormat="false" ht="12.8" hidden="false" customHeight="false" outlineLevel="0" collapsed="false">
      <c r="A925" s="0" t="n">
        <v>3</v>
      </c>
      <c r="B925" s="0" t="n">
        <v>12</v>
      </c>
      <c r="C925" s="0" t="n">
        <v>2085</v>
      </c>
      <c r="D925" s="0" t="s">
        <v>4037</v>
      </c>
      <c r="E925" s="0" t="s">
        <v>3970</v>
      </c>
      <c r="F925" s="0" t="s">
        <v>4077</v>
      </c>
    </row>
    <row r="926" customFormat="false" ht="12.8" hidden="false" customHeight="false" outlineLevel="0" collapsed="false">
      <c r="A926" s="0" t="n">
        <v>3</v>
      </c>
      <c r="B926" s="0" t="n">
        <v>12</v>
      </c>
      <c r="C926" s="0" t="n">
        <v>2086</v>
      </c>
      <c r="D926" s="0" t="s">
        <v>4037</v>
      </c>
      <c r="E926" s="0" t="s">
        <v>3970</v>
      </c>
      <c r="F926" s="0" t="s">
        <v>4078</v>
      </c>
    </row>
    <row r="927" customFormat="false" ht="12.8" hidden="false" customHeight="false" outlineLevel="0" collapsed="false">
      <c r="A927" s="0" t="n">
        <v>3</v>
      </c>
      <c r="B927" s="0" t="n">
        <v>12</v>
      </c>
      <c r="C927" s="0" t="n">
        <v>2093</v>
      </c>
      <c r="D927" s="0" t="s">
        <v>4037</v>
      </c>
      <c r="E927" s="0" t="s">
        <v>3970</v>
      </c>
      <c r="F927" s="0" t="s">
        <v>4027</v>
      </c>
    </row>
    <row r="928" customFormat="false" ht="12.8" hidden="false" customHeight="false" outlineLevel="0" collapsed="false">
      <c r="A928" s="0" t="n">
        <v>3</v>
      </c>
      <c r="B928" s="0" t="n">
        <v>12</v>
      </c>
      <c r="C928" s="0" t="n">
        <v>2094</v>
      </c>
      <c r="D928" s="0" t="s">
        <v>4037</v>
      </c>
      <c r="E928" s="0" t="s">
        <v>3970</v>
      </c>
      <c r="F928" s="0" t="s">
        <v>4027</v>
      </c>
    </row>
    <row r="929" customFormat="false" ht="12.8" hidden="false" customHeight="false" outlineLevel="0" collapsed="false">
      <c r="A929" s="0" t="n">
        <v>3</v>
      </c>
      <c r="B929" s="0" t="n">
        <v>12</v>
      </c>
      <c r="C929" s="0" t="n">
        <v>2095</v>
      </c>
      <c r="D929" s="0" t="s">
        <v>4037</v>
      </c>
      <c r="E929" s="0" t="s">
        <v>3970</v>
      </c>
      <c r="F929" s="0" t="s">
        <v>4027</v>
      </c>
    </row>
    <row r="930" customFormat="false" ht="12.8" hidden="false" customHeight="false" outlineLevel="0" collapsed="false">
      <c r="A930" s="0" t="n">
        <v>3</v>
      </c>
      <c r="B930" s="0" t="n">
        <v>12</v>
      </c>
      <c r="C930" s="0" t="n">
        <v>2096</v>
      </c>
      <c r="D930" s="0" t="s">
        <v>4037</v>
      </c>
      <c r="E930" s="0" t="s">
        <v>3970</v>
      </c>
      <c r="F930" s="0" t="s">
        <v>4027</v>
      </c>
    </row>
    <row r="931" customFormat="false" ht="12.8" hidden="false" customHeight="false" outlineLevel="0" collapsed="false">
      <c r="A931" s="0" t="n">
        <v>3</v>
      </c>
      <c r="B931" s="0" t="n">
        <v>12</v>
      </c>
      <c r="C931" s="0" t="n">
        <v>2097</v>
      </c>
      <c r="D931" s="0" t="s">
        <v>4037</v>
      </c>
      <c r="E931" s="0" t="s">
        <v>3970</v>
      </c>
      <c r="F931" s="0" t="s">
        <v>4027</v>
      </c>
    </row>
    <row r="932" customFormat="false" ht="12.8" hidden="false" customHeight="false" outlineLevel="0" collapsed="false">
      <c r="A932" s="0" t="n">
        <v>3</v>
      </c>
      <c r="B932" s="0" t="n">
        <v>12</v>
      </c>
      <c r="C932" s="0" t="n">
        <v>2106</v>
      </c>
      <c r="D932" s="0" t="s">
        <v>4037</v>
      </c>
      <c r="E932" s="0" t="s">
        <v>3970</v>
      </c>
      <c r="F932" s="0" t="s">
        <v>4079</v>
      </c>
    </row>
    <row r="933" customFormat="false" ht="12.8" hidden="false" customHeight="false" outlineLevel="0" collapsed="false">
      <c r="A933" s="0" t="n">
        <v>3</v>
      </c>
      <c r="B933" s="0" t="n">
        <v>12</v>
      </c>
      <c r="C933" s="0" t="n">
        <v>2107</v>
      </c>
      <c r="D933" s="0" t="s">
        <v>4037</v>
      </c>
      <c r="E933" s="0" t="s">
        <v>3970</v>
      </c>
      <c r="F933" s="0" t="s">
        <v>4079</v>
      </c>
    </row>
    <row r="934" customFormat="false" ht="12.8" hidden="false" customHeight="false" outlineLevel="0" collapsed="false">
      <c r="A934" s="0" t="n">
        <v>3</v>
      </c>
      <c r="B934" s="0" t="n">
        <v>12</v>
      </c>
      <c r="C934" s="0" t="n">
        <v>2108</v>
      </c>
      <c r="D934" s="0" t="s">
        <v>4037</v>
      </c>
      <c r="E934" s="0" t="s">
        <v>3970</v>
      </c>
      <c r="F934" s="0" t="s">
        <v>4080</v>
      </c>
    </row>
    <row r="935" customFormat="false" ht="12.8" hidden="false" customHeight="false" outlineLevel="0" collapsed="false">
      <c r="A935" s="0" t="n">
        <v>3</v>
      </c>
      <c r="B935" s="0" t="n">
        <v>12</v>
      </c>
      <c r="C935" s="0" t="n">
        <v>2109</v>
      </c>
      <c r="D935" s="0" t="s">
        <v>4037</v>
      </c>
      <c r="E935" s="0" t="s">
        <v>3970</v>
      </c>
      <c r="F935" s="0" t="s">
        <v>4080</v>
      </c>
    </row>
    <row r="936" customFormat="false" ht="12.8" hidden="false" customHeight="false" outlineLevel="0" collapsed="false">
      <c r="A936" s="0" t="n">
        <v>3</v>
      </c>
      <c r="B936" s="0" t="n">
        <v>12</v>
      </c>
      <c r="C936" s="0" t="n">
        <v>2110</v>
      </c>
      <c r="D936" s="0" t="s">
        <v>4037</v>
      </c>
      <c r="E936" s="0" t="s">
        <v>3970</v>
      </c>
      <c r="F936" s="0" t="s">
        <v>4080</v>
      </c>
    </row>
    <row r="937" customFormat="false" ht="12.8" hidden="false" customHeight="false" outlineLevel="0" collapsed="false">
      <c r="A937" s="0" t="n">
        <v>3</v>
      </c>
      <c r="B937" s="0" t="n">
        <v>12</v>
      </c>
      <c r="C937" s="0" t="n">
        <v>2111</v>
      </c>
      <c r="D937" s="0" t="s">
        <v>4037</v>
      </c>
      <c r="E937" s="0" t="s">
        <v>3970</v>
      </c>
      <c r="F937" s="0" t="s">
        <v>4080</v>
      </c>
    </row>
    <row r="938" customFormat="false" ht="12.8" hidden="false" customHeight="false" outlineLevel="0" collapsed="false">
      <c r="A938" s="0" t="n">
        <v>3</v>
      </c>
      <c r="B938" s="0" t="n">
        <v>12</v>
      </c>
      <c r="C938" s="0" t="n">
        <v>2112</v>
      </c>
      <c r="D938" s="0" t="s">
        <v>4037</v>
      </c>
      <c r="E938" s="0" t="s">
        <v>3970</v>
      </c>
      <c r="F938" s="0" t="s">
        <v>4080</v>
      </c>
    </row>
    <row r="939" customFormat="false" ht="12.8" hidden="false" customHeight="false" outlineLevel="0" collapsed="false">
      <c r="A939" s="0" t="n">
        <v>3</v>
      </c>
      <c r="B939" s="0" t="n">
        <v>12</v>
      </c>
      <c r="C939" s="0" t="n">
        <v>2114</v>
      </c>
      <c r="D939" s="0" t="s">
        <v>4037</v>
      </c>
      <c r="E939" s="0" t="s">
        <v>3970</v>
      </c>
      <c r="F939" s="0" t="s">
        <v>3966</v>
      </c>
    </row>
    <row r="940" customFormat="false" ht="12.8" hidden="false" customHeight="false" outlineLevel="0" collapsed="false">
      <c r="A940" s="0" t="n">
        <v>3</v>
      </c>
      <c r="B940" s="0" t="n">
        <v>12</v>
      </c>
      <c r="C940" s="0" t="n">
        <v>2115</v>
      </c>
      <c r="D940" s="0" t="s">
        <v>4037</v>
      </c>
      <c r="E940" s="0" t="s">
        <v>3970</v>
      </c>
      <c r="F940" s="0" t="s">
        <v>3966</v>
      </c>
    </row>
    <row r="941" customFormat="false" ht="12.8" hidden="false" customHeight="false" outlineLevel="0" collapsed="false">
      <c r="A941" s="0" t="n">
        <v>3</v>
      </c>
      <c r="B941" s="0" t="n">
        <v>12</v>
      </c>
      <c r="C941" s="0" t="n">
        <v>2116</v>
      </c>
      <c r="D941" s="0" t="s">
        <v>4037</v>
      </c>
      <c r="E941" s="0" t="s">
        <v>3970</v>
      </c>
      <c r="F941" s="0" t="s">
        <v>3966</v>
      </c>
    </row>
    <row r="942" customFormat="false" ht="12.8" hidden="false" customHeight="false" outlineLevel="0" collapsed="false">
      <c r="A942" s="0" t="n">
        <v>3</v>
      </c>
      <c r="B942" s="0" t="n">
        <v>12</v>
      </c>
      <c r="C942" s="0" t="n">
        <v>2134</v>
      </c>
      <c r="D942" s="0" t="s">
        <v>4037</v>
      </c>
      <c r="E942" s="0" t="s">
        <v>3970</v>
      </c>
      <c r="F942" s="0" t="s">
        <v>4081</v>
      </c>
    </row>
    <row r="943" customFormat="false" ht="12.8" hidden="false" customHeight="false" outlineLevel="0" collapsed="false">
      <c r="A943" s="0" t="n">
        <v>3</v>
      </c>
      <c r="B943" s="0" t="n">
        <v>12</v>
      </c>
      <c r="C943" s="0" t="n">
        <v>2135</v>
      </c>
      <c r="D943" s="0" t="s">
        <v>4037</v>
      </c>
      <c r="E943" s="0" t="s">
        <v>3970</v>
      </c>
      <c r="F943" s="0" t="s">
        <v>4082</v>
      </c>
    </row>
    <row r="944" customFormat="false" ht="12.8" hidden="false" customHeight="false" outlineLevel="0" collapsed="false">
      <c r="A944" s="0" t="n">
        <v>3</v>
      </c>
      <c r="B944" s="0" t="n">
        <v>12</v>
      </c>
      <c r="C944" s="0" t="n">
        <v>2172</v>
      </c>
      <c r="D944" s="0" t="s">
        <v>4037</v>
      </c>
      <c r="E944" s="0" t="s">
        <v>3970</v>
      </c>
      <c r="F944" s="0" t="s">
        <v>4073</v>
      </c>
    </row>
    <row r="945" customFormat="false" ht="12.8" hidden="false" customHeight="false" outlineLevel="0" collapsed="false">
      <c r="A945" s="0" t="n">
        <v>3</v>
      </c>
      <c r="B945" s="0" t="n">
        <v>12</v>
      </c>
      <c r="C945" s="0" t="n">
        <v>2173</v>
      </c>
      <c r="D945" s="0" t="s">
        <v>4037</v>
      </c>
      <c r="E945" s="0" t="s">
        <v>3970</v>
      </c>
      <c r="F945" s="0" t="s">
        <v>4073</v>
      </c>
    </row>
    <row r="946" customFormat="false" ht="12.8" hidden="false" customHeight="false" outlineLevel="0" collapsed="false">
      <c r="A946" s="0" t="n">
        <v>3</v>
      </c>
      <c r="B946" s="0" t="n">
        <v>12</v>
      </c>
      <c r="C946" s="0" t="n">
        <v>2174</v>
      </c>
      <c r="D946" s="0" t="s">
        <v>4037</v>
      </c>
      <c r="E946" s="0" t="s">
        <v>3970</v>
      </c>
      <c r="F946" s="0" t="s">
        <v>4073</v>
      </c>
    </row>
    <row r="947" customFormat="false" ht="12.8" hidden="false" customHeight="false" outlineLevel="0" collapsed="false">
      <c r="A947" s="0" t="n">
        <v>3</v>
      </c>
      <c r="B947" s="0" t="n">
        <v>12</v>
      </c>
      <c r="C947" s="0" t="n">
        <v>2175</v>
      </c>
      <c r="D947" s="0" t="s">
        <v>4037</v>
      </c>
      <c r="E947" s="0" t="s">
        <v>3970</v>
      </c>
      <c r="F947" s="0" t="s">
        <v>4073</v>
      </c>
    </row>
    <row r="948" customFormat="false" ht="12.8" hidden="false" customHeight="false" outlineLevel="0" collapsed="false">
      <c r="A948" s="0" t="n">
        <v>3</v>
      </c>
      <c r="B948" s="0" t="n">
        <v>12</v>
      </c>
      <c r="C948" s="0" t="n">
        <v>2176</v>
      </c>
      <c r="D948" s="0" t="s">
        <v>4037</v>
      </c>
      <c r="E948" s="0" t="s">
        <v>3970</v>
      </c>
      <c r="F948" s="0" t="s">
        <v>4073</v>
      </c>
    </row>
    <row r="949" customFormat="false" ht="12.8" hidden="false" customHeight="false" outlineLevel="0" collapsed="false">
      <c r="A949" s="0" t="n">
        <v>3</v>
      </c>
      <c r="B949" s="0" t="n">
        <v>12</v>
      </c>
      <c r="C949" s="0" t="n">
        <v>2177</v>
      </c>
      <c r="D949" s="0" t="s">
        <v>4037</v>
      </c>
      <c r="E949" s="0" t="s">
        <v>3970</v>
      </c>
      <c r="F949" s="0" t="s">
        <v>4073</v>
      </c>
    </row>
    <row r="950" customFormat="false" ht="12.8" hidden="false" customHeight="false" outlineLevel="0" collapsed="false">
      <c r="A950" s="0" t="n">
        <v>3</v>
      </c>
      <c r="B950" s="0" t="n">
        <v>12</v>
      </c>
      <c r="C950" s="0" t="n">
        <v>2178</v>
      </c>
      <c r="D950" s="0" t="s">
        <v>4037</v>
      </c>
      <c r="E950" s="0" t="s">
        <v>3970</v>
      </c>
      <c r="F950" s="0" t="s">
        <v>4073</v>
      </c>
    </row>
    <row r="951" customFormat="false" ht="12.8" hidden="false" customHeight="false" outlineLevel="0" collapsed="false">
      <c r="A951" s="0" t="n">
        <v>3</v>
      </c>
      <c r="B951" s="0" t="n">
        <v>12</v>
      </c>
      <c r="C951" s="0" t="n">
        <v>2179</v>
      </c>
      <c r="D951" s="0" t="s">
        <v>4037</v>
      </c>
      <c r="E951" s="0" t="s">
        <v>3970</v>
      </c>
      <c r="F951" s="0" t="s">
        <v>4073</v>
      </c>
    </row>
    <row r="952" customFormat="false" ht="12.8" hidden="false" customHeight="false" outlineLevel="0" collapsed="false">
      <c r="A952" s="0" t="n">
        <v>3</v>
      </c>
      <c r="B952" s="0" t="n">
        <v>12</v>
      </c>
      <c r="C952" s="0" t="n">
        <v>2180</v>
      </c>
      <c r="D952" s="0" t="s">
        <v>4037</v>
      </c>
      <c r="E952" s="0" t="s">
        <v>3970</v>
      </c>
      <c r="F952" s="0" t="s">
        <v>4073</v>
      </c>
    </row>
    <row r="953" customFormat="false" ht="12.8" hidden="false" customHeight="false" outlineLevel="0" collapsed="false">
      <c r="A953" s="0" t="n">
        <v>3</v>
      </c>
      <c r="B953" s="0" t="n">
        <v>12</v>
      </c>
      <c r="C953" s="0" t="n">
        <v>2181</v>
      </c>
      <c r="D953" s="0" t="s">
        <v>4037</v>
      </c>
      <c r="E953" s="0" t="s">
        <v>3970</v>
      </c>
      <c r="F953" s="0" t="s">
        <v>4073</v>
      </c>
    </row>
    <row r="954" customFormat="false" ht="12.8" hidden="false" customHeight="false" outlineLevel="0" collapsed="false">
      <c r="A954" s="0" t="n">
        <v>3</v>
      </c>
      <c r="B954" s="0" t="n">
        <v>12</v>
      </c>
      <c r="C954" s="0" t="n">
        <v>2182</v>
      </c>
      <c r="D954" s="0" t="s">
        <v>4037</v>
      </c>
      <c r="E954" s="0" t="s">
        <v>3970</v>
      </c>
      <c r="F954" s="0" t="s">
        <v>4073</v>
      </c>
    </row>
    <row r="955" customFormat="false" ht="12.8" hidden="false" customHeight="false" outlineLevel="0" collapsed="false">
      <c r="A955" s="0" t="n">
        <v>3</v>
      </c>
      <c r="B955" s="0" t="n">
        <v>12</v>
      </c>
      <c r="C955" s="0" t="n">
        <v>2183</v>
      </c>
      <c r="D955" s="0" t="s">
        <v>4037</v>
      </c>
      <c r="E955" s="0" t="s">
        <v>3970</v>
      </c>
      <c r="F955" s="0" t="s">
        <v>4073</v>
      </c>
    </row>
    <row r="956" customFormat="false" ht="12.8" hidden="false" customHeight="false" outlineLevel="0" collapsed="false">
      <c r="A956" s="0" t="n">
        <v>3</v>
      </c>
      <c r="B956" s="0" t="n">
        <v>12</v>
      </c>
      <c r="C956" s="0" t="n">
        <v>2184</v>
      </c>
      <c r="D956" s="0" t="s">
        <v>4037</v>
      </c>
      <c r="E956" s="0" t="s">
        <v>3970</v>
      </c>
      <c r="F956" s="0" t="s">
        <v>4073</v>
      </c>
    </row>
    <row r="957" customFormat="false" ht="12.8" hidden="false" customHeight="false" outlineLevel="0" collapsed="false">
      <c r="A957" s="0" t="n">
        <v>3</v>
      </c>
      <c r="B957" s="0" t="n">
        <v>12</v>
      </c>
      <c r="C957" s="0" t="n">
        <v>2193</v>
      </c>
      <c r="D957" s="0" t="s">
        <v>4037</v>
      </c>
      <c r="E957" s="0" t="s">
        <v>3970</v>
      </c>
      <c r="F957" s="0" t="s">
        <v>4062</v>
      </c>
    </row>
    <row r="958" customFormat="false" ht="12.8" hidden="false" customHeight="false" outlineLevel="0" collapsed="false">
      <c r="A958" s="0" t="n">
        <v>3</v>
      </c>
      <c r="B958" s="0" t="n">
        <v>12</v>
      </c>
      <c r="C958" s="0" t="n">
        <v>2207</v>
      </c>
      <c r="D958" s="0" t="s">
        <v>4037</v>
      </c>
      <c r="E958" s="0" t="s">
        <v>3970</v>
      </c>
      <c r="F958" s="0" t="s">
        <v>4058</v>
      </c>
    </row>
    <row r="959" customFormat="false" ht="12.8" hidden="false" customHeight="false" outlineLevel="0" collapsed="false">
      <c r="A959" s="0" t="n">
        <v>3</v>
      </c>
      <c r="B959" s="0" t="n">
        <v>12</v>
      </c>
      <c r="C959" s="0" t="n">
        <v>2208</v>
      </c>
      <c r="D959" s="0" t="s">
        <v>4037</v>
      </c>
      <c r="E959" s="0" t="s">
        <v>3970</v>
      </c>
      <c r="F959" s="0" t="s">
        <v>4041</v>
      </c>
    </row>
    <row r="960" customFormat="false" ht="12.8" hidden="false" customHeight="false" outlineLevel="0" collapsed="false">
      <c r="A960" s="0" t="n">
        <v>3</v>
      </c>
      <c r="B960" s="0" t="n">
        <v>12</v>
      </c>
      <c r="C960" s="0" t="n">
        <v>2209</v>
      </c>
      <c r="D960" s="0" t="s">
        <v>4037</v>
      </c>
      <c r="E960" s="0" t="s">
        <v>3970</v>
      </c>
      <c r="F960" s="0" t="s">
        <v>4040</v>
      </c>
    </row>
    <row r="961" customFormat="false" ht="12.8" hidden="false" customHeight="false" outlineLevel="0" collapsed="false">
      <c r="A961" s="0" t="n">
        <v>3</v>
      </c>
      <c r="B961" s="0" t="n">
        <v>12</v>
      </c>
      <c r="C961" s="0" t="n">
        <v>2211</v>
      </c>
      <c r="D961" s="0" t="s">
        <v>4037</v>
      </c>
      <c r="E961" s="0" t="s">
        <v>3970</v>
      </c>
      <c r="F961" s="0" t="s">
        <v>4043</v>
      </c>
    </row>
    <row r="962" customFormat="false" ht="12.8" hidden="false" customHeight="false" outlineLevel="0" collapsed="false">
      <c r="A962" s="0" t="n">
        <v>3</v>
      </c>
      <c r="B962" s="0" t="n">
        <v>12</v>
      </c>
      <c r="C962" s="0" t="n">
        <v>2213</v>
      </c>
      <c r="D962" s="0" t="s">
        <v>4037</v>
      </c>
      <c r="E962" s="0" t="s">
        <v>3970</v>
      </c>
      <c r="F962" s="0" t="s">
        <v>4052</v>
      </c>
    </row>
    <row r="963" customFormat="false" ht="12.8" hidden="false" customHeight="false" outlineLevel="0" collapsed="false">
      <c r="A963" s="0" t="n">
        <v>3</v>
      </c>
      <c r="B963" s="0" t="n">
        <v>12</v>
      </c>
      <c r="C963" s="0" t="n">
        <v>2214</v>
      </c>
      <c r="D963" s="0" t="s">
        <v>4037</v>
      </c>
      <c r="E963" s="0" t="s">
        <v>3970</v>
      </c>
      <c r="F963" s="0" t="s">
        <v>4073</v>
      </c>
    </row>
    <row r="964" customFormat="false" ht="12.8" hidden="false" customHeight="false" outlineLevel="0" collapsed="false">
      <c r="A964" s="0" t="n">
        <v>3</v>
      </c>
      <c r="B964" s="0" t="n">
        <v>12</v>
      </c>
      <c r="C964" s="0" t="n">
        <v>2310</v>
      </c>
      <c r="D964" s="0" t="s">
        <v>4037</v>
      </c>
      <c r="E964" s="0" t="s">
        <v>3970</v>
      </c>
      <c r="F964" s="0" t="s">
        <v>4083</v>
      </c>
    </row>
    <row r="965" customFormat="false" ht="12.8" hidden="false" customHeight="false" outlineLevel="0" collapsed="false">
      <c r="A965" s="0" t="n">
        <v>3</v>
      </c>
      <c r="B965" s="0" t="n">
        <v>12</v>
      </c>
      <c r="C965" s="0" t="n">
        <v>2311</v>
      </c>
      <c r="D965" s="0" t="s">
        <v>4037</v>
      </c>
      <c r="E965" s="0" t="s">
        <v>3970</v>
      </c>
      <c r="F965" s="0" t="s">
        <v>4083</v>
      </c>
    </row>
    <row r="966" customFormat="false" ht="12.8" hidden="false" customHeight="false" outlineLevel="0" collapsed="false">
      <c r="A966" s="0" t="n">
        <v>3</v>
      </c>
      <c r="B966" s="0" t="n">
        <v>12</v>
      </c>
      <c r="C966" s="0" t="n">
        <v>2312</v>
      </c>
      <c r="D966" s="0" t="s">
        <v>4037</v>
      </c>
      <c r="E966" s="0" t="s">
        <v>3970</v>
      </c>
      <c r="F966" s="0" t="s">
        <v>4083</v>
      </c>
    </row>
    <row r="967" customFormat="false" ht="12.8" hidden="false" customHeight="false" outlineLevel="0" collapsed="false">
      <c r="A967" s="0" t="n">
        <v>3</v>
      </c>
      <c r="B967" s="0" t="n">
        <v>12</v>
      </c>
      <c r="C967" s="0" t="n">
        <v>2313</v>
      </c>
      <c r="D967" s="0" t="s">
        <v>4037</v>
      </c>
      <c r="E967" s="0" t="s">
        <v>3970</v>
      </c>
      <c r="F967" s="0" t="s">
        <v>4083</v>
      </c>
    </row>
    <row r="968" customFormat="false" ht="12.8" hidden="false" customHeight="false" outlineLevel="0" collapsed="false">
      <c r="A968" s="0" t="n">
        <v>3</v>
      </c>
      <c r="B968" s="0" t="n">
        <v>12</v>
      </c>
      <c r="C968" s="0" t="n">
        <v>2314</v>
      </c>
      <c r="D968" s="0" t="s">
        <v>4037</v>
      </c>
      <c r="E968" s="0" t="s">
        <v>3970</v>
      </c>
      <c r="F968" s="0" t="s">
        <v>4083</v>
      </c>
    </row>
    <row r="969" customFormat="false" ht="12.8" hidden="false" customHeight="false" outlineLevel="0" collapsed="false">
      <c r="A969" s="0" t="n">
        <v>3</v>
      </c>
      <c r="B969" s="0" t="n">
        <v>12</v>
      </c>
      <c r="C969" s="0" t="n">
        <v>2335</v>
      </c>
      <c r="D969" s="0" t="s">
        <v>4037</v>
      </c>
      <c r="E969" s="0" t="s">
        <v>3970</v>
      </c>
      <c r="F969" s="0" t="s">
        <v>4072</v>
      </c>
    </row>
    <row r="970" customFormat="false" ht="12.8" hidden="false" customHeight="false" outlineLevel="0" collapsed="false">
      <c r="A970" s="0" t="n">
        <v>3</v>
      </c>
      <c r="B970" s="0" t="n">
        <v>12</v>
      </c>
      <c r="C970" s="0" t="n">
        <v>2336</v>
      </c>
      <c r="D970" s="0" t="s">
        <v>4037</v>
      </c>
      <c r="E970" s="0" t="s">
        <v>3970</v>
      </c>
      <c r="F970" s="0" t="s">
        <v>4084</v>
      </c>
    </row>
    <row r="971" customFormat="false" ht="12.8" hidden="false" customHeight="false" outlineLevel="0" collapsed="false">
      <c r="A971" s="0" t="n">
        <v>3</v>
      </c>
      <c r="B971" s="0" t="n">
        <v>12</v>
      </c>
      <c r="C971" s="0" t="n">
        <v>2337</v>
      </c>
      <c r="D971" s="0" t="s">
        <v>4037</v>
      </c>
      <c r="E971" s="0" t="s">
        <v>3970</v>
      </c>
      <c r="F971" s="0" t="s">
        <v>4084</v>
      </c>
    </row>
    <row r="972" customFormat="false" ht="12.8" hidden="false" customHeight="false" outlineLevel="0" collapsed="false">
      <c r="A972" s="0" t="n">
        <v>3</v>
      </c>
      <c r="B972" s="0" t="n">
        <v>12</v>
      </c>
      <c r="C972" s="0" t="n">
        <v>2338</v>
      </c>
      <c r="D972" s="0" t="s">
        <v>4037</v>
      </c>
      <c r="E972" s="0" t="s">
        <v>3970</v>
      </c>
      <c r="F972" s="0" t="s">
        <v>4084</v>
      </c>
    </row>
    <row r="973" customFormat="false" ht="12.8" hidden="false" customHeight="false" outlineLevel="0" collapsed="false">
      <c r="A973" s="0" t="n">
        <v>3</v>
      </c>
      <c r="B973" s="0" t="n">
        <v>12</v>
      </c>
      <c r="C973" s="0" t="n">
        <v>2339</v>
      </c>
      <c r="D973" s="0" t="s">
        <v>4037</v>
      </c>
      <c r="E973" s="0" t="s">
        <v>3970</v>
      </c>
      <c r="F973" s="0" t="s">
        <v>4084</v>
      </c>
    </row>
    <row r="974" customFormat="false" ht="12.8" hidden="false" customHeight="false" outlineLevel="0" collapsed="false">
      <c r="A974" s="0" t="n">
        <v>3</v>
      </c>
      <c r="B974" s="0" t="n">
        <v>12</v>
      </c>
      <c r="C974" s="0" t="n">
        <v>2340</v>
      </c>
      <c r="D974" s="0" t="s">
        <v>4037</v>
      </c>
      <c r="E974" s="0" t="s">
        <v>3970</v>
      </c>
      <c r="F974" s="0" t="s">
        <v>4084</v>
      </c>
    </row>
    <row r="975" customFormat="false" ht="12.8" hidden="false" customHeight="false" outlineLevel="0" collapsed="false">
      <c r="A975" s="0" t="n">
        <v>3</v>
      </c>
      <c r="B975" s="0" t="n">
        <v>12</v>
      </c>
      <c r="C975" s="0" t="n">
        <v>2341</v>
      </c>
      <c r="D975" s="0" t="s">
        <v>4037</v>
      </c>
      <c r="E975" s="0" t="s">
        <v>3970</v>
      </c>
      <c r="F975" s="0" t="s">
        <v>4084</v>
      </c>
    </row>
    <row r="976" customFormat="false" ht="12.8" hidden="false" customHeight="false" outlineLevel="0" collapsed="false">
      <c r="A976" s="0" t="n">
        <v>3</v>
      </c>
      <c r="B976" s="0" t="n">
        <v>12</v>
      </c>
      <c r="C976" s="0" t="n">
        <v>2342</v>
      </c>
      <c r="D976" s="0" t="s">
        <v>4037</v>
      </c>
      <c r="E976" s="0" t="s">
        <v>3970</v>
      </c>
      <c r="F976" s="0" t="s">
        <v>4084</v>
      </c>
    </row>
    <row r="977" customFormat="false" ht="12.8" hidden="false" customHeight="false" outlineLevel="0" collapsed="false">
      <c r="A977" s="0" t="n">
        <v>3</v>
      </c>
      <c r="B977" s="0" t="n">
        <v>12</v>
      </c>
      <c r="C977" s="0" t="n">
        <v>2343</v>
      </c>
      <c r="D977" s="0" t="s">
        <v>4037</v>
      </c>
      <c r="E977" s="0" t="s">
        <v>3970</v>
      </c>
      <c r="F977" s="0" t="s">
        <v>4084</v>
      </c>
    </row>
    <row r="978" customFormat="false" ht="12.8" hidden="false" customHeight="false" outlineLevel="0" collapsed="false">
      <c r="A978" s="0" t="n">
        <v>3</v>
      </c>
      <c r="B978" s="0" t="n">
        <v>12</v>
      </c>
      <c r="C978" s="0" t="n">
        <v>2344</v>
      </c>
      <c r="D978" s="0" t="s">
        <v>4037</v>
      </c>
      <c r="E978" s="0" t="s">
        <v>3970</v>
      </c>
      <c r="F978" s="0" t="s">
        <v>4084</v>
      </c>
    </row>
    <row r="979" customFormat="false" ht="12.8" hidden="false" customHeight="false" outlineLevel="0" collapsed="false">
      <c r="A979" s="0" t="n">
        <v>3</v>
      </c>
      <c r="B979" s="0" t="n">
        <v>12</v>
      </c>
      <c r="C979" s="0" t="n">
        <v>2345</v>
      </c>
      <c r="D979" s="0" t="s">
        <v>4037</v>
      </c>
      <c r="E979" s="0" t="s">
        <v>3970</v>
      </c>
      <c r="F979" s="0" t="s">
        <v>4084</v>
      </c>
    </row>
    <row r="980" customFormat="false" ht="12.8" hidden="false" customHeight="false" outlineLevel="0" collapsed="false">
      <c r="A980" s="0" t="n">
        <v>3</v>
      </c>
      <c r="B980" s="0" t="n">
        <v>12</v>
      </c>
      <c r="C980" s="0" t="n">
        <v>2346</v>
      </c>
      <c r="D980" s="0" t="s">
        <v>4037</v>
      </c>
      <c r="E980" s="0" t="s">
        <v>3970</v>
      </c>
      <c r="F980" s="0" t="s">
        <v>4084</v>
      </c>
    </row>
    <row r="981" customFormat="false" ht="12.8" hidden="false" customHeight="false" outlineLevel="0" collapsed="false">
      <c r="A981" s="0" t="n">
        <v>3</v>
      </c>
      <c r="B981" s="0" t="n">
        <v>12</v>
      </c>
      <c r="C981" s="0" t="n">
        <v>2347</v>
      </c>
      <c r="D981" s="0" t="s">
        <v>4037</v>
      </c>
      <c r="E981" s="0" t="s">
        <v>3970</v>
      </c>
      <c r="F981" s="0" t="s">
        <v>4084</v>
      </c>
    </row>
    <row r="982" customFormat="false" ht="12.8" hidden="false" customHeight="false" outlineLevel="0" collapsed="false">
      <c r="A982" s="0" t="n">
        <v>3</v>
      </c>
      <c r="B982" s="0" t="n">
        <v>12</v>
      </c>
      <c r="C982" s="0" t="n">
        <v>2348</v>
      </c>
      <c r="D982" s="0" t="s">
        <v>4037</v>
      </c>
      <c r="E982" s="0" t="s">
        <v>3970</v>
      </c>
      <c r="F982" s="0" t="s">
        <v>4084</v>
      </c>
    </row>
    <row r="983" customFormat="false" ht="12.8" hidden="false" customHeight="false" outlineLevel="0" collapsed="false">
      <c r="A983" s="0" t="n">
        <v>3</v>
      </c>
      <c r="B983" s="0" t="n">
        <v>12</v>
      </c>
      <c r="C983" s="0" t="n">
        <v>2349</v>
      </c>
      <c r="D983" s="0" t="s">
        <v>4037</v>
      </c>
      <c r="E983" s="0" t="s">
        <v>3970</v>
      </c>
      <c r="F983" s="0" t="s">
        <v>4084</v>
      </c>
    </row>
    <row r="984" customFormat="false" ht="12.8" hidden="false" customHeight="false" outlineLevel="0" collapsed="false">
      <c r="A984" s="0" t="n">
        <v>3</v>
      </c>
      <c r="B984" s="0" t="n">
        <v>12</v>
      </c>
      <c r="C984" s="0" t="n">
        <v>2356</v>
      </c>
      <c r="D984" s="0" t="s">
        <v>4037</v>
      </c>
      <c r="E984" s="0" t="s">
        <v>3970</v>
      </c>
      <c r="F984" s="0" t="s">
        <v>4041</v>
      </c>
    </row>
    <row r="985" customFormat="false" ht="12.8" hidden="false" customHeight="false" outlineLevel="0" collapsed="false">
      <c r="A985" s="0" t="n">
        <v>3</v>
      </c>
      <c r="B985" s="0" t="n">
        <v>12</v>
      </c>
      <c r="C985" s="0" t="n">
        <v>2364</v>
      </c>
      <c r="D985" s="0" t="s">
        <v>4037</v>
      </c>
      <c r="E985" s="0" t="s">
        <v>3970</v>
      </c>
      <c r="F985" s="0" t="s">
        <v>4085</v>
      </c>
    </row>
    <row r="986" customFormat="false" ht="12.8" hidden="false" customHeight="false" outlineLevel="0" collapsed="false">
      <c r="A986" s="0" t="n">
        <v>3</v>
      </c>
      <c r="B986" s="0" t="n">
        <v>12</v>
      </c>
      <c r="C986" s="0" t="n">
        <v>2368</v>
      </c>
      <c r="D986" s="0" t="s">
        <v>4037</v>
      </c>
      <c r="E986" s="0" t="s">
        <v>3970</v>
      </c>
      <c r="F986" s="0" t="s">
        <v>4086</v>
      </c>
    </row>
    <row r="987" customFormat="false" ht="12.8" hidden="false" customHeight="false" outlineLevel="0" collapsed="false">
      <c r="A987" s="0" t="n">
        <v>3</v>
      </c>
      <c r="B987" s="0" t="n">
        <v>12</v>
      </c>
      <c r="C987" s="0" t="n">
        <v>2369</v>
      </c>
      <c r="D987" s="0" t="s">
        <v>4037</v>
      </c>
      <c r="E987" s="0" t="s">
        <v>3970</v>
      </c>
      <c r="F987" s="0" t="s">
        <v>4043</v>
      </c>
    </row>
    <row r="988" customFormat="false" ht="12.8" hidden="false" customHeight="false" outlineLevel="0" collapsed="false">
      <c r="A988" s="0" t="n">
        <v>3</v>
      </c>
      <c r="B988" s="0" t="n">
        <v>12</v>
      </c>
      <c r="C988" s="0" t="n">
        <v>2375</v>
      </c>
      <c r="D988" s="0" t="s">
        <v>4037</v>
      </c>
      <c r="E988" s="0" t="s">
        <v>3970</v>
      </c>
      <c r="F988" s="0" t="s">
        <v>3966</v>
      </c>
    </row>
    <row r="989" customFormat="false" ht="12.8" hidden="false" customHeight="false" outlineLevel="0" collapsed="false">
      <c r="A989" s="0" t="n">
        <v>3</v>
      </c>
      <c r="B989" s="0" t="n">
        <v>12</v>
      </c>
      <c r="C989" s="0" t="n">
        <v>2378</v>
      </c>
      <c r="D989" s="0" t="s">
        <v>4037</v>
      </c>
      <c r="E989" s="0" t="s">
        <v>3970</v>
      </c>
      <c r="F989" s="0" t="s">
        <v>4087</v>
      </c>
    </row>
    <row r="990" customFormat="false" ht="12.8" hidden="false" customHeight="false" outlineLevel="0" collapsed="false">
      <c r="A990" s="0" t="n">
        <v>3</v>
      </c>
      <c r="B990" s="0" t="n">
        <v>12</v>
      </c>
      <c r="C990" s="0" t="n">
        <v>2379</v>
      </c>
      <c r="D990" s="0" t="s">
        <v>4037</v>
      </c>
      <c r="E990" s="0" t="s">
        <v>3970</v>
      </c>
      <c r="F990" s="0" t="s">
        <v>4087</v>
      </c>
    </row>
    <row r="991" customFormat="false" ht="12.8" hidden="false" customHeight="false" outlineLevel="0" collapsed="false">
      <c r="A991" s="0" t="n">
        <v>3</v>
      </c>
      <c r="B991" s="0" t="n">
        <v>12</v>
      </c>
      <c r="C991" s="0" t="n">
        <v>2380</v>
      </c>
      <c r="D991" s="0" t="s">
        <v>4037</v>
      </c>
      <c r="E991" s="0" t="s">
        <v>3970</v>
      </c>
      <c r="F991" s="0" t="s">
        <v>4087</v>
      </c>
    </row>
    <row r="992" customFormat="false" ht="12.8" hidden="false" customHeight="false" outlineLevel="0" collapsed="false">
      <c r="A992" s="0" t="n">
        <v>3</v>
      </c>
      <c r="B992" s="0" t="n">
        <v>12</v>
      </c>
      <c r="C992" s="0" t="n">
        <v>2381</v>
      </c>
      <c r="D992" s="0" t="s">
        <v>4037</v>
      </c>
      <c r="E992" s="0" t="s">
        <v>3970</v>
      </c>
      <c r="F992" s="0" t="s">
        <v>4087</v>
      </c>
    </row>
    <row r="993" customFormat="false" ht="12.8" hidden="false" customHeight="false" outlineLevel="0" collapsed="false">
      <c r="A993" s="0" t="n">
        <v>3</v>
      </c>
      <c r="B993" s="0" t="n">
        <v>12</v>
      </c>
      <c r="C993" s="0" t="n">
        <v>2382</v>
      </c>
      <c r="D993" s="0" t="s">
        <v>4037</v>
      </c>
      <c r="E993" s="0" t="s">
        <v>3970</v>
      </c>
      <c r="F993" s="0" t="s">
        <v>4087</v>
      </c>
    </row>
    <row r="994" customFormat="false" ht="12.8" hidden="false" customHeight="false" outlineLevel="0" collapsed="false">
      <c r="A994" s="0" t="n">
        <v>3</v>
      </c>
      <c r="B994" s="0" t="n">
        <v>12</v>
      </c>
      <c r="C994" s="0" t="n">
        <v>2383</v>
      </c>
      <c r="D994" s="0" t="s">
        <v>4037</v>
      </c>
      <c r="E994" s="0" t="s">
        <v>3970</v>
      </c>
      <c r="F994" s="0" t="s">
        <v>4087</v>
      </c>
    </row>
    <row r="995" customFormat="false" ht="12.8" hidden="false" customHeight="false" outlineLevel="0" collapsed="false">
      <c r="A995" s="0" t="n">
        <v>3</v>
      </c>
      <c r="B995" s="0" t="n">
        <v>12</v>
      </c>
      <c r="C995" s="0" t="n">
        <v>2384</v>
      </c>
      <c r="D995" s="0" t="s">
        <v>4037</v>
      </c>
      <c r="E995" s="0" t="s">
        <v>3970</v>
      </c>
      <c r="F995" s="0" t="s">
        <v>4087</v>
      </c>
    </row>
    <row r="996" customFormat="false" ht="12.8" hidden="false" customHeight="false" outlineLevel="0" collapsed="false">
      <c r="A996" s="0" t="n">
        <v>3</v>
      </c>
      <c r="B996" s="0" t="n">
        <v>12</v>
      </c>
      <c r="C996" s="0" t="n">
        <v>2389</v>
      </c>
      <c r="D996" s="0" t="s">
        <v>4037</v>
      </c>
      <c r="E996" s="0" t="s">
        <v>3970</v>
      </c>
      <c r="F996" s="0" t="s">
        <v>4043</v>
      </c>
    </row>
    <row r="997" customFormat="false" ht="12.8" hidden="false" customHeight="false" outlineLevel="0" collapsed="false">
      <c r="A997" s="0" t="n">
        <v>3</v>
      </c>
      <c r="B997" s="0" t="n">
        <v>12</v>
      </c>
      <c r="C997" s="0" t="n">
        <v>2390</v>
      </c>
      <c r="D997" s="0" t="s">
        <v>4037</v>
      </c>
      <c r="E997" s="0" t="s">
        <v>3970</v>
      </c>
      <c r="F997" s="0" t="s">
        <v>4073</v>
      </c>
    </row>
    <row r="998" customFormat="false" ht="12.8" hidden="false" customHeight="false" outlineLevel="0" collapsed="false">
      <c r="A998" s="0" t="n">
        <v>3</v>
      </c>
      <c r="B998" s="0" t="n">
        <v>12</v>
      </c>
      <c r="C998" s="0" t="n">
        <v>2391</v>
      </c>
      <c r="D998" s="0" t="s">
        <v>4037</v>
      </c>
      <c r="E998" s="0" t="s">
        <v>3970</v>
      </c>
      <c r="F998" s="0" t="s">
        <v>4073</v>
      </c>
    </row>
    <row r="999" customFormat="false" ht="12.8" hidden="false" customHeight="false" outlineLevel="0" collapsed="false">
      <c r="A999" s="0" t="n">
        <v>3</v>
      </c>
      <c r="B999" s="0" t="n">
        <v>12</v>
      </c>
      <c r="C999" s="0" t="n">
        <v>2393</v>
      </c>
      <c r="D999" s="0" t="s">
        <v>4037</v>
      </c>
      <c r="E999" s="0" t="s">
        <v>3970</v>
      </c>
      <c r="F999" s="0" t="s">
        <v>4069</v>
      </c>
    </row>
    <row r="1000" customFormat="false" ht="12.8" hidden="false" customHeight="false" outlineLevel="0" collapsed="false">
      <c r="A1000" s="0" t="n">
        <v>3</v>
      </c>
      <c r="B1000" s="0" t="n">
        <v>12</v>
      </c>
      <c r="C1000" s="0" t="n">
        <v>2402</v>
      </c>
      <c r="D1000" s="0" t="s">
        <v>4037</v>
      </c>
      <c r="E1000" s="0" t="s">
        <v>3970</v>
      </c>
      <c r="F1000" s="0" t="s">
        <v>4027</v>
      </c>
    </row>
    <row r="1001" customFormat="false" ht="12.8" hidden="false" customHeight="false" outlineLevel="0" collapsed="false">
      <c r="A1001" s="0" t="n">
        <v>3</v>
      </c>
      <c r="B1001" s="0" t="n">
        <v>12</v>
      </c>
      <c r="C1001" s="0" t="n">
        <v>2403</v>
      </c>
      <c r="D1001" s="0" t="s">
        <v>4037</v>
      </c>
      <c r="E1001" s="0" t="s">
        <v>3970</v>
      </c>
      <c r="F1001" s="0" t="s">
        <v>4052</v>
      </c>
    </row>
    <row r="1002" customFormat="false" ht="12.8" hidden="false" customHeight="false" outlineLevel="0" collapsed="false">
      <c r="A1002" s="0" t="n">
        <v>3</v>
      </c>
      <c r="B1002" s="0" t="n">
        <v>12</v>
      </c>
      <c r="C1002" s="0" t="n">
        <v>2413</v>
      </c>
      <c r="D1002" s="0" t="s">
        <v>4037</v>
      </c>
      <c r="E1002" s="0" t="s">
        <v>3970</v>
      </c>
      <c r="F1002" s="0" t="s">
        <v>4080</v>
      </c>
    </row>
    <row r="1003" customFormat="false" ht="12.8" hidden="false" customHeight="false" outlineLevel="0" collapsed="false">
      <c r="A1003" s="0" t="n">
        <v>3</v>
      </c>
      <c r="B1003" s="0" t="n">
        <v>12</v>
      </c>
      <c r="C1003" s="0" t="n">
        <v>2414</v>
      </c>
      <c r="D1003" s="0" t="s">
        <v>4037</v>
      </c>
      <c r="E1003" s="0" t="s">
        <v>3970</v>
      </c>
      <c r="F1003" s="0" t="s">
        <v>4080</v>
      </c>
    </row>
    <row r="1004" customFormat="false" ht="12.8" hidden="false" customHeight="false" outlineLevel="0" collapsed="false">
      <c r="A1004" s="0" t="n">
        <v>3</v>
      </c>
      <c r="B1004" s="0" t="n">
        <v>12</v>
      </c>
      <c r="C1004" s="0" t="n">
        <v>2415</v>
      </c>
      <c r="D1004" s="0" t="s">
        <v>4037</v>
      </c>
      <c r="E1004" s="0" t="s">
        <v>3970</v>
      </c>
      <c r="F1004" s="0" t="s">
        <v>4080</v>
      </c>
    </row>
    <row r="1005" customFormat="false" ht="12.8" hidden="false" customHeight="false" outlineLevel="0" collapsed="false">
      <c r="A1005" s="0" t="n">
        <v>3</v>
      </c>
      <c r="B1005" s="0" t="n">
        <v>12</v>
      </c>
      <c r="C1005" s="0" t="n">
        <v>2418</v>
      </c>
      <c r="D1005" s="0" t="s">
        <v>4037</v>
      </c>
      <c r="E1005" s="0" t="s">
        <v>3970</v>
      </c>
      <c r="F1005" s="0" t="s">
        <v>4073</v>
      </c>
    </row>
    <row r="1006" customFormat="false" ht="12.8" hidden="false" customHeight="false" outlineLevel="0" collapsed="false">
      <c r="A1006" s="0" t="n">
        <v>3</v>
      </c>
      <c r="B1006" s="0" t="n">
        <v>12</v>
      </c>
      <c r="C1006" s="0" t="n">
        <v>2422</v>
      </c>
      <c r="D1006" s="0" t="s">
        <v>4037</v>
      </c>
      <c r="E1006" s="0" t="s">
        <v>3970</v>
      </c>
      <c r="F1006" s="0" t="s">
        <v>4041</v>
      </c>
    </row>
    <row r="1007" customFormat="false" ht="12.8" hidden="false" customHeight="false" outlineLevel="0" collapsed="false">
      <c r="A1007" s="0" t="n">
        <v>3</v>
      </c>
      <c r="B1007" s="0" t="n">
        <v>12</v>
      </c>
      <c r="C1007" s="0" t="n">
        <v>2423</v>
      </c>
      <c r="D1007" s="0" t="s">
        <v>4037</v>
      </c>
      <c r="E1007" s="0" t="s">
        <v>3970</v>
      </c>
      <c r="F1007" s="0" t="s">
        <v>4012</v>
      </c>
    </row>
    <row r="1008" customFormat="false" ht="12.8" hidden="false" customHeight="false" outlineLevel="0" collapsed="false">
      <c r="A1008" s="0" t="n">
        <v>3</v>
      </c>
      <c r="B1008" s="0" t="n">
        <v>12</v>
      </c>
      <c r="C1008" s="0" t="n">
        <v>2424</v>
      </c>
      <c r="D1008" s="0" t="s">
        <v>4037</v>
      </c>
      <c r="E1008" s="0" t="s">
        <v>3970</v>
      </c>
      <c r="F1008" s="0" t="s">
        <v>4012</v>
      </c>
    </row>
    <row r="1009" customFormat="false" ht="12.8" hidden="false" customHeight="false" outlineLevel="0" collapsed="false">
      <c r="A1009" s="0" t="n">
        <v>3</v>
      </c>
      <c r="B1009" s="0" t="n">
        <v>12</v>
      </c>
      <c r="C1009" s="0" t="n">
        <v>2425</v>
      </c>
      <c r="D1009" s="0" t="s">
        <v>4037</v>
      </c>
      <c r="E1009" s="0" t="s">
        <v>3970</v>
      </c>
      <c r="F1009" s="0" t="s">
        <v>4012</v>
      </c>
    </row>
    <row r="1010" customFormat="false" ht="12.8" hidden="false" customHeight="false" outlineLevel="0" collapsed="false">
      <c r="A1010" s="0" t="n">
        <v>3</v>
      </c>
      <c r="B1010" s="0" t="n">
        <v>12</v>
      </c>
      <c r="C1010" s="0" t="n">
        <v>2426</v>
      </c>
      <c r="D1010" s="0" t="s">
        <v>4037</v>
      </c>
      <c r="E1010" s="0" t="s">
        <v>3970</v>
      </c>
      <c r="F1010" s="0" t="s">
        <v>4012</v>
      </c>
    </row>
    <row r="1011" customFormat="false" ht="12.8" hidden="false" customHeight="false" outlineLevel="0" collapsed="false">
      <c r="A1011" s="0" t="n">
        <v>3</v>
      </c>
      <c r="B1011" s="0" t="n">
        <v>12</v>
      </c>
      <c r="C1011" s="0" t="n">
        <v>2427</v>
      </c>
      <c r="D1011" s="0" t="s">
        <v>4037</v>
      </c>
      <c r="E1011" s="0" t="s">
        <v>3970</v>
      </c>
      <c r="F1011" s="0" t="s">
        <v>4012</v>
      </c>
    </row>
    <row r="1012" customFormat="false" ht="12.8" hidden="false" customHeight="false" outlineLevel="0" collapsed="false">
      <c r="A1012" s="0" t="n">
        <v>3</v>
      </c>
      <c r="B1012" s="0" t="n">
        <v>12</v>
      </c>
      <c r="C1012" s="0" t="n">
        <v>2428</v>
      </c>
      <c r="D1012" s="0" t="s">
        <v>4037</v>
      </c>
      <c r="E1012" s="0" t="s">
        <v>3970</v>
      </c>
      <c r="F1012" s="0" t="s">
        <v>4012</v>
      </c>
    </row>
    <row r="1013" customFormat="false" ht="12.8" hidden="false" customHeight="false" outlineLevel="0" collapsed="false">
      <c r="A1013" s="0" t="n">
        <v>3</v>
      </c>
      <c r="B1013" s="0" t="n">
        <v>12</v>
      </c>
      <c r="C1013" s="0" t="n">
        <v>2429</v>
      </c>
      <c r="D1013" s="0" t="s">
        <v>4037</v>
      </c>
      <c r="E1013" s="0" t="s">
        <v>3970</v>
      </c>
      <c r="F1013" s="0" t="s">
        <v>4012</v>
      </c>
    </row>
    <row r="1014" customFormat="false" ht="12.8" hidden="false" customHeight="false" outlineLevel="0" collapsed="false">
      <c r="A1014" s="0" t="n">
        <v>3</v>
      </c>
      <c r="B1014" s="0" t="n">
        <v>12</v>
      </c>
      <c r="C1014" s="0" t="n">
        <v>2430</v>
      </c>
      <c r="D1014" s="0" t="s">
        <v>4037</v>
      </c>
      <c r="E1014" s="0" t="s">
        <v>3970</v>
      </c>
      <c r="F1014" s="0" t="s">
        <v>4012</v>
      </c>
    </row>
    <row r="1015" customFormat="false" ht="12.8" hidden="false" customHeight="false" outlineLevel="0" collapsed="false">
      <c r="A1015" s="0" t="n">
        <v>3</v>
      </c>
      <c r="B1015" s="0" t="n">
        <v>12</v>
      </c>
      <c r="C1015" s="0" t="n">
        <v>2431</v>
      </c>
      <c r="D1015" s="0" t="s">
        <v>4037</v>
      </c>
      <c r="E1015" s="0" t="s">
        <v>3970</v>
      </c>
      <c r="F1015" s="0" t="s">
        <v>4012</v>
      </c>
    </row>
    <row r="1016" customFormat="false" ht="12.8" hidden="false" customHeight="false" outlineLevel="0" collapsed="false">
      <c r="A1016" s="0" t="n">
        <v>3</v>
      </c>
      <c r="B1016" s="0" t="n">
        <v>12</v>
      </c>
      <c r="C1016" s="0" t="n">
        <v>2432</v>
      </c>
      <c r="D1016" s="0" t="s">
        <v>4037</v>
      </c>
      <c r="E1016" s="0" t="s">
        <v>3970</v>
      </c>
      <c r="F1016" s="0" t="s">
        <v>4012</v>
      </c>
    </row>
    <row r="1017" customFormat="false" ht="12.8" hidden="false" customHeight="false" outlineLevel="0" collapsed="false">
      <c r="A1017" s="0" t="n">
        <v>3</v>
      </c>
      <c r="B1017" s="0" t="n">
        <v>12</v>
      </c>
      <c r="C1017" s="0" t="n">
        <v>2433</v>
      </c>
      <c r="D1017" s="0" t="s">
        <v>4037</v>
      </c>
      <c r="E1017" s="0" t="s">
        <v>3970</v>
      </c>
      <c r="F1017" s="0" t="s">
        <v>4084</v>
      </c>
    </row>
    <row r="1018" customFormat="false" ht="12.8" hidden="false" customHeight="false" outlineLevel="0" collapsed="false">
      <c r="A1018" s="0" t="n">
        <v>3</v>
      </c>
      <c r="B1018" s="0" t="n">
        <v>12</v>
      </c>
      <c r="C1018" s="0" t="n">
        <v>2434</v>
      </c>
      <c r="D1018" s="0" t="s">
        <v>4037</v>
      </c>
      <c r="E1018" s="0" t="s">
        <v>3970</v>
      </c>
      <c r="F1018" s="0" t="s">
        <v>4084</v>
      </c>
    </row>
    <row r="1019" customFormat="false" ht="12.8" hidden="false" customHeight="false" outlineLevel="0" collapsed="false">
      <c r="A1019" s="0" t="n">
        <v>3</v>
      </c>
      <c r="B1019" s="0" t="n">
        <v>12</v>
      </c>
      <c r="C1019" s="0" t="n">
        <v>2435</v>
      </c>
      <c r="D1019" s="0" t="s">
        <v>4037</v>
      </c>
      <c r="E1019" s="0" t="s">
        <v>3970</v>
      </c>
      <c r="F1019" s="0" t="s">
        <v>4084</v>
      </c>
    </row>
    <row r="1020" customFormat="false" ht="12.8" hidden="false" customHeight="false" outlineLevel="0" collapsed="false">
      <c r="A1020" s="0" t="n">
        <v>3</v>
      </c>
      <c r="B1020" s="0" t="n">
        <v>12</v>
      </c>
      <c r="C1020" s="0" t="n">
        <v>2438</v>
      </c>
      <c r="D1020" s="0" t="s">
        <v>4037</v>
      </c>
      <c r="E1020" s="0" t="s">
        <v>3970</v>
      </c>
      <c r="F1020" s="0" t="s">
        <v>4062</v>
      </c>
    </row>
    <row r="1021" customFormat="false" ht="12.8" hidden="false" customHeight="false" outlineLevel="0" collapsed="false">
      <c r="A1021" s="0" t="n">
        <v>3</v>
      </c>
      <c r="B1021" s="0" t="n">
        <v>12</v>
      </c>
      <c r="C1021" s="0" t="n">
        <v>2439</v>
      </c>
      <c r="D1021" s="0" t="s">
        <v>4037</v>
      </c>
      <c r="E1021" s="0" t="s">
        <v>3970</v>
      </c>
      <c r="F1021" s="0" t="s">
        <v>4062</v>
      </c>
    </row>
    <row r="1022" customFormat="false" ht="12.8" hidden="false" customHeight="false" outlineLevel="0" collapsed="false">
      <c r="A1022" s="0" t="n">
        <v>3</v>
      </c>
      <c r="B1022" s="0" t="n">
        <v>12</v>
      </c>
      <c r="C1022" s="0" t="n">
        <v>2445</v>
      </c>
      <c r="D1022" s="0" t="s">
        <v>4037</v>
      </c>
      <c r="E1022" s="0" t="s">
        <v>3970</v>
      </c>
      <c r="F1022" s="0" t="s">
        <v>4058</v>
      </c>
    </row>
    <row r="1023" customFormat="false" ht="12.8" hidden="false" customHeight="false" outlineLevel="0" collapsed="false">
      <c r="A1023" s="0" t="n">
        <v>3</v>
      </c>
      <c r="B1023" s="0" t="n">
        <v>12</v>
      </c>
      <c r="C1023" s="0" t="n">
        <v>2446</v>
      </c>
      <c r="D1023" s="0" t="s">
        <v>4037</v>
      </c>
      <c r="E1023" s="0" t="s">
        <v>3970</v>
      </c>
      <c r="F1023" s="0" t="s">
        <v>4058</v>
      </c>
    </row>
    <row r="1024" customFormat="false" ht="12.8" hidden="false" customHeight="false" outlineLevel="0" collapsed="false">
      <c r="A1024" s="0" t="n">
        <v>3</v>
      </c>
      <c r="B1024" s="0" t="n">
        <v>12</v>
      </c>
      <c r="C1024" s="0" t="n">
        <v>2447</v>
      </c>
      <c r="D1024" s="0" t="s">
        <v>4037</v>
      </c>
      <c r="E1024" s="0" t="s">
        <v>3970</v>
      </c>
      <c r="F1024" s="0" t="s">
        <v>4058</v>
      </c>
    </row>
    <row r="1025" customFormat="false" ht="12.8" hidden="false" customHeight="false" outlineLevel="0" collapsed="false">
      <c r="A1025" s="0" t="n">
        <v>3</v>
      </c>
      <c r="B1025" s="0" t="n">
        <v>12</v>
      </c>
      <c r="C1025" s="0" t="n">
        <v>2452</v>
      </c>
      <c r="D1025" s="0" t="s">
        <v>4037</v>
      </c>
      <c r="E1025" s="0" t="s">
        <v>3970</v>
      </c>
      <c r="F1025" s="0" t="s">
        <v>4079</v>
      </c>
    </row>
    <row r="1026" customFormat="false" ht="12.8" hidden="false" customHeight="false" outlineLevel="0" collapsed="false">
      <c r="A1026" s="0" t="n">
        <v>3</v>
      </c>
      <c r="B1026" s="0" t="n">
        <v>12</v>
      </c>
      <c r="C1026" s="0" t="n">
        <v>2453</v>
      </c>
      <c r="D1026" s="0" t="s">
        <v>4037</v>
      </c>
      <c r="E1026" s="0" t="s">
        <v>3970</v>
      </c>
      <c r="F1026" s="0" t="s">
        <v>4079</v>
      </c>
    </row>
    <row r="1027" customFormat="false" ht="12.8" hidden="false" customHeight="false" outlineLevel="0" collapsed="false">
      <c r="A1027" s="0" t="n">
        <v>3</v>
      </c>
      <c r="B1027" s="0" t="n">
        <v>12</v>
      </c>
      <c r="C1027" s="0" t="n">
        <v>2454</v>
      </c>
      <c r="D1027" s="0" t="s">
        <v>4037</v>
      </c>
      <c r="E1027" s="0" t="s">
        <v>3970</v>
      </c>
      <c r="F1027" s="0" t="s">
        <v>4079</v>
      </c>
    </row>
    <row r="1028" customFormat="false" ht="12.8" hidden="false" customHeight="false" outlineLevel="0" collapsed="false">
      <c r="A1028" s="0" t="n">
        <v>3</v>
      </c>
      <c r="B1028" s="0" t="n">
        <v>12</v>
      </c>
      <c r="C1028" s="0" t="n">
        <v>2455</v>
      </c>
      <c r="D1028" s="0" t="s">
        <v>4037</v>
      </c>
      <c r="E1028" s="0" t="s">
        <v>3970</v>
      </c>
      <c r="F1028" s="0" t="s">
        <v>4079</v>
      </c>
    </row>
    <row r="1029" customFormat="false" ht="12.8" hidden="false" customHeight="false" outlineLevel="0" collapsed="false">
      <c r="A1029" s="0" t="n">
        <v>3</v>
      </c>
      <c r="B1029" s="0" t="n">
        <v>12</v>
      </c>
      <c r="C1029" s="0" t="n">
        <v>2456</v>
      </c>
      <c r="D1029" s="0" t="s">
        <v>4037</v>
      </c>
      <c r="E1029" s="0" t="s">
        <v>3970</v>
      </c>
      <c r="F1029" s="0" t="s">
        <v>4079</v>
      </c>
    </row>
    <row r="1030" customFormat="false" ht="12.8" hidden="false" customHeight="false" outlineLevel="0" collapsed="false">
      <c r="A1030" s="0" t="n">
        <v>3</v>
      </c>
      <c r="B1030" s="0" t="n">
        <v>12</v>
      </c>
      <c r="C1030" s="0" t="n">
        <v>2457</v>
      </c>
      <c r="D1030" s="0" t="s">
        <v>4037</v>
      </c>
      <c r="E1030" s="0" t="s">
        <v>3970</v>
      </c>
      <c r="F1030" s="0" t="s">
        <v>4079</v>
      </c>
    </row>
    <row r="1031" customFormat="false" ht="12.8" hidden="false" customHeight="false" outlineLevel="0" collapsed="false">
      <c r="A1031" s="0" t="n">
        <v>3</v>
      </c>
      <c r="B1031" s="0" t="n">
        <v>12</v>
      </c>
      <c r="C1031" s="0" t="n">
        <v>2487</v>
      </c>
      <c r="D1031" s="0" t="s">
        <v>4037</v>
      </c>
      <c r="E1031" s="0" t="s">
        <v>3970</v>
      </c>
      <c r="F1031" s="0" t="s">
        <v>4010</v>
      </c>
    </row>
    <row r="1032" customFormat="false" ht="12.8" hidden="false" customHeight="false" outlineLevel="0" collapsed="false">
      <c r="A1032" s="0" t="n">
        <v>3</v>
      </c>
      <c r="B1032" s="0" t="n">
        <v>12</v>
      </c>
      <c r="C1032" s="0" t="n">
        <v>2488</v>
      </c>
      <c r="D1032" s="0" t="s">
        <v>4037</v>
      </c>
      <c r="E1032" s="0" t="s">
        <v>3970</v>
      </c>
      <c r="F1032" s="0" t="s">
        <v>4010</v>
      </c>
    </row>
    <row r="1033" customFormat="false" ht="12.8" hidden="false" customHeight="false" outlineLevel="0" collapsed="false">
      <c r="A1033" s="0" t="n">
        <v>3</v>
      </c>
      <c r="B1033" s="0" t="n">
        <v>12</v>
      </c>
      <c r="C1033" s="0" t="n">
        <v>2489</v>
      </c>
      <c r="D1033" s="0" t="s">
        <v>4037</v>
      </c>
      <c r="E1033" s="0" t="s">
        <v>3970</v>
      </c>
      <c r="F1033" s="0" t="s">
        <v>4010</v>
      </c>
    </row>
    <row r="1034" customFormat="false" ht="12.8" hidden="false" customHeight="false" outlineLevel="0" collapsed="false">
      <c r="A1034" s="0" t="n">
        <v>3</v>
      </c>
      <c r="B1034" s="0" t="n">
        <v>12</v>
      </c>
      <c r="C1034" s="0" t="n">
        <v>2490</v>
      </c>
      <c r="D1034" s="0" t="s">
        <v>4037</v>
      </c>
      <c r="E1034" s="0" t="s">
        <v>3970</v>
      </c>
      <c r="F1034" s="0" t="s">
        <v>4010</v>
      </c>
    </row>
    <row r="1035" customFormat="false" ht="12.8" hidden="false" customHeight="false" outlineLevel="0" collapsed="false">
      <c r="A1035" s="0" t="n">
        <v>3</v>
      </c>
      <c r="B1035" s="0" t="n">
        <v>12</v>
      </c>
      <c r="C1035" s="0" t="n">
        <v>2491</v>
      </c>
      <c r="D1035" s="0" t="s">
        <v>4037</v>
      </c>
      <c r="E1035" s="0" t="s">
        <v>3970</v>
      </c>
      <c r="F1035" s="0" t="s">
        <v>4019</v>
      </c>
    </row>
    <row r="1036" customFormat="false" ht="12.8" hidden="false" customHeight="false" outlineLevel="0" collapsed="false">
      <c r="A1036" s="0" t="n">
        <v>3</v>
      </c>
      <c r="B1036" s="0" t="n">
        <v>12</v>
      </c>
      <c r="C1036" s="0" t="n">
        <v>2492</v>
      </c>
      <c r="D1036" s="0" t="s">
        <v>4037</v>
      </c>
      <c r="E1036" s="0" t="s">
        <v>3970</v>
      </c>
      <c r="F1036" s="0" t="s">
        <v>4019</v>
      </c>
    </row>
    <row r="1037" customFormat="false" ht="12.8" hidden="false" customHeight="false" outlineLevel="0" collapsed="false">
      <c r="A1037" s="0" t="n">
        <v>3</v>
      </c>
      <c r="B1037" s="0" t="n">
        <v>12</v>
      </c>
      <c r="C1037" s="0" t="n">
        <v>2493</v>
      </c>
      <c r="D1037" s="0" t="s">
        <v>4037</v>
      </c>
      <c r="E1037" s="0" t="s">
        <v>3970</v>
      </c>
      <c r="F1037" s="0" t="s">
        <v>4019</v>
      </c>
    </row>
    <row r="1038" customFormat="false" ht="12.8" hidden="false" customHeight="false" outlineLevel="0" collapsed="false">
      <c r="A1038" s="0" t="n">
        <v>3</v>
      </c>
      <c r="B1038" s="0" t="n">
        <v>12</v>
      </c>
      <c r="C1038" s="0" t="n">
        <v>2494</v>
      </c>
      <c r="D1038" s="0" t="s">
        <v>4037</v>
      </c>
      <c r="E1038" s="0" t="s">
        <v>3970</v>
      </c>
      <c r="F1038" s="0" t="s">
        <v>4019</v>
      </c>
    </row>
    <row r="1039" customFormat="false" ht="12.8" hidden="false" customHeight="false" outlineLevel="0" collapsed="false">
      <c r="A1039" s="0" t="n">
        <v>3</v>
      </c>
      <c r="B1039" s="0" t="n">
        <v>12</v>
      </c>
      <c r="C1039" s="0" t="n">
        <v>2500</v>
      </c>
      <c r="D1039" s="0" t="s">
        <v>4037</v>
      </c>
      <c r="E1039" s="0" t="s">
        <v>3970</v>
      </c>
      <c r="F1039" s="0" t="s">
        <v>4070</v>
      </c>
    </row>
    <row r="1040" customFormat="false" ht="12.8" hidden="false" customHeight="false" outlineLevel="0" collapsed="false">
      <c r="A1040" s="0" t="n">
        <v>3</v>
      </c>
      <c r="B1040" s="0" t="n">
        <v>12</v>
      </c>
      <c r="C1040" s="0" t="n">
        <v>2501</v>
      </c>
      <c r="D1040" s="0" t="s">
        <v>4037</v>
      </c>
      <c r="E1040" s="0" t="s">
        <v>3970</v>
      </c>
      <c r="F1040" s="0" t="s">
        <v>4070</v>
      </c>
    </row>
    <row r="1041" customFormat="false" ht="12.8" hidden="false" customHeight="false" outlineLevel="0" collapsed="false">
      <c r="A1041" s="0" t="n">
        <v>3</v>
      </c>
      <c r="B1041" s="0" t="n">
        <v>12</v>
      </c>
      <c r="C1041" s="0" t="n">
        <v>2502</v>
      </c>
      <c r="D1041" s="0" t="s">
        <v>4037</v>
      </c>
      <c r="E1041" s="0" t="s">
        <v>3970</v>
      </c>
      <c r="F1041" s="0" t="s">
        <v>4070</v>
      </c>
    </row>
    <row r="1042" customFormat="false" ht="12.8" hidden="false" customHeight="false" outlineLevel="0" collapsed="false">
      <c r="A1042" s="0" t="n">
        <v>3</v>
      </c>
      <c r="B1042" s="0" t="n">
        <v>12</v>
      </c>
      <c r="C1042" s="0" t="n">
        <v>2504</v>
      </c>
      <c r="D1042" s="0" t="s">
        <v>4037</v>
      </c>
      <c r="E1042" s="0" t="s">
        <v>3970</v>
      </c>
      <c r="F1042" s="0" t="s">
        <v>4043</v>
      </c>
    </row>
    <row r="1043" customFormat="false" ht="12.8" hidden="false" customHeight="false" outlineLevel="0" collapsed="false">
      <c r="A1043" s="0" t="n">
        <v>3</v>
      </c>
      <c r="B1043" s="0" t="n">
        <v>12</v>
      </c>
      <c r="C1043" s="0" t="n">
        <v>2525</v>
      </c>
      <c r="D1043" s="0" t="s">
        <v>4037</v>
      </c>
      <c r="E1043" s="0" t="s">
        <v>3970</v>
      </c>
      <c r="F1043" s="0" t="s">
        <v>4062</v>
      </c>
    </row>
    <row r="1044" customFormat="false" ht="12.8" hidden="false" customHeight="false" outlineLevel="0" collapsed="false">
      <c r="A1044" s="0" t="n">
        <v>3</v>
      </c>
      <c r="B1044" s="0" t="n">
        <v>12</v>
      </c>
      <c r="C1044" s="0" t="n">
        <v>2526</v>
      </c>
      <c r="D1044" s="0" t="s">
        <v>4037</v>
      </c>
      <c r="E1044" s="0" t="s">
        <v>3970</v>
      </c>
      <c r="F1044" s="0" t="s">
        <v>4088</v>
      </c>
    </row>
    <row r="1045" customFormat="false" ht="12.8" hidden="false" customHeight="false" outlineLevel="0" collapsed="false">
      <c r="A1045" s="0" t="n">
        <v>3</v>
      </c>
      <c r="B1045" s="0" t="n">
        <v>12</v>
      </c>
      <c r="C1045" s="0" t="n">
        <v>2574</v>
      </c>
      <c r="D1045" s="0" t="s">
        <v>4037</v>
      </c>
      <c r="E1045" s="0" t="s">
        <v>3970</v>
      </c>
      <c r="F1045" s="0" t="s">
        <v>4027</v>
      </c>
    </row>
    <row r="1046" customFormat="false" ht="12.8" hidden="false" customHeight="false" outlineLevel="0" collapsed="false">
      <c r="A1046" s="0" t="n">
        <v>3</v>
      </c>
      <c r="B1046" s="0" t="n">
        <v>12</v>
      </c>
      <c r="C1046" s="0" t="n">
        <v>2575</v>
      </c>
      <c r="D1046" s="0" t="s">
        <v>4037</v>
      </c>
      <c r="E1046" s="0" t="s">
        <v>3970</v>
      </c>
      <c r="F1046" s="0" t="s">
        <v>4027</v>
      </c>
    </row>
    <row r="1047" customFormat="false" ht="12.8" hidden="false" customHeight="false" outlineLevel="0" collapsed="false">
      <c r="A1047" s="0" t="n">
        <v>3</v>
      </c>
      <c r="B1047" s="0" t="n">
        <v>12</v>
      </c>
      <c r="C1047" s="0" t="n">
        <v>2584</v>
      </c>
      <c r="D1047" s="0" t="s">
        <v>4037</v>
      </c>
      <c r="E1047" s="0" t="s">
        <v>3970</v>
      </c>
      <c r="F1047" s="0" t="s">
        <v>4089</v>
      </c>
    </row>
    <row r="1048" customFormat="false" ht="12.8" hidden="false" customHeight="false" outlineLevel="0" collapsed="false">
      <c r="A1048" s="0" t="n">
        <v>3</v>
      </c>
      <c r="B1048" s="0" t="n">
        <v>12</v>
      </c>
      <c r="C1048" s="0" t="n">
        <v>2613</v>
      </c>
      <c r="D1048" s="0" t="s">
        <v>4037</v>
      </c>
      <c r="E1048" s="0" t="s">
        <v>3970</v>
      </c>
      <c r="F1048" s="0" t="s">
        <v>4090</v>
      </c>
    </row>
    <row r="1049" customFormat="false" ht="12.8" hidden="false" customHeight="false" outlineLevel="0" collapsed="false">
      <c r="A1049" s="0" t="n">
        <v>3</v>
      </c>
      <c r="B1049" s="0" t="n">
        <v>12</v>
      </c>
      <c r="C1049" s="0" t="n">
        <v>2626</v>
      </c>
      <c r="D1049" s="0" t="s">
        <v>4037</v>
      </c>
      <c r="E1049" s="0" t="s">
        <v>3970</v>
      </c>
      <c r="F1049" s="0" t="s">
        <v>4091</v>
      </c>
    </row>
    <row r="1050" customFormat="false" ht="12.8" hidden="false" customHeight="false" outlineLevel="0" collapsed="false">
      <c r="A1050" s="0" t="n">
        <v>3</v>
      </c>
      <c r="B1050" s="0" t="n">
        <v>12</v>
      </c>
      <c r="C1050" s="0" t="n">
        <v>2627</v>
      </c>
      <c r="D1050" s="0" t="s">
        <v>4037</v>
      </c>
      <c r="E1050" s="0" t="s">
        <v>3970</v>
      </c>
      <c r="F1050" s="0" t="s">
        <v>4091</v>
      </c>
    </row>
    <row r="1051" customFormat="false" ht="12.8" hidden="false" customHeight="false" outlineLevel="0" collapsed="false">
      <c r="A1051" s="0" t="n">
        <v>3</v>
      </c>
      <c r="B1051" s="0" t="n">
        <v>12</v>
      </c>
      <c r="C1051" s="0" t="n">
        <v>2628</v>
      </c>
      <c r="D1051" s="0" t="s">
        <v>4037</v>
      </c>
      <c r="E1051" s="0" t="s">
        <v>3970</v>
      </c>
      <c r="F1051" s="0" t="s">
        <v>4091</v>
      </c>
    </row>
    <row r="1052" customFormat="false" ht="12.8" hidden="false" customHeight="false" outlineLevel="0" collapsed="false">
      <c r="A1052" s="0" t="n">
        <v>3</v>
      </c>
      <c r="B1052" s="0" t="n">
        <v>12</v>
      </c>
      <c r="C1052" s="0" t="n">
        <v>2629</v>
      </c>
      <c r="D1052" s="0" t="s">
        <v>4037</v>
      </c>
      <c r="E1052" s="0" t="s">
        <v>3970</v>
      </c>
      <c r="F1052" s="0" t="s">
        <v>4091</v>
      </c>
    </row>
    <row r="1053" customFormat="false" ht="12.8" hidden="false" customHeight="false" outlineLevel="0" collapsed="false">
      <c r="A1053" s="0" t="n">
        <v>3</v>
      </c>
      <c r="B1053" s="0" t="n">
        <v>14</v>
      </c>
      <c r="C1053" s="0" t="n">
        <v>46</v>
      </c>
      <c r="D1053" s="0" t="s">
        <v>4037</v>
      </c>
      <c r="E1053" s="0" t="s">
        <v>3948</v>
      </c>
      <c r="F1053" s="0" t="s">
        <v>4092</v>
      </c>
    </row>
    <row r="1054" customFormat="false" ht="12.8" hidden="false" customHeight="false" outlineLevel="0" collapsed="false">
      <c r="A1054" s="0" t="n">
        <v>3</v>
      </c>
      <c r="B1054" s="0" t="n">
        <v>14</v>
      </c>
      <c r="C1054" s="0" t="n">
        <v>47</v>
      </c>
      <c r="D1054" s="0" t="s">
        <v>4037</v>
      </c>
      <c r="E1054" s="0" t="s">
        <v>3948</v>
      </c>
      <c r="F1054" s="0" t="s">
        <v>4093</v>
      </c>
    </row>
    <row r="1055" customFormat="false" ht="12.8" hidden="false" customHeight="false" outlineLevel="0" collapsed="false">
      <c r="A1055" s="0" t="n">
        <v>3</v>
      </c>
      <c r="B1055" s="0" t="n">
        <v>14</v>
      </c>
      <c r="C1055" s="0" t="n">
        <v>48</v>
      </c>
      <c r="D1055" s="0" t="s">
        <v>4037</v>
      </c>
      <c r="E1055" s="0" t="s">
        <v>3948</v>
      </c>
      <c r="F1055" s="0" t="s">
        <v>4094</v>
      </c>
    </row>
    <row r="1056" customFormat="false" ht="12.8" hidden="false" customHeight="false" outlineLevel="0" collapsed="false">
      <c r="A1056" s="0" t="n">
        <v>3</v>
      </c>
      <c r="B1056" s="0" t="n">
        <v>14</v>
      </c>
      <c r="C1056" s="0" t="n">
        <v>49</v>
      </c>
      <c r="D1056" s="0" t="s">
        <v>4037</v>
      </c>
      <c r="E1056" s="0" t="s">
        <v>3948</v>
      </c>
      <c r="F1056" s="0" t="s">
        <v>3965</v>
      </c>
    </row>
    <row r="1057" customFormat="false" ht="12.8" hidden="false" customHeight="false" outlineLevel="0" collapsed="false">
      <c r="A1057" s="0" t="n">
        <v>3</v>
      </c>
      <c r="B1057" s="0" t="n">
        <v>14</v>
      </c>
      <c r="C1057" s="0" t="n">
        <v>50</v>
      </c>
      <c r="D1057" s="0" t="s">
        <v>4037</v>
      </c>
      <c r="E1057" s="0" t="s">
        <v>3948</v>
      </c>
      <c r="F1057" s="0" t="s">
        <v>4095</v>
      </c>
    </row>
    <row r="1058" customFormat="false" ht="12.8" hidden="false" customHeight="false" outlineLevel="0" collapsed="false">
      <c r="A1058" s="0" t="n">
        <v>3</v>
      </c>
      <c r="B1058" s="0" t="n">
        <v>14</v>
      </c>
      <c r="C1058" s="0" t="n">
        <v>169</v>
      </c>
      <c r="D1058" s="0" t="s">
        <v>4037</v>
      </c>
      <c r="E1058" s="0" t="s">
        <v>3948</v>
      </c>
      <c r="F1058" s="0" t="s">
        <v>4092</v>
      </c>
    </row>
    <row r="1059" customFormat="false" ht="12.8" hidden="false" customHeight="false" outlineLevel="0" collapsed="false">
      <c r="A1059" s="0" t="n">
        <v>3</v>
      </c>
      <c r="B1059" s="0" t="n">
        <v>14</v>
      </c>
      <c r="C1059" s="0" t="n">
        <v>170</v>
      </c>
      <c r="D1059" s="0" t="s">
        <v>4037</v>
      </c>
      <c r="E1059" s="0" t="s">
        <v>3948</v>
      </c>
      <c r="F1059" s="0" t="s">
        <v>4093</v>
      </c>
    </row>
    <row r="1060" customFormat="false" ht="12.8" hidden="false" customHeight="false" outlineLevel="0" collapsed="false">
      <c r="A1060" s="0" t="n">
        <v>3</v>
      </c>
      <c r="B1060" s="0" t="n">
        <v>14</v>
      </c>
      <c r="C1060" s="0" t="n">
        <v>171</v>
      </c>
      <c r="D1060" s="0" t="s">
        <v>4037</v>
      </c>
      <c r="E1060" s="0" t="s">
        <v>3948</v>
      </c>
      <c r="F1060" s="0" t="s">
        <v>4094</v>
      </c>
    </row>
    <row r="1061" customFormat="false" ht="12.8" hidden="false" customHeight="false" outlineLevel="0" collapsed="false">
      <c r="A1061" s="0" t="n">
        <v>3</v>
      </c>
      <c r="B1061" s="0" t="n">
        <v>14</v>
      </c>
      <c r="C1061" s="0" t="n">
        <v>172</v>
      </c>
      <c r="D1061" s="0" t="s">
        <v>4037</v>
      </c>
      <c r="E1061" s="0" t="s">
        <v>3948</v>
      </c>
      <c r="F1061" s="0" t="s">
        <v>3965</v>
      </c>
    </row>
    <row r="1062" customFormat="false" ht="12.8" hidden="false" customHeight="false" outlineLevel="0" collapsed="false">
      <c r="A1062" s="0" t="n">
        <v>3</v>
      </c>
      <c r="B1062" s="0" t="n">
        <v>14</v>
      </c>
      <c r="C1062" s="0" t="n">
        <v>173</v>
      </c>
      <c r="D1062" s="0" t="s">
        <v>4037</v>
      </c>
      <c r="E1062" s="0" t="s">
        <v>3948</v>
      </c>
      <c r="F1062" s="0" t="s">
        <v>4096</v>
      </c>
    </row>
    <row r="1063" customFormat="false" ht="12.8" hidden="false" customHeight="false" outlineLevel="0" collapsed="false">
      <c r="A1063" s="0" t="n">
        <v>3</v>
      </c>
      <c r="B1063" s="0" t="n">
        <v>14</v>
      </c>
      <c r="C1063" s="0" t="n">
        <v>174</v>
      </c>
      <c r="D1063" s="0" t="s">
        <v>4037</v>
      </c>
      <c r="E1063" s="0" t="s">
        <v>3948</v>
      </c>
      <c r="F1063" s="0" t="s">
        <v>4095</v>
      </c>
    </row>
    <row r="1064" customFormat="false" ht="12.8" hidden="false" customHeight="false" outlineLevel="0" collapsed="false">
      <c r="A1064" s="0" t="n">
        <v>3</v>
      </c>
      <c r="B1064" s="0" t="n">
        <v>14</v>
      </c>
      <c r="C1064" s="0" t="n">
        <v>291</v>
      </c>
      <c r="D1064" s="0" t="s">
        <v>4037</v>
      </c>
      <c r="E1064" s="0" t="s">
        <v>3948</v>
      </c>
      <c r="F1064" s="0" t="s">
        <v>4092</v>
      </c>
    </row>
    <row r="1065" customFormat="false" ht="12.8" hidden="false" customHeight="false" outlineLevel="0" collapsed="false">
      <c r="A1065" s="0" t="n">
        <v>3</v>
      </c>
      <c r="B1065" s="0" t="n">
        <v>14</v>
      </c>
      <c r="C1065" s="0" t="n">
        <v>292</v>
      </c>
      <c r="D1065" s="0" t="s">
        <v>4037</v>
      </c>
      <c r="E1065" s="0" t="s">
        <v>3948</v>
      </c>
      <c r="F1065" s="0" t="s">
        <v>4093</v>
      </c>
    </row>
    <row r="1066" customFormat="false" ht="12.8" hidden="false" customHeight="false" outlineLevel="0" collapsed="false">
      <c r="A1066" s="0" t="n">
        <v>3</v>
      </c>
      <c r="B1066" s="0" t="n">
        <v>14</v>
      </c>
      <c r="C1066" s="0" t="n">
        <v>293</v>
      </c>
      <c r="D1066" s="0" t="s">
        <v>4037</v>
      </c>
      <c r="E1066" s="0" t="s">
        <v>3948</v>
      </c>
      <c r="F1066" s="0" t="s">
        <v>4094</v>
      </c>
    </row>
    <row r="1067" customFormat="false" ht="12.8" hidden="false" customHeight="false" outlineLevel="0" collapsed="false">
      <c r="A1067" s="0" t="n">
        <v>3</v>
      </c>
      <c r="B1067" s="0" t="n">
        <v>14</v>
      </c>
      <c r="C1067" s="0" t="n">
        <v>294</v>
      </c>
      <c r="D1067" s="0" t="s">
        <v>4037</v>
      </c>
      <c r="E1067" s="0" t="s">
        <v>3948</v>
      </c>
      <c r="F1067" s="0" t="s">
        <v>3965</v>
      </c>
    </row>
    <row r="1068" customFormat="false" ht="12.8" hidden="false" customHeight="false" outlineLevel="0" collapsed="false">
      <c r="A1068" s="0" t="n">
        <v>3</v>
      </c>
      <c r="B1068" s="0" t="n">
        <v>14</v>
      </c>
      <c r="C1068" s="0" t="n">
        <v>295</v>
      </c>
      <c r="D1068" s="0" t="s">
        <v>4037</v>
      </c>
      <c r="E1068" s="0" t="s">
        <v>3948</v>
      </c>
      <c r="F1068" s="0" t="s">
        <v>4096</v>
      </c>
    </row>
    <row r="1069" customFormat="false" ht="12.8" hidden="false" customHeight="false" outlineLevel="0" collapsed="false">
      <c r="A1069" s="0" t="n">
        <v>3</v>
      </c>
      <c r="B1069" s="0" t="n">
        <v>14</v>
      </c>
      <c r="C1069" s="0" t="n">
        <v>296</v>
      </c>
      <c r="D1069" s="0" t="s">
        <v>4037</v>
      </c>
      <c r="E1069" s="0" t="s">
        <v>3948</v>
      </c>
      <c r="F1069" s="0" t="s">
        <v>4095</v>
      </c>
    </row>
    <row r="1070" customFormat="false" ht="12.8" hidden="false" customHeight="false" outlineLevel="0" collapsed="false">
      <c r="A1070" s="0" t="n">
        <v>3</v>
      </c>
      <c r="B1070" s="0" t="n">
        <v>14</v>
      </c>
      <c r="C1070" s="0" t="n">
        <v>395</v>
      </c>
      <c r="D1070" s="0" t="s">
        <v>4037</v>
      </c>
      <c r="E1070" s="0" t="s">
        <v>3948</v>
      </c>
      <c r="F1070" s="0" t="s">
        <v>4092</v>
      </c>
    </row>
    <row r="1071" customFormat="false" ht="12.8" hidden="false" customHeight="false" outlineLevel="0" collapsed="false">
      <c r="A1071" s="0" t="n">
        <v>3</v>
      </c>
      <c r="B1071" s="0" t="n">
        <v>14</v>
      </c>
      <c r="C1071" s="0" t="n">
        <v>396</v>
      </c>
      <c r="D1071" s="0" t="s">
        <v>4037</v>
      </c>
      <c r="E1071" s="0" t="s">
        <v>3948</v>
      </c>
      <c r="F1071" s="0" t="s">
        <v>4093</v>
      </c>
    </row>
    <row r="1072" customFormat="false" ht="12.8" hidden="false" customHeight="false" outlineLevel="0" collapsed="false">
      <c r="A1072" s="0" t="n">
        <v>3</v>
      </c>
      <c r="B1072" s="0" t="n">
        <v>14</v>
      </c>
      <c r="C1072" s="0" t="n">
        <v>397</v>
      </c>
      <c r="D1072" s="0" t="s">
        <v>4037</v>
      </c>
      <c r="E1072" s="0" t="s">
        <v>3948</v>
      </c>
      <c r="F1072" s="0" t="s">
        <v>4094</v>
      </c>
    </row>
    <row r="1073" customFormat="false" ht="12.8" hidden="false" customHeight="false" outlineLevel="0" collapsed="false">
      <c r="A1073" s="0" t="n">
        <v>3</v>
      </c>
      <c r="B1073" s="0" t="n">
        <v>14</v>
      </c>
      <c r="C1073" s="0" t="n">
        <v>398</v>
      </c>
      <c r="D1073" s="0" t="s">
        <v>4037</v>
      </c>
      <c r="E1073" s="0" t="s">
        <v>3948</v>
      </c>
      <c r="F1073" s="0" t="s">
        <v>3965</v>
      </c>
    </row>
    <row r="1074" customFormat="false" ht="12.8" hidden="false" customHeight="false" outlineLevel="0" collapsed="false">
      <c r="A1074" s="0" t="n">
        <v>3</v>
      </c>
      <c r="B1074" s="0" t="n">
        <v>14</v>
      </c>
      <c r="C1074" s="0" t="n">
        <v>399</v>
      </c>
      <c r="D1074" s="0" t="s">
        <v>4037</v>
      </c>
      <c r="E1074" s="0" t="s">
        <v>3948</v>
      </c>
      <c r="F1074" s="0" t="s">
        <v>4096</v>
      </c>
    </row>
    <row r="1075" customFormat="false" ht="12.8" hidden="false" customHeight="false" outlineLevel="0" collapsed="false">
      <c r="A1075" s="0" t="n">
        <v>3</v>
      </c>
      <c r="B1075" s="0" t="n">
        <v>14</v>
      </c>
      <c r="C1075" s="0" t="n">
        <v>400</v>
      </c>
      <c r="D1075" s="0" t="s">
        <v>4037</v>
      </c>
      <c r="E1075" s="0" t="s">
        <v>3948</v>
      </c>
      <c r="F1075" s="0" t="s">
        <v>4095</v>
      </c>
    </row>
    <row r="1076" customFormat="false" ht="12.8" hidden="false" customHeight="false" outlineLevel="0" collapsed="false">
      <c r="A1076" s="0" t="n">
        <v>3</v>
      </c>
      <c r="B1076" s="0" t="n">
        <v>14</v>
      </c>
      <c r="C1076" s="0" t="n">
        <v>502</v>
      </c>
      <c r="D1076" s="0" t="s">
        <v>4037</v>
      </c>
      <c r="E1076" s="0" t="s">
        <v>3948</v>
      </c>
      <c r="F1076" s="0" t="s">
        <v>4092</v>
      </c>
    </row>
    <row r="1077" customFormat="false" ht="12.8" hidden="false" customHeight="false" outlineLevel="0" collapsed="false">
      <c r="A1077" s="0" t="n">
        <v>3</v>
      </c>
      <c r="B1077" s="0" t="n">
        <v>14</v>
      </c>
      <c r="C1077" s="0" t="n">
        <v>503</v>
      </c>
      <c r="D1077" s="0" t="s">
        <v>4037</v>
      </c>
      <c r="E1077" s="0" t="s">
        <v>3948</v>
      </c>
      <c r="F1077" s="0" t="s">
        <v>4093</v>
      </c>
    </row>
    <row r="1078" customFormat="false" ht="12.8" hidden="false" customHeight="false" outlineLevel="0" collapsed="false">
      <c r="A1078" s="0" t="n">
        <v>3</v>
      </c>
      <c r="B1078" s="0" t="n">
        <v>14</v>
      </c>
      <c r="C1078" s="0" t="n">
        <v>504</v>
      </c>
      <c r="D1078" s="0" t="s">
        <v>4037</v>
      </c>
      <c r="E1078" s="0" t="s">
        <v>3948</v>
      </c>
      <c r="F1078" s="0" t="s">
        <v>4094</v>
      </c>
    </row>
    <row r="1079" customFormat="false" ht="12.8" hidden="false" customHeight="false" outlineLevel="0" collapsed="false">
      <c r="A1079" s="0" t="n">
        <v>3</v>
      </c>
      <c r="B1079" s="0" t="n">
        <v>14</v>
      </c>
      <c r="C1079" s="0" t="n">
        <v>505</v>
      </c>
      <c r="D1079" s="0" t="s">
        <v>4037</v>
      </c>
      <c r="E1079" s="0" t="s">
        <v>3948</v>
      </c>
      <c r="F1079" s="0" t="s">
        <v>3965</v>
      </c>
    </row>
    <row r="1080" customFormat="false" ht="12.8" hidden="false" customHeight="false" outlineLevel="0" collapsed="false">
      <c r="A1080" s="0" t="n">
        <v>3</v>
      </c>
      <c r="B1080" s="0" t="n">
        <v>14</v>
      </c>
      <c r="C1080" s="0" t="n">
        <v>506</v>
      </c>
      <c r="D1080" s="0" t="s">
        <v>4037</v>
      </c>
      <c r="E1080" s="0" t="s">
        <v>3948</v>
      </c>
      <c r="F1080" s="0" t="s">
        <v>4096</v>
      </c>
    </row>
    <row r="1081" customFormat="false" ht="12.8" hidden="false" customHeight="false" outlineLevel="0" collapsed="false">
      <c r="A1081" s="0" t="n">
        <v>3</v>
      </c>
      <c r="B1081" s="0" t="n">
        <v>14</v>
      </c>
      <c r="C1081" s="0" t="n">
        <v>507</v>
      </c>
      <c r="D1081" s="0" t="s">
        <v>4037</v>
      </c>
      <c r="E1081" s="0" t="s">
        <v>3948</v>
      </c>
      <c r="F1081" s="0" t="s">
        <v>4095</v>
      </c>
    </row>
    <row r="1082" customFormat="false" ht="12.8" hidden="false" customHeight="false" outlineLevel="0" collapsed="false">
      <c r="A1082" s="0" t="n">
        <v>3</v>
      </c>
      <c r="B1082" s="0" t="n">
        <v>14</v>
      </c>
      <c r="C1082" s="0" t="n">
        <v>609</v>
      </c>
      <c r="D1082" s="0" t="s">
        <v>4037</v>
      </c>
      <c r="E1082" s="0" t="s">
        <v>3948</v>
      </c>
      <c r="F1082" s="0" t="s">
        <v>4092</v>
      </c>
    </row>
    <row r="1083" customFormat="false" ht="12.8" hidden="false" customHeight="false" outlineLevel="0" collapsed="false">
      <c r="A1083" s="0" t="n">
        <v>3</v>
      </c>
      <c r="B1083" s="0" t="n">
        <v>14</v>
      </c>
      <c r="C1083" s="0" t="n">
        <v>610</v>
      </c>
      <c r="D1083" s="0" t="s">
        <v>4037</v>
      </c>
      <c r="E1083" s="0" t="s">
        <v>3948</v>
      </c>
      <c r="F1083" s="0" t="s">
        <v>4093</v>
      </c>
    </row>
    <row r="1084" customFormat="false" ht="12.8" hidden="false" customHeight="false" outlineLevel="0" collapsed="false">
      <c r="A1084" s="0" t="n">
        <v>3</v>
      </c>
      <c r="B1084" s="0" t="n">
        <v>14</v>
      </c>
      <c r="C1084" s="0" t="n">
        <v>611</v>
      </c>
      <c r="D1084" s="0" t="s">
        <v>4037</v>
      </c>
      <c r="E1084" s="0" t="s">
        <v>3948</v>
      </c>
      <c r="F1084" s="0" t="s">
        <v>4094</v>
      </c>
    </row>
    <row r="1085" customFormat="false" ht="12.8" hidden="false" customHeight="false" outlineLevel="0" collapsed="false">
      <c r="A1085" s="0" t="n">
        <v>3</v>
      </c>
      <c r="B1085" s="0" t="n">
        <v>14</v>
      </c>
      <c r="C1085" s="0" t="n">
        <v>612</v>
      </c>
      <c r="D1085" s="0" t="s">
        <v>4037</v>
      </c>
      <c r="E1085" s="0" t="s">
        <v>3948</v>
      </c>
      <c r="F1085" s="0" t="s">
        <v>3965</v>
      </c>
    </row>
    <row r="1086" customFormat="false" ht="12.8" hidden="false" customHeight="false" outlineLevel="0" collapsed="false">
      <c r="A1086" s="0" t="n">
        <v>3</v>
      </c>
      <c r="B1086" s="0" t="n">
        <v>14</v>
      </c>
      <c r="C1086" s="0" t="n">
        <v>613</v>
      </c>
      <c r="D1086" s="0" t="s">
        <v>4037</v>
      </c>
      <c r="E1086" s="0" t="s">
        <v>3948</v>
      </c>
      <c r="F1086" s="0" t="s">
        <v>4096</v>
      </c>
    </row>
    <row r="1087" customFormat="false" ht="12.8" hidden="false" customHeight="false" outlineLevel="0" collapsed="false">
      <c r="A1087" s="0" t="n">
        <v>3</v>
      </c>
      <c r="B1087" s="0" t="n">
        <v>14</v>
      </c>
      <c r="C1087" s="0" t="n">
        <v>614</v>
      </c>
      <c r="D1087" s="0" t="s">
        <v>4037</v>
      </c>
      <c r="E1087" s="0" t="s">
        <v>3948</v>
      </c>
      <c r="F1087" s="0" t="s">
        <v>4095</v>
      </c>
    </row>
    <row r="1088" customFormat="false" ht="12.8" hidden="false" customHeight="false" outlineLevel="0" collapsed="false">
      <c r="A1088" s="0" t="n">
        <v>3</v>
      </c>
      <c r="B1088" s="0" t="n">
        <v>14</v>
      </c>
      <c r="C1088" s="0" t="n">
        <v>727</v>
      </c>
      <c r="D1088" s="0" t="s">
        <v>4037</v>
      </c>
      <c r="E1088" s="0" t="s">
        <v>3948</v>
      </c>
      <c r="F1088" s="0" t="s">
        <v>4092</v>
      </c>
    </row>
    <row r="1089" customFormat="false" ht="12.8" hidden="false" customHeight="false" outlineLevel="0" collapsed="false">
      <c r="A1089" s="0" t="n">
        <v>3</v>
      </c>
      <c r="B1089" s="0" t="n">
        <v>14</v>
      </c>
      <c r="C1089" s="0" t="n">
        <v>728</v>
      </c>
      <c r="D1089" s="0" t="s">
        <v>4037</v>
      </c>
      <c r="E1089" s="0" t="s">
        <v>3948</v>
      </c>
      <c r="F1089" s="0" t="s">
        <v>4093</v>
      </c>
    </row>
    <row r="1090" customFormat="false" ht="12.8" hidden="false" customHeight="false" outlineLevel="0" collapsed="false">
      <c r="A1090" s="0" t="n">
        <v>3</v>
      </c>
      <c r="B1090" s="0" t="n">
        <v>14</v>
      </c>
      <c r="C1090" s="0" t="n">
        <v>729</v>
      </c>
      <c r="D1090" s="0" t="s">
        <v>4037</v>
      </c>
      <c r="E1090" s="0" t="s">
        <v>3948</v>
      </c>
      <c r="F1090" s="0" t="s">
        <v>4094</v>
      </c>
    </row>
    <row r="1091" customFormat="false" ht="12.8" hidden="false" customHeight="false" outlineLevel="0" collapsed="false">
      <c r="A1091" s="0" t="n">
        <v>3</v>
      </c>
      <c r="B1091" s="0" t="n">
        <v>14</v>
      </c>
      <c r="C1091" s="0" t="n">
        <v>730</v>
      </c>
      <c r="D1091" s="0" t="s">
        <v>4037</v>
      </c>
      <c r="E1091" s="0" t="s">
        <v>3948</v>
      </c>
      <c r="F1091" s="0" t="s">
        <v>3965</v>
      </c>
    </row>
    <row r="1092" customFormat="false" ht="12.8" hidden="false" customHeight="false" outlineLevel="0" collapsed="false">
      <c r="A1092" s="0" t="n">
        <v>3</v>
      </c>
      <c r="B1092" s="0" t="n">
        <v>14</v>
      </c>
      <c r="C1092" s="0" t="n">
        <v>731</v>
      </c>
      <c r="D1092" s="0" t="s">
        <v>4037</v>
      </c>
      <c r="E1092" s="0" t="s">
        <v>3948</v>
      </c>
      <c r="F1092" s="0" t="s">
        <v>4096</v>
      </c>
    </row>
    <row r="1093" customFormat="false" ht="12.8" hidden="false" customHeight="false" outlineLevel="0" collapsed="false">
      <c r="A1093" s="0" t="n">
        <v>3</v>
      </c>
      <c r="B1093" s="0" t="n">
        <v>14</v>
      </c>
      <c r="C1093" s="0" t="n">
        <v>732</v>
      </c>
      <c r="D1093" s="0" t="s">
        <v>4037</v>
      </c>
      <c r="E1093" s="0" t="s">
        <v>3948</v>
      </c>
      <c r="F1093" s="0" t="s">
        <v>4095</v>
      </c>
    </row>
    <row r="1094" customFormat="false" ht="12.8" hidden="false" customHeight="false" outlineLevel="0" collapsed="false">
      <c r="A1094" s="0" t="n">
        <v>3</v>
      </c>
      <c r="B1094" s="0" t="n">
        <v>14</v>
      </c>
      <c r="C1094" s="0" t="n">
        <v>842</v>
      </c>
      <c r="D1094" s="0" t="s">
        <v>4037</v>
      </c>
      <c r="E1094" s="0" t="s">
        <v>3948</v>
      </c>
      <c r="F1094" s="0" t="s">
        <v>4092</v>
      </c>
    </row>
    <row r="1095" customFormat="false" ht="12.8" hidden="false" customHeight="false" outlineLevel="0" collapsed="false">
      <c r="A1095" s="0" t="n">
        <v>3</v>
      </c>
      <c r="B1095" s="0" t="n">
        <v>14</v>
      </c>
      <c r="C1095" s="0" t="n">
        <v>843</v>
      </c>
      <c r="D1095" s="0" t="s">
        <v>4037</v>
      </c>
      <c r="E1095" s="0" t="s">
        <v>3948</v>
      </c>
      <c r="F1095" s="0" t="s">
        <v>4093</v>
      </c>
    </row>
    <row r="1096" customFormat="false" ht="12.8" hidden="false" customHeight="false" outlineLevel="0" collapsed="false">
      <c r="A1096" s="0" t="n">
        <v>3</v>
      </c>
      <c r="B1096" s="0" t="n">
        <v>14</v>
      </c>
      <c r="C1096" s="0" t="n">
        <v>844</v>
      </c>
      <c r="D1096" s="0" t="s">
        <v>4037</v>
      </c>
      <c r="E1096" s="0" t="s">
        <v>3948</v>
      </c>
      <c r="F1096" s="0" t="s">
        <v>4094</v>
      </c>
    </row>
    <row r="1097" customFormat="false" ht="12.8" hidden="false" customHeight="false" outlineLevel="0" collapsed="false">
      <c r="A1097" s="0" t="n">
        <v>3</v>
      </c>
      <c r="B1097" s="0" t="n">
        <v>14</v>
      </c>
      <c r="C1097" s="0" t="n">
        <v>845</v>
      </c>
      <c r="D1097" s="0" t="s">
        <v>4037</v>
      </c>
      <c r="E1097" s="0" t="s">
        <v>3948</v>
      </c>
      <c r="F1097" s="0" t="s">
        <v>3965</v>
      </c>
    </row>
    <row r="1098" customFormat="false" ht="12.8" hidden="false" customHeight="false" outlineLevel="0" collapsed="false">
      <c r="A1098" s="0" t="n">
        <v>3</v>
      </c>
      <c r="B1098" s="0" t="n">
        <v>14</v>
      </c>
      <c r="C1098" s="0" t="n">
        <v>846</v>
      </c>
      <c r="D1098" s="0" t="s">
        <v>4037</v>
      </c>
      <c r="E1098" s="0" t="s">
        <v>3948</v>
      </c>
      <c r="F1098" s="0" t="s">
        <v>4096</v>
      </c>
    </row>
    <row r="1099" customFormat="false" ht="12.8" hidden="false" customHeight="false" outlineLevel="0" collapsed="false">
      <c r="A1099" s="0" t="n">
        <v>3</v>
      </c>
      <c r="B1099" s="0" t="n">
        <v>14</v>
      </c>
      <c r="C1099" s="0" t="n">
        <v>847</v>
      </c>
      <c r="D1099" s="0" t="s">
        <v>4037</v>
      </c>
      <c r="E1099" s="0" t="s">
        <v>3948</v>
      </c>
      <c r="F1099" s="0" t="s">
        <v>4095</v>
      </c>
    </row>
    <row r="1100" customFormat="false" ht="12.8" hidden="false" customHeight="false" outlineLevel="0" collapsed="false">
      <c r="A1100" s="0" t="n">
        <v>3</v>
      </c>
      <c r="B1100" s="0" t="n">
        <v>14</v>
      </c>
      <c r="C1100" s="0" t="n">
        <v>933</v>
      </c>
      <c r="D1100" s="0" t="s">
        <v>4037</v>
      </c>
      <c r="E1100" s="0" t="s">
        <v>3948</v>
      </c>
      <c r="F1100" s="0" t="s">
        <v>4096</v>
      </c>
    </row>
    <row r="1101" customFormat="false" ht="12.8" hidden="false" customHeight="false" outlineLevel="0" collapsed="false">
      <c r="A1101" s="0" t="n">
        <v>3</v>
      </c>
      <c r="B1101" s="0" t="n">
        <v>14</v>
      </c>
      <c r="C1101" s="0" t="n">
        <v>1000</v>
      </c>
      <c r="D1101" s="0" t="s">
        <v>4037</v>
      </c>
      <c r="E1101" s="0" t="s">
        <v>3948</v>
      </c>
      <c r="F1101" s="0" t="s">
        <v>3965</v>
      </c>
    </row>
    <row r="1102" customFormat="false" ht="12.8" hidden="false" customHeight="false" outlineLevel="0" collapsed="false">
      <c r="A1102" s="0" t="n">
        <v>3</v>
      </c>
      <c r="B1102" s="0" t="n">
        <v>14</v>
      </c>
      <c r="C1102" s="0" t="n">
        <v>1099</v>
      </c>
      <c r="D1102" s="0" t="s">
        <v>4037</v>
      </c>
      <c r="E1102" s="0" t="s">
        <v>3948</v>
      </c>
      <c r="F1102" s="0" t="s">
        <v>4097</v>
      </c>
    </row>
    <row r="1103" customFormat="false" ht="12.8" hidden="false" customHeight="false" outlineLevel="0" collapsed="false">
      <c r="A1103" s="0" t="n">
        <v>3</v>
      </c>
      <c r="B1103" s="0" t="n">
        <v>14</v>
      </c>
      <c r="C1103" s="0" t="n">
        <v>1100</v>
      </c>
      <c r="D1103" s="0" t="s">
        <v>4037</v>
      </c>
      <c r="E1103" s="0" t="s">
        <v>3948</v>
      </c>
      <c r="F1103" s="0" t="s">
        <v>4097</v>
      </c>
    </row>
    <row r="1104" customFormat="false" ht="12.8" hidden="false" customHeight="false" outlineLevel="0" collapsed="false">
      <c r="A1104" s="0" t="n">
        <v>3</v>
      </c>
      <c r="B1104" s="0" t="n">
        <v>14</v>
      </c>
      <c r="C1104" s="0" t="n">
        <v>1101</v>
      </c>
      <c r="D1104" s="0" t="s">
        <v>4037</v>
      </c>
      <c r="E1104" s="0" t="s">
        <v>3948</v>
      </c>
      <c r="F1104" s="0" t="s">
        <v>4097</v>
      </c>
    </row>
    <row r="1105" customFormat="false" ht="12.8" hidden="false" customHeight="false" outlineLevel="0" collapsed="false">
      <c r="A1105" s="0" t="n">
        <v>3</v>
      </c>
      <c r="B1105" s="0" t="n">
        <v>14</v>
      </c>
      <c r="C1105" s="0" t="n">
        <v>1102</v>
      </c>
      <c r="D1105" s="0" t="s">
        <v>4037</v>
      </c>
      <c r="E1105" s="0" t="s">
        <v>3948</v>
      </c>
      <c r="F1105" s="0" t="s">
        <v>4097</v>
      </c>
    </row>
    <row r="1106" customFormat="false" ht="12.8" hidden="false" customHeight="false" outlineLevel="0" collapsed="false">
      <c r="A1106" s="0" t="n">
        <v>3</v>
      </c>
      <c r="B1106" s="0" t="n">
        <v>14</v>
      </c>
      <c r="C1106" s="0" t="n">
        <v>1103</v>
      </c>
      <c r="D1106" s="0" t="s">
        <v>4037</v>
      </c>
      <c r="E1106" s="0" t="s">
        <v>3948</v>
      </c>
      <c r="F1106" s="0" t="s">
        <v>4097</v>
      </c>
    </row>
    <row r="1107" customFormat="false" ht="12.8" hidden="false" customHeight="false" outlineLevel="0" collapsed="false">
      <c r="A1107" s="0" t="n">
        <v>3</v>
      </c>
      <c r="B1107" s="0" t="n">
        <v>14</v>
      </c>
      <c r="C1107" s="0" t="n">
        <v>1104</v>
      </c>
      <c r="D1107" s="0" t="s">
        <v>4037</v>
      </c>
      <c r="E1107" s="0" t="s">
        <v>3948</v>
      </c>
      <c r="F1107" s="0" t="s">
        <v>4097</v>
      </c>
    </row>
    <row r="1108" customFormat="false" ht="12.8" hidden="false" customHeight="false" outlineLevel="0" collapsed="false">
      <c r="A1108" s="0" t="n">
        <v>3</v>
      </c>
      <c r="B1108" s="0" t="n">
        <v>14</v>
      </c>
      <c r="C1108" s="0" t="n">
        <v>1105</v>
      </c>
      <c r="D1108" s="0" t="s">
        <v>4037</v>
      </c>
      <c r="E1108" s="0" t="s">
        <v>3948</v>
      </c>
      <c r="F1108" s="0" t="s">
        <v>4097</v>
      </c>
    </row>
    <row r="1109" customFormat="false" ht="12.8" hidden="false" customHeight="false" outlineLevel="0" collapsed="false">
      <c r="A1109" s="0" t="n">
        <v>3</v>
      </c>
      <c r="B1109" s="0" t="n">
        <v>14</v>
      </c>
      <c r="C1109" s="0" t="n">
        <v>1106</v>
      </c>
      <c r="D1109" s="0" t="s">
        <v>4037</v>
      </c>
      <c r="E1109" s="0" t="s">
        <v>3948</v>
      </c>
      <c r="F1109" s="0" t="s">
        <v>4097</v>
      </c>
    </row>
    <row r="1110" customFormat="false" ht="12.8" hidden="false" customHeight="false" outlineLevel="0" collapsed="false">
      <c r="A1110" s="0" t="n">
        <v>3</v>
      </c>
      <c r="B1110" s="0" t="n">
        <v>14</v>
      </c>
      <c r="C1110" s="0" t="n">
        <v>1107</v>
      </c>
      <c r="D1110" s="0" t="s">
        <v>4037</v>
      </c>
      <c r="E1110" s="0" t="s">
        <v>3948</v>
      </c>
      <c r="F1110" s="0" t="s">
        <v>4097</v>
      </c>
    </row>
    <row r="1111" customFormat="false" ht="12.8" hidden="false" customHeight="false" outlineLevel="0" collapsed="false">
      <c r="A1111" s="0" t="n">
        <v>3</v>
      </c>
      <c r="B1111" s="0" t="n">
        <v>14</v>
      </c>
      <c r="C1111" s="0" t="n">
        <v>1108</v>
      </c>
      <c r="D1111" s="0" t="s">
        <v>4037</v>
      </c>
      <c r="E1111" s="0" t="s">
        <v>3948</v>
      </c>
      <c r="F1111" s="0" t="s">
        <v>4097</v>
      </c>
    </row>
    <row r="1112" customFormat="false" ht="12.8" hidden="false" customHeight="false" outlineLevel="0" collapsed="false">
      <c r="A1112" s="0" t="n">
        <v>3</v>
      </c>
      <c r="B1112" s="0" t="n">
        <v>14</v>
      </c>
      <c r="C1112" s="0" t="n">
        <v>1136</v>
      </c>
      <c r="D1112" s="0" t="s">
        <v>4037</v>
      </c>
      <c r="E1112" s="0" t="s">
        <v>3948</v>
      </c>
      <c r="F1112" s="0" t="s">
        <v>4098</v>
      </c>
    </row>
    <row r="1113" customFormat="false" ht="12.8" hidden="false" customHeight="false" outlineLevel="0" collapsed="false">
      <c r="A1113" s="0" t="n">
        <v>3</v>
      </c>
      <c r="B1113" s="0" t="n">
        <v>14</v>
      </c>
      <c r="C1113" s="0" t="n">
        <v>1137</v>
      </c>
      <c r="D1113" s="0" t="s">
        <v>4037</v>
      </c>
      <c r="E1113" s="0" t="s">
        <v>3948</v>
      </c>
      <c r="F1113" s="0" t="s">
        <v>4098</v>
      </c>
    </row>
    <row r="1114" customFormat="false" ht="12.8" hidden="false" customHeight="false" outlineLevel="0" collapsed="false">
      <c r="A1114" s="0" t="n">
        <v>3</v>
      </c>
      <c r="B1114" s="0" t="n">
        <v>14</v>
      </c>
      <c r="C1114" s="0" t="n">
        <v>1138</v>
      </c>
      <c r="D1114" s="0" t="s">
        <v>4037</v>
      </c>
      <c r="E1114" s="0" t="s">
        <v>3948</v>
      </c>
      <c r="F1114" s="0" t="s">
        <v>4098</v>
      </c>
    </row>
    <row r="1115" customFormat="false" ht="12.8" hidden="false" customHeight="false" outlineLevel="0" collapsed="false">
      <c r="A1115" s="0" t="n">
        <v>3</v>
      </c>
      <c r="B1115" s="0" t="n">
        <v>14</v>
      </c>
      <c r="C1115" s="0" t="n">
        <v>1139</v>
      </c>
      <c r="D1115" s="0" t="s">
        <v>4037</v>
      </c>
      <c r="E1115" s="0" t="s">
        <v>3948</v>
      </c>
      <c r="F1115" s="0" t="s">
        <v>4098</v>
      </c>
    </row>
    <row r="1116" customFormat="false" ht="12.8" hidden="false" customHeight="false" outlineLevel="0" collapsed="false">
      <c r="A1116" s="0" t="n">
        <v>3</v>
      </c>
      <c r="B1116" s="0" t="n">
        <v>14</v>
      </c>
      <c r="C1116" s="0" t="n">
        <v>1140</v>
      </c>
      <c r="D1116" s="0" t="s">
        <v>4037</v>
      </c>
      <c r="E1116" s="0" t="s">
        <v>3948</v>
      </c>
      <c r="F1116" s="0" t="s">
        <v>4098</v>
      </c>
    </row>
    <row r="1117" customFormat="false" ht="12.8" hidden="false" customHeight="false" outlineLevel="0" collapsed="false">
      <c r="A1117" s="0" t="n">
        <v>3</v>
      </c>
      <c r="B1117" s="0" t="n">
        <v>14</v>
      </c>
      <c r="C1117" s="0" t="n">
        <v>1141</v>
      </c>
      <c r="D1117" s="0" t="s">
        <v>4037</v>
      </c>
      <c r="E1117" s="0" t="s">
        <v>3948</v>
      </c>
      <c r="F1117" s="0" t="s">
        <v>4098</v>
      </c>
    </row>
    <row r="1118" customFormat="false" ht="12.8" hidden="false" customHeight="false" outlineLevel="0" collapsed="false">
      <c r="A1118" s="0" t="n">
        <v>3</v>
      </c>
      <c r="B1118" s="0" t="n">
        <v>14</v>
      </c>
      <c r="C1118" s="0" t="n">
        <v>1142</v>
      </c>
      <c r="D1118" s="0" t="s">
        <v>4037</v>
      </c>
      <c r="E1118" s="0" t="s">
        <v>3948</v>
      </c>
      <c r="F1118" s="0" t="s">
        <v>4098</v>
      </c>
    </row>
    <row r="1119" customFormat="false" ht="12.8" hidden="false" customHeight="false" outlineLevel="0" collapsed="false">
      <c r="A1119" s="0" t="n">
        <v>3</v>
      </c>
      <c r="B1119" s="0" t="n">
        <v>14</v>
      </c>
      <c r="C1119" s="0" t="n">
        <v>1143</v>
      </c>
      <c r="D1119" s="0" t="s">
        <v>4037</v>
      </c>
      <c r="E1119" s="0" t="s">
        <v>3948</v>
      </c>
      <c r="F1119" s="0" t="s">
        <v>4098</v>
      </c>
    </row>
    <row r="1120" customFormat="false" ht="12.8" hidden="false" customHeight="false" outlineLevel="0" collapsed="false">
      <c r="A1120" s="0" t="n">
        <v>3</v>
      </c>
      <c r="B1120" s="0" t="n">
        <v>14</v>
      </c>
      <c r="C1120" s="0" t="n">
        <v>1144</v>
      </c>
      <c r="D1120" s="0" t="s">
        <v>4037</v>
      </c>
      <c r="E1120" s="0" t="s">
        <v>3948</v>
      </c>
      <c r="F1120" s="0" t="s">
        <v>4098</v>
      </c>
    </row>
    <row r="1121" customFormat="false" ht="12.8" hidden="false" customHeight="false" outlineLevel="0" collapsed="false">
      <c r="A1121" s="0" t="n">
        <v>3</v>
      </c>
      <c r="B1121" s="0" t="n">
        <v>14</v>
      </c>
      <c r="C1121" s="0" t="n">
        <v>1145</v>
      </c>
      <c r="D1121" s="0" t="s">
        <v>4037</v>
      </c>
      <c r="E1121" s="0" t="s">
        <v>3948</v>
      </c>
      <c r="F1121" s="0" t="s">
        <v>4098</v>
      </c>
    </row>
    <row r="1122" customFormat="false" ht="12.8" hidden="false" customHeight="false" outlineLevel="0" collapsed="false">
      <c r="A1122" s="0" t="n">
        <v>3</v>
      </c>
      <c r="B1122" s="0" t="n">
        <v>14</v>
      </c>
      <c r="C1122" s="0" t="n">
        <v>1156</v>
      </c>
      <c r="D1122" s="0" t="s">
        <v>4037</v>
      </c>
      <c r="E1122" s="0" t="s">
        <v>3948</v>
      </c>
      <c r="F1122" s="0" t="s">
        <v>4099</v>
      </c>
    </row>
    <row r="1123" customFormat="false" ht="12.8" hidden="false" customHeight="false" outlineLevel="0" collapsed="false">
      <c r="A1123" s="0" t="n">
        <v>3</v>
      </c>
      <c r="B1123" s="0" t="n">
        <v>14</v>
      </c>
      <c r="C1123" s="0" t="n">
        <v>1157</v>
      </c>
      <c r="D1123" s="0" t="s">
        <v>4037</v>
      </c>
      <c r="E1123" s="0" t="s">
        <v>3948</v>
      </c>
      <c r="F1123" s="0" t="s">
        <v>4099</v>
      </c>
    </row>
    <row r="1124" customFormat="false" ht="12.8" hidden="false" customHeight="false" outlineLevel="0" collapsed="false">
      <c r="A1124" s="0" t="n">
        <v>3</v>
      </c>
      <c r="B1124" s="0" t="n">
        <v>14</v>
      </c>
      <c r="C1124" s="0" t="n">
        <v>1158</v>
      </c>
      <c r="D1124" s="0" t="s">
        <v>4037</v>
      </c>
      <c r="E1124" s="0" t="s">
        <v>3948</v>
      </c>
      <c r="F1124" s="0" t="s">
        <v>4099</v>
      </c>
    </row>
    <row r="1125" customFormat="false" ht="12.8" hidden="false" customHeight="false" outlineLevel="0" collapsed="false">
      <c r="A1125" s="0" t="n">
        <v>3</v>
      </c>
      <c r="B1125" s="0" t="n">
        <v>14</v>
      </c>
      <c r="C1125" s="0" t="n">
        <v>1159</v>
      </c>
      <c r="D1125" s="0" t="s">
        <v>4037</v>
      </c>
      <c r="E1125" s="0" t="s">
        <v>3948</v>
      </c>
      <c r="F1125" s="0" t="s">
        <v>4099</v>
      </c>
    </row>
    <row r="1126" customFormat="false" ht="12.8" hidden="false" customHeight="false" outlineLevel="0" collapsed="false">
      <c r="A1126" s="0" t="n">
        <v>3</v>
      </c>
      <c r="B1126" s="0" t="n">
        <v>14</v>
      </c>
      <c r="C1126" s="0" t="n">
        <v>1160</v>
      </c>
      <c r="D1126" s="0" t="s">
        <v>4037</v>
      </c>
      <c r="E1126" s="0" t="s">
        <v>3948</v>
      </c>
      <c r="F1126" s="0" t="s">
        <v>4099</v>
      </c>
    </row>
    <row r="1127" customFormat="false" ht="12.8" hidden="false" customHeight="false" outlineLevel="0" collapsed="false">
      <c r="A1127" s="0" t="n">
        <v>3</v>
      </c>
      <c r="B1127" s="0" t="n">
        <v>14</v>
      </c>
      <c r="C1127" s="0" t="n">
        <v>1161</v>
      </c>
      <c r="D1127" s="0" t="s">
        <v>4037</v>
      </c>
      <c r="E1127" s="0" t="s">
        <v>3948</v>
      </c>
      <c r="F1127" s="0" t="s">
        <v>4099</v>
      </c>
    </row>
    <row r="1128" customFormat="false" ht="12.8" hidden="false" customHeight="false" outlineLevel="0" collapsed="false">
      <c r="A1128" s="0" t="n">
        <v>3</v>
      </c>
      <c r="B1128" s="0" t="n">
        <v>14</v>
      </c>
      <c r="C1128" s="0" t="n">
        <v>1162</v>
      </c>
      <c r="D1128" s="0" t="s">
        <v>4037</v>
      </c>
      <c r="E1128" s="0" t="s">
        <v>3948</v>
      </c>
      <c r="F1128" s="0" t="s">
        <v>4099</v>
      </c>
    </row>
    <row r="1129" customFormat="false" ht="12.8" hidden="false" customHeight="false" outlineLevel="0" collapsed="false">
      <c r="A1129" s="0" t="n">
        <v>3</v>
      </c>
      <c r="B1129" s="0" t="n">
        <v>14</v>
      </c>
      <c r="C1129" s="0" t="n">
        <v>1163</v>
      </c>
      <c r="D1129" s="0" t="s">
        <v>4037</v>
      </c>
      <c r="E1129" s="0" t="s">
        <v>3948</v>
      </c>
      <c r="F1129" s="0" t="s">
        <v>4099</v>
      </c>
    </row>
    <row r="1130" customFormat="false" ht="12.8" hidden="false" customHeight="false" outlineLevel="0" collapsed="false">
      <c r="A1130" s="0" t="n">
        <v>3</v>
      </c>
      <c r="B1130" s="0" t="n">
        <v>14</v>
      </c>
      <c r="C1130" s="0" t="n">
        <v>1164</v>
      </c>
      <c r="D1130" s="0" t="s">
        <v>4037</v>
      </c>
      <c r="E1130" s="0" t="s">
        <v>3948</v>
      </c>
      <c r="F1130" s="0" t="s">
        <v>4099</v>
      </c>
    </row>
    <row r="1131" customFormat="false" ht="12.8" hidden="false" customHeight="false" outlineLevel="0" collapsed="false">
      <c r="A1131" s="0" t="n">
        <v>3</v>
      </c>
      <c r="B1131" s="0" t="n">
        <v>14</v>
      </c>
      <c r="C1131" s="0" t="n">
        <v>1165</v>
      </c>
      <c r="D1131" s="0" t="s">
        <v>4037</v>
      </c>
      <c r="E1131" s="0" t="s">
        <v>3948</v>
      </c>
      <c r="F1131" s="0" t="s">
        <v>4099</v>
      </c>
    </row>
    <row r="1132" customFormat="false" ht="12.8" hidden="false" customHeight="false" outlineLevel="0" collapsed="false">
      <c r="A1132" s="0" t="n">
        <v>3</v>
      </c>
      <c r="B1132" s="0" t="n">
        <v>14</v>
      </c>
      <c r="C1132" s="0" t="n">
        <v>1173</v>
      </c>
      <c r="D1132" s="0" t="s">
        <v>4037</v>
      </c>
      <c r="E1132" s="0" t="s">
        <v>3948</v>
      </c>
      <c r="F1132" s="0" t="s">
        <v>4093</v>
      </c>
    </row>
    <row r="1133" customFormat="false" ht="12.8" hidden="false" customHeight="false" outlineLevel="0" collapsed="false">
      <c r="A1133" s="0" t="n">
        <v>3</v>
      </c>
      <c r="B1133" s="0" t="n">
        <v>14</v>
      </c>
      <c r="C1133" s="0" t="n">
        <v>1191</v>
      </c>
      <c r="D1133" s="0" t="s">
        <v>4037</v>
      </c>
      <c r="E1133" s="0" t="s">
        <v>3948</v>
      </c>
      <c r="F1133" s="0" t="s">
        <v>4100</v>
      </c>
    </row>
    <row r="1134" customFormat="false" ht="12.8" hidden="false" customHeight="false" outlineLevel="0" collapsed="false">
      <c r="A1134" s="0" t="n">
        <v>3</v>
      </c>
      <c r="B1134" s="0" t="n">
        <v>14</v>
      </c>
      <c r="C1134" s="0" t="n">
        <v>1192</v>
      </c>
      <c r="D1134" s="0" t="s">
        <v>4037</v>
      </c>
      <c r="E1134" s="0" t="s">
        <v>3948</v>
      </c>
      <c r="F1134" s="0" t="s">
        <v>4100</v>
      </c>
    </row>
    <row r="1135" customFormat="false" ht="12.8" hidden="false" customHeight="false" outlineLevel="0" collapsed="false">
      <c r="A1135" s="0" t="n">
        <v>3</v>
      </c>
      <c r="B1135" s="0" t="n">
        <v>14</v>
      </c>
      <c r="C1135" s="0" t="n">
        <v>1193</v>
      </c>
      <c r="D1135" s="0" t="s">
        <v>4037</v>
      </c>
      <c r="E1135" s="0" t="s">
        <v>3948</v>
      </c>
      <c r="F1135" s="0" t="s">
        <v>4100</v>
      </c>
    </row>
    <row r="1136" customFormat="false" ht="12.8" hidden="false" customHeight="false" outlineLevel="0" collapsed="false">
      <c r="A1136" s="0" t="n">
        <v>3</v>
      </c>
      <c r="B1136" s="0" t="n">
        <v>14</v>
      </c>
      <c r="C1136" s="0" t="n">
        <v>1194</v>
      </c>
      <c r="D1136" s="0" t="s">
        <v>4037</v>
      </c>
      <c r="E1136" s="0" t="s">
        <v>3948</v>
      </c>
      <c r="F1136" s="0" t="s">
        <v>4100</v>
      </c>
    </row>
    <row r="1137" customFormat="false" ht="12.8" hidden="false" customHeight="false" outlineLevel="0" collapsed="false">
      <c r="A1137" s="0" t="n">
        <v>3</v>
      </c>
      <c r="B1137" s="0" t="n">
        <v>14</v>
      </c>
      <c r="C1137" s="0" t="n">
        <v>1195</v>
      </c>
      <c r="D1137" s="0" t="s">
        <v>4037</v>
      </c>
      <c r="E1137" s="0" t="s">
        <v>3948</v>
      </c>
      <c r="F1137" s="0" t="s">
        <v>4100</v>
      </c>
    </row>
    <row r="1138" customFormat="false" ht="12.8" hidden="false" customHeight="false" outlineLevel="0" collapsed="false">
      <c r="A1138" s="0" t="n">
        <v>3</v>
      </c>
      <c r="B1138" s="0" t="n">
        <v>14</v>
      </c>
      <c r="C1138" s="0" t="n">
        <v>1196</v>
      </c>
      <c r="D1138" s="0" t="s">
        <v>4037</v>
      </c>
      <c r="E1138" s="0" t="s">
        <v>3948</v>
      </c>
      <c r="F1138" s="0" t="s">
        <v>4100</v>
      </c>
    </row>
    <row r="1139" customFormat="false" ht="12.8" hidden="false" customHeight="false" outlineLevel="0" collapsed="false">
      <c r="A1139" s="0" t="n">
        <v>3</v>
      </c>
      <c r="B1139" s="0" t="n">
        <v>14</v>
      </c>
      <c r="C1139" s="0" t="n">
        <v>1197</v>
      </c>
      <c r="D1139" s="0" t="s">
        <v>4037</v>
      </c>
      <c r="E1139" s="0" t="s">
        <v>3948</v>
      </c>
      <c r="F1139" s="0" t="s">
        <v>4100</v>
      </c>
    </row>
    <row r="1140" customFormat="false" ht="12.8" hidden="false" customHeight="false" outlineLevel="0" collapsed="false">
      <c r="A1140" s="0" t="n">
        <v>3</v>
      </c>
      <c r="B1140" s="0" t="n">
        <v>14</v>
      </c>
      <c r="C1140" s="0" t="n">
        <v>1198</v>
      </c>
      <c r="D1140" s="0" t="s">
        <v>4037</v>
      </c>
      <c r="E1140" s="0" t="s">
        <v>3948</v>
      </c>
      <c r="F1140" s="0" t="s">
        <v>4100</v>
      </c>
    </row>
    <row r="1141" customFormat="false" ht="12.8" hidden="false" customHeight="false" outlineLevel="0" collapsed="false">
      <c r="A1141" s="0" t="n">
        <v>3</v>
      </c>
      <c r="B1141" s="0" t="n">
        <v>14</v>
      </c>
      <c r="C1141" s="0" t="n">
        <v>1199</v>
      </c>
      <c r="D1141" s="0" t="s">
        <v>4037</v>
      </c>
      <c r="E1141" s="0" t="s">
        <v>3948</v>
      </c>
      <c r="F1141" s="0" t="s">
        <v>4100</v>
      </c>
    </row>
    <row r="1142" customFormat="false" ht="12.8" hidden="false" customHeight="false" outlineLevel="0" collapsed="false">
      <c r="A1142" s="0" t="n">
        <v>3</v>
      </c>
      <c r="B1142" s="0" t="n">
        <v>14</v>
      </c>
      <c r="C1142" s="0" t="n">
        <v>1200</v>
      </c>
      <c r="D1142" s="0" t="s">
        <v>4037</v>
      </c>
      <c r="E1142" s="0" t="s">
        <v>3948</v>
      </c>
      <c r="F1142" s="0" t="s">
        <v>4100</v>
      </c>
    </row>
    <row r="1143" customFormat="false" ht="12.8" hidden="false" customHeight="false" outlineLevel="0" collapsed="false">
      <c r="A1143" s="0" t="n">
        <v>3</v>
      </c>
      <c r="B1143" s="0" t="n">
        <v>14</v>
      </c>
      <c r="C1143" s="0" t="n">
        <v>1201</v>
      </c>
      <c r="D1143" s="0" t="s">
        <v>4037</v>
      </c>
      <c r="E1143" s="0" t="s">
        <v>3948</v>
      </c>
      <c r="F1143" s="0" t="s">
        <v>4100</v>
      </c>
    </row>
    <row r="1144" customFormat="false" ht="12.8" hidden="false" customHeight="false" outlineLevel="0" collapsed="false">
      <c r="A1144" s="0" t="n">
        <v>3</v>
      </c>
      <c r="B1144" s="0" t="n">
        <v>14</v>
      </c>
      <c r="C1144" s="0" t="n">
        <v>1214</v>
      </c>
      <c r="D1144" s="0" t="s">
        <v>4037</v>
      </c>
      <c r="E1144" s="0" t="s">
        <v>3948</v>
      </c>
      <c r="F1144" s="0" t="s">
        <v>4092</v>
      </c>
    </row>
    <row r="1145" customFormat="false" ht="12.8" hidden="false" customHeight="false" outlineLevel="0" collapsed="false">
      <c r="A1145" s="0" t="n">
        <v>3</v>
      </c>
      <c r="B1145" s="0" t="n">
        <v>14</v>
      </c>
      <c r="C1145" s="0" t="n">
        <v>1215</v>
      </c>
      <c r="D1145" s="0" t="s">
        <v>4037</v>
      </c>
      <c r="E1145" s="0" t="s">
        <v>3948</v>
      </c>
      <c r="F1145" s="0" t="s">
        <v>4094</v>
      </c>
    </row>
    <row r="1146" customFormat="false" ht="12.8" hidden="false" customHeight="false" outlineLevel="0" collapsed="false">
      <c r="A1146" s="0" t="n">
        <v>3</v>
      </c>
      <c r="B1146" s="0" t="n">
        <v>14</v>
      </c>
      <c r="C1146" s="0" t="n">
        <v>1221</v>
      </c>
      <c r="D1146" s="0" t="s">
        <v>4037</v>
      </c>
      <c r="E1146" s="0" t="s">
        <v>3948</v>
      </c>
      <c r="F1146" s="0" t="s">
        <v>4095</v>
      </c>
    </row>
    <row r="1147" customFormat="false" ht="12.8" hidden="false" customHeight="false" outlineLevel="0" collapsed="false">
      <c r="A1147" s="0" t="n">
        <v>3</v>
      </c>
      <c r="B1147" s="0" t="n">
        <v>14</v>
      </c>
      <c r="C1147" s="0" t="n">
        <v>1268</v>
      </c>
      <c r="D1147" s="0" t="s">
        <v>4037</v>
      </c>
      <c r="E1147" s="0" t="s">
        <v>3948</v>
      </c>
      <c r="F1147" s="0" t="s">
        <v>3965</v>
      </c>
    </row>
    <row r="1148" customFormat="false" ht="12.8" hidden="false" customHeight="false" outlineLevel="0" collapsed="false">
      <c r="A1148" s="0" t="n">
        <v>3</v>
      </c>
      <c r="B1148" s="0" t="n">
        <v>14</v>
      </c>
      <c r="C1148" s="0" t="n">
        <v>1327</v>
      </c>
      <c r="D1148" s="0" t="s">
        <v>4037</v>
      </c>
      <c r="E1148" s="0" t="s">
        <v>3948</v>
      </c>
      <c r="F1148" s="0" t="s">
        <v>4097</v>
      </c>
    </row>
    <row r="1149" customFormat="false" ht="12.8" hidden="false" customHeight="false" outlineLevel="0" collapsed="false">
      <c r="A1149" s="0" t="n">
        <v>3</v>
      </c>
      <c r="B1149" s="0" t="n">
        <v>14</v>
      </c>
      <c r="C1149" s="0" t="n">
        <v>1330</v>
      </c>
      <c r="D1149" s="0" t="s">
        <v>4037</v>
      </c>
      <c r="E1149" s="0" t="s">
        <v>3948</v>
      </c>
      <c r="F1149" s="0" t="s">
        <v>4098</v>
      </c>
    </row>
    <row r="1150" customFormat="false" ht="12.8" hidden="false" customHeight="false" outlineLevel="0" collapsed="false">
      <c r="A1150" s="0" t="n">
        <v>3</v>
      </c>
      <c r="B1150" s="0" t="n">
        <v>14</v>
      </c>
      <c r="C1150" s="0" t="n">
        <v>1335</v>
      </c>
      <c r="D1150" s="0" t="s">
        <v>4037</v>
      </c>
      <c r="E1150" s="0" t="s">
        <v>3948</v>
      </c>
      <c r="F1150" s="0" t="s">
        <v>4093</v>
      </c>
    </row>
    <row r="1151" customFormat="false" ht="12.8" hidden="false" customHeight="false" outlineLevel="0" collapsed="false">
      <c r="A1151" s="0" t="n">
        <v>3</v>
      </c>
      <c r="B1151" s="0" t="n">
        <v>14</v>
      </c>
      <c r="C1151" s="0" t="n">
        <v>1339</v>
      </c>
      <c r="D1151" s="0" t="s">
        <v>4037</v>
      </c>
      <c r="E1151" s="0" t="s">
        <v>3948</v>
      </c>
      <c r="F1151" s="0" t="s">
        <v>4099</v>
      </c>
    </row>
    <row r="1152" customFormat="false" ht="12.8" hidden="false" customHeight="false" outlineLevel="0" collapsed="false">
      <c r="A1152" s="0" t="n">
        <v>3</v>
      </c>
      <c r="B1152" s="0" t="n">
        <v>14</v>
      </c>
      <c r="C1152" s="0" t="n">
        <v>1341</v>
      </c>
      <c r="D1152" s="0" t="s">
        <v>4037</v>
      </c>
      <c r="E1152" s="0" t="s">
        <v>3948</v>
      </c>
      <c r="F1152" s="0" t="s">
        <v>4100</v>
      </c>
    </row>
    <row r="1153" customFormat="false" ht="12.8" hidden="false" customHeight="false" outlineLevel="0" collapsed="false">
      <c r="A1153" s="0" t="n">
        <v>3</v>
      </c>
      <c r="B1153" s="0" t="n">
        <v>14</v>
      </c>
      <c r="C1153" s="0" t="n">
        <v>1385</v>
      </c>
      <c r="D1153" s="0" t="s">
        <v>4037</v>
      </c>
      <c r="E1153" s="0" t="s">
        <v>3948</v>
      </c>
      <c r="F1153" s="0" t="s">
        <v>4092</v>
      </c>
    </row>
    <row r="1154" customFormat="false" ht="12.8" hidden="false" customHeight="false" outlineLevel="0" collapsed="false">
      <c r="A1154" s="0" t="n">
        <v>3</v>
      </c>
      <c r="B1154" s="0" t="n">
        <v>14</v>
      </c>
      <c r="C1154" s="0" t="n">
        <v>1386</v>
      </c>
      <c r="D1154" s="0" t="s">
        <v>4037</v>
      </c>
      <c r="E1154" s="0" t="s">
        <v>3948</v>
      </c>
      <c r="F1154" s="0" t="s">
        <v>4094</v>
      </c>
    </row>
    <row r="1155" customFormat="false" ht="12.8" hidden="false" customHeight="false" outlineLevel="0" collapsed="false">
      <c r="A1155" s="0" t="n">
        <v>3</v>
      </c>
      <c r="B1155" s="0" t="n">
        <v>14</v>
      </c>
      <c r="C1155" s="0" t="n">
        <v>1387</v>
      </c>
      <c r="D1155" s="0" t="s">
        <v>4037</v>
      </c>
      <c r="E1155" s="0" t="s">
        <v>3948</v>
      </c>
      <c r="F1155" s="0" t="s">
        <v>4095</v>
      </c>
    </row>
    <row r="1156" customFormat="false" ht="12.8" hidden="false" customHeight="false" outlineLevel="0" collapsed="false">
      <c r="A1156" s="0" t="n">
        <v>3</v>
      </c>
      <c r="B1156" s="0" t="n">
        <v>14</v>
      </c>
      <c r="C1156" s="0" t="n">
        <v>1396</v>
      </c>
      <c r="D1156" s="0" t="s">
        <v>4037</v>
      </c>
      <c r="E1156" s="0" t="s">
        <v>3948</v>
      </c>
      <c r="F1156" s="0" t="s">
        <v>3965</v>
      </c>
    </row>
    <row r="1157" customFormat="false" ht="12.8" hidden="false" customHeight="false" outlineLevel="0" collapsed="false">
      <c r="A1157" s="0" t="n">
        <v>3</v>
      </c>
      <c r="B1157" s="0" t="n">
        <v>14</v>
      </c>
      <c r="C1157" s="0" t="n">
        <v>1499</v>
      </c>
      <c r="D1157" s="0" t="s">
        <v>4037</v>
      </c>
      <c r="E1157" s="0" t="s">
        <v>3948</v>
      </c>
      <c r="F1157" s="0" t="s">
        <v>4097</v>
      </c>
    </row>
    <row r="1158" customFormat="false" ht="12.8" hidden="false" customHeight="false" outlineLevel="0" collapsed="false">
      <c r="A1158" s="0" t="n">
        <v>3</v>
      </c>
      <c r="B1158" s="0" t="n">
        <v>14</v>
      </c>
      <c r="C1158" s="0" t="n">
        <v>1503</v>
      </c>
      <c r="D1158" s="0" t="s">
        <v>4037</v>
      </c>
      <c r="E1158" s="0" t="s">
        <v>3948</v>
      </c>
      <c r="F1158" s="0" t="s">
        <v>4098</v>
      </c>
    </row>
    <row r="1159" customFormat="false" ht="12.8" hidden="false" customHeight="false" outlineLevel="0" collapsed="false">
      <c r="A1159" s="0" t="n">
        <v>3</v>
      </c>
      <c r="B1159" s="0" t="n">
        <v>14</v>
      </c>
      <c r="C1159" s="0" t="n">
        <v>1507</v>
      </c>
      <c r="D1159" s="0" t="s">
        <v>4037</v>
      </c>
      <c r="E1159" s="0" t="s">
        <v>3948</v>
      </c>
      <c r="F1159" s="0" t="s">
        <v>4093</v>
      </c>
    </row>
    <row r="1160" customFormat="false" ht="12.8" hidden="false" customHeight="false" outlineLevel="0" collapsed="false">
      <c r="A1160" s="0" t="n">
        <v>3</v>
      </c>
      <c r="B1160" s="0" t="n">
        <v>14</v>
      </c>
      <c r="C1160" s="0" t="n">
        <v>1511</v>
      </c>
      <c r="D1160" s="0" t="s">
        <v>4037</v>
      </c>
      <c r="E1160" s="0" t="s">
        <v>3948</v>
      </c>
      <c r="F1160" s="0" t="s">
        <v>4099</v>
      </c>
    </row>
    <row r="1161" customFormat="false" ht="12.8" hidden="false" customHeight="false" outlineLevel="0" collapsed="false">
      <c r="A1161" s="0" t="n">
        <v>3</v>
      </c>
      <c r="B1161" s="0" t="n">
        <v>14</v>
      </c>
      <c r="C1161" s="0" t="n">
        <v>1512</v>
      </c>
      <c r="D1161" s="0" t="s">
        <v>4037</v>
      </c>
      <c r="E1161" s="0" t="s">
        <v>3948</v>
      </c>
      <c r="F1161" s="0" t="s">
        <v>4100</v>
      </c>
    </row>
    <row r="1162" customFormat="false" ht="12.8" hidden="false" customHeight="false" outlineLevel="0" collapsed="false">
      <c r="A1162" s="0" t="n">
        <v>3</v>
      </c>
      <c r="B1162" s="0" t="n">
        <v>14</v>
      </c>
      <c r="C1162" s="0" t="n">
        <v>1554</v>
      </c>
      <c r="D1162" s="0" t="s">
        <v>4037</v>
      </c>
      <c r="E1162" s="0" t="s">
        <v>3948</v>
      </c>
      <c r="F1162" s="0" t="s">
        <v>3965</v>
      </c>
    </row>
    <row r="1163" customFormat="false" ht="12.8" hidden="false" customHeight="false" outlineLevel="0" collapsed="false">
      <c r="A1163" s="0" t="n">
        <v>3</v>
      </c>
      <c r="B1163" s="0" t="n">
        <v>14</v>
      </c>
      <c r="C1163" s="0" t="n">
        <v>1566</v>
      </c>
      <c r="D1163" s="0" t="s">
        <v>4037</v>
      </c>
      <c r="E1163" s="0" t="s">
        <v>3948</v>
      </c>
      <c r="F1163" s="0" t="s">
        <v>4092</v>
      </c>
    </row>
    <row r="1164" customFormat="false" ht="12.8" hidden="false" customHeight="false" outlineLevel="0" collapsed="false">
      <c r="A1164" s="0" t="n">
        <v>3</v>
      </c>
      <c r="B1164" s="0" t="n">
        <v>14</v>
      </c>
      <c r="C1164" s="0" t="n">
        <v>1567</v>
      </c>
      <c r="D1164" s="0" t="s">
        <v>4037</v>
      </c>
      <c r="E1164" s="0" t="s">
        <v>3948</v>
      </c>
      <c r="F1164" s="0" t="s">
        <v>4094</v>
      </c>
    </row>
    <row r="1165" customFormat="false" ht="12.8" hidden="false" customHeight="false" outlineLevel="0" collapsed="false">
      <c r="A1165" s="0" t="n">
        <v>3</v>
      </c>
      <c r="B1165" s="0" t="n">
        <v>14</v>
      </c>
      <c r="C1165" s="0" t="n">
        <v>1573</v>
      </c>
      <c r="D1165" s="0" t="s">
        <v>4037</v>
      </c>
      <c r="E1165" s="0" t="s">
        <v>3948</v>
      </c>
      <c r="F1165" s="0" t="s">
        <v>4095</v>
      </c>
    </row>
    <row r="1166" customFormat="false" ht="12.8" hidden="false" customHeight="false" outlineLevel="0" collapsed="false">
      <c r="A1166" s="0" t="n">
        <v>3</v>
      </c>
      <c r="B1166" s="0" t="n">
        <v>14</v>
      </c>
      <c r="C1166" s="0" t="n">
        <v>1675</v>
      </c>
      <c r="D1166" s="0" t="s">
        <v>4037</v>
      </c>
      <c r="E1166" s="0" t="s">
        <v>3948</v>
      </c>
      <c r="F1166" s="0" t="s">
        <v>4097</v>
      </c>
    </row>
    <row r="1167" customFormat="false" ht="12.8" hidden="false" customHeight="false" outlineLevel="0" collapsed="false">
      <c r="A1167" s="0" t="n">
        <v>3</v>
      </c>
      <c r="B1167" s="0" t="n">
        <v>14</v>
      </c>
      <c r="C1167" s="0" t="n">
        <v>1678</v>
      </c>
      <c r="D1167" s="0" t="s">
        <v>4037</v>
      </c>
      <c r="E1167" s="0" t="s">
        <v>3948</v>
      </c>
      <c r="F1167" s="0" t="s">
        <v>4098</v>
      </c>
    </row>
    <row r="1168" customFormat="false" ht="12.8" hidden="false" customHeight="false" outlineLevel="0" collapsed="false">
      <c r="A1168" s="0" t="n">
        <v>3</v>
      </c>
      <c r="B1168" s="0" t="n">
        <v>14</v>
      </c>
      <c r="C1168" s="0" t="n">
        <v>1682</v>
      </c>
      <c r="D1168" s="0" t="s">
        <v>4037</v>
      </c>
      <c r="E1168" s="0" t="s">
        <v>3948</v>
      </c>
      <c r="F1168" s="0" t="s">
        <v>4093</v>
      </c>
    </row>
    <row r="1169" customFormat="false" ht="12.8" hidden="false" customHeight="false" outlineLevel="0" collapsed="false">
      <c r="A1169" s="0" t="n">
        <v>3</v>
      </c>
      <c r="B1169" s="0" t="n">
        <v>14</v>
      </c>
      <c r="C1169" s="0" t="n">
        <v>1686</v>
      </c>
      <c r="D1169" s="0" t="s">
        <v>4037</v>
      </c>
      <c r="E1169" s="0" t="s">
        <v>3948</v>
      </c>
      <c r="F1169" s="0" t="s">
        <v>4099</v>
      </c>
    </row>
    <row r="1170" customFormat="false" ht="12.8" hidden="false" customHeight="false" outlineLevel="0" collapsed="false">
      <c r="A1170" s="0" t="n">
        <v>3</v>
      </c>
      <c r="B1170" s="0" t="n">
        <v>14</v>
      </c>
      <c r="C1170" s="0" t="n">
        <v>1688</v>
      </c>
      <c r="D1170" s="0" t="s">
        <v>4037</v>
      </c>
      <c r="E1170" s="0" t="s">
        <v>3948</v>
      </c>
      <c r="F1170" s="0" t="s">
        <v>4100</v>
      </c>
    </row>
    <row r="1171" customFormat="false" ht="12.8" hidden="false" customHeight="false" outlineLevel="0" collapsed="false">
      <c r="A1171" s="0" t="n">
        <v>3</v>
      </c>
      <c r="B1171" s="0" t="n">
        <v>14</v>
      </c>
      <c r="C1171" s="0" t="n">
        <v>1785</v>
      </c>
      <c r="D1171" s="0" t="s">
        <v>4037</v>
      </c>
      <c r="E1171" s="0" t="s">
        <v>3948</v>
      </c>
      <c r="F1171" s="0" t="s">
        <v>4101</v>
      </c>
    </row>
    <row r="1172" customFormat="false" ht="12.8" hidden="false" customHeight="false" outlineLevel="0" collapsed="false">
      <c r="A1172" s="0" t="n">
        <v>3</v>
      </c>
      <c r="B1172" s="0" t="n">
        <v>14</v>
      </c>
      <c r="C1172" s="0" t="n">
        <v>1786</v>
      </c>
      <c r="D1172" s="0" t="s">
        <v>4037</v>
      </c>
      <c r="E1172" s="0" t="s">
        <v>3948</v>
      </c>
      <c r="F1172" s="0" t="s">
        <v>4101</v>
      </c>
    </row>
    <row r="1173" customFormat="false" ht="12.8" hidden="false" customHeight="false" outlineLevel="0" collapsed="false">
      <c r="A1173" s="0" t="n">
        <v>3</v>
      </c>
      <c r="B1173" s="0" t="n">
        <v>14</v>
      </c>
      <c r="C1173" s="0" t="n">
        <v>1787</v>
      </c>
      <c r="D1173" s="0" t="s">
        <v>4037</v>
      </c>
      <c r="E1173" s="0" t="s">
        <v>3948</v>
      </c>
      <c r="F1173" s="0" t="s">
        <v>4101</v>
      </c>
    </row>
    <row r="1174" customFormat="false" ht="12.8" hidden="false" customHeight="false" outlineLevel="0" collapsed="false">
      <c r="A1174" s="0" t="n">
        <v>3</v>
      </c>
      <c r="B1174" s="0" t="n">
        <v>14</v>
      </c>
      <c r="C1174" s="0" t="n">
        <v>1788</v>
      </c>
      <c r="D1174" s="0" t="s">
        <v>4037</v>
      </c>
      <c r="E1174" s="0" t="s">
        <v>3948</v>
      </c>
      <c r="F1174" s="0" t="s">
        <v>4101</v>
      </c>
    </row>
    <row r="1175" customFormat="false" ht="12.8" hidden="false" customHeight="false" outlineLevel="0" collapsed="false">
      <c r="A1175" s="0" t="n">
        <v>3</v>
      </c>
      <c r="B1175" s="0" t="n">
        <v>14</v>
      </c>
      <c r="C1175" s="0" t="n">
        <v>1789</v>
      </c>
      <c r="D1175" s="0" t="s">
        <v>4037</v>
      </c>
      <c r="E1175" s="0" t="s">
        <v>3948</v>
      </c>
      <c r="F1175" s="0" t="s">
        <v>4101</v>
      </c>
    </row>
    <row r="1176" customFormat="false" ht="12.8" hidden="false" customHeight="false" outlineLevel="0" collapsed="false">
      <c r="A1176" s="0" t="n">
        <v>3</v>
      </c>
      <c r="B1176" s="0" t="n">
        <v>14</v>
      </c>
      <c r="C1176" s="0" t="n">
        <v>1790</v>
      </c>
      <c r="D1176" s="0" t="s">
        <v>4037</v>
      </c>
      <c r="E1176" s="0" t="s">
        <v>3948</v>
      </c>
      <c r="F1176" s="0" t="s">
        <v>4101</v>
      </c>
    </row>
    <row r="1177" customFormat="false" ht="12.8" hidden="false" customHeight="false" outlineLevel="0" collapsed="false">
      <c r="A1177" s="0" t="n">
        <v>3</v>
      </c>
      <c r="B1177" s="0" t="n">
        <v>14</v>
      </c>
      <c r="C1177" s="0" t="n">
        <v>1791</v>
      </c>
      <c r="D1177" s="0" t="s">
        <v>4037</v>
      </c>
      <c r="E1177" s="0" t="s">
        <v>3948</v>
      </c>
      <c r="F1177" s="0" t="s">
        <v>4101</v>
      </c>
    </row>
    <row r="1178" customFormat="false" ht="12.8" hidden="false" customHeight="false" outlineLevel="0" collapsed="false">
      <c r="A1178" s="0" t="n">
        <v>3</v>
      </c>
      <c r="B1178" s="0" t="n">
        <v>14</v>
      </c>
      <c r="C1178" s="0" t="n">
        <v>1812</v>
      </c>
      <c r="D1178" s="0" t="s">
        <v>4037</v>
      </c>
      <c r="E1178" s="0" t="s">
        <v>3948</v>
      </c>
      <c r="F1178" s="0" t="s">
        <v>3954</v>
      </c>
    </row>
    <row r="1179" customFormat="false" ht="12.8" hidden="false" customHeight="false" outlineLevel="0" collapsed="false">
      <c r="A1179" s="0" t="n">
        <v>3</v>
      </c>
      <c r="B1179" s="0" t="n">
        <v>14</v>
      </c>
      <c r="C1179" s="0" t="n">
        <v>1813</v>
      </c>
      <c r="D1179" s="0" t="s">
        <v>4037</v>
      </c>
      <c r="E1179" s="0" t="s">
        <v>3948</v>
      </c>
      <c r="F1179" s="0" t="s">
        <v>3954</v>
      </c>
    </row>
    <row r="1180" customFormat="false" ht="12.8" hidden="false" customHeight="false" outlineLevel="0" collapsed="false">
      <c r="A1180" s="0" t="n">
        <v>3</v>
      </c>
      <c r="B1180" s="0" t="n">
        <v>14</v>
      </c>
      <c r="C1180" s="0" t="n">
        <v>1814</v>
      </c>
      <c r="D1180" s="0" t="s">
        <v>4037</v>
      </c>
      <c r="E1180" s="0" t="s">
        <v>3948</v>
      </c>
      <c r="F1180" s="0" t="s">
        <v>3954</v>
      </c>
    </row>
    <row r="1181" customFormat="false" ht="12.8" hidden="false" customHeight="false" outlineLevel="0" collapsed="false">
      <c r="A1181" s="0" t="n">
        <v>3</v>
      </c>
      <c r="B1181" s="0" t="n">
        <v>14</v>
      </c>
      <c r="C1181" s="0" t="n">
        <v>1815</v>
      </c>
      <c r="D1181" s="0" t="s">
        <v>4037</v>
      </c>
      <c r="E1181" s="0" t="s">
        <v>3948</v>
      </c>
      <c r="F1181" s="0" t="s">
        <v>3954</v>
      </c>
    </row>
    <row r="1182" customFormat="false" ht="12.8" hidden="false" customHeight="false" outlineLevel="0" collapsed="false">
      <c r="A1182" s="0" t="n">
        <v>3</v>
      </c>
      <c r="B1182" s="0" t="n">
        <v>14</v>
      </c>
      <c r="C1182" s="0" t="n">
        <v>1816</v>
      </c>
      <c r="D1182" s="0" t="s">
        <v>4037</v>
      </c>
      <c r="E1182" s="0" t="s">
        <v>3948</v>
      </c>
      <c r="F1182" s="0" t="s">
        <v>3954</v>
      </c>
    </row>
    <row r="1183" customFormat="false" ht="12.8" hidden="false" customHeight="false" outlineLevel="0" collapsed="false">
      <c r="A1183" s="0" t="n">
        <v>3</v>
      </c>
      <c r="B1183" s="0" t="n">
        <v>14</v>
      </c>
      <c r="C1183" s="0" t="n">
        <v>1817</v>
      </c>
      <c r="D1183" s="0" t="s">
        <v>4037</v>
      </c>
      <c r="E1183" s="0" t="s">
        <v>3948</v>
      </c>
      <c r="F1183" s="0" t="s">
        <v>3954</v>
      </c>
    </row>
    <row r="1184" customFormat="false" ht="12.8" hidden="false" customHeight="false" outlineLevel="0" collapsed="false">
      <c r="A1184" s="0" t="n">
        <v>3</v>
      </c>
      <c r="B1184" s="0" t="n">
        <v>14</v>
      </c>
      <c r="C1184" s="0" t="n">
        <v>1818</v>
      </c>
      <c r="D1184" s="0" t="s">
        <v>4037</v>
      </c>
      <c r="E1184" s="0" t="s">
        <v>3948</v>
      </c>
      <c r="F1184" s="0" t="s">
        <v>3954</v>
      </c>
    </row>
    <row r="1185" customFormat="false" ht="12.8" hidden="false" customHeight="false" outlineLevel="0" collapsed="false">
      <c r="A1185" s="0" t="n">
        <v>3</v>
      </c>
      <c r="B1185" s="0" t="n">
        <v>14</v>
      </c>
      <c r="C1185" s="0" t="n">
        <v>1819</v>
      </c>
      <c r="D1185" s="0" t="s">
        <v>4037</v>
      </c>
      <c r="E1185" s="0" t="s">
        <v>3948</v>
      </c>
      <c r="F1185" s="0" t="s">
        <v>3954</v>
      </c>
    </row>
    <row r="1186" customFormat="false" ht="12.8" hidden="false" customHeight="false" outlineLevel="0" collapsed="false">
      <c r="A1186" s="0" t="n">
        <v>3</v>
      </c>
      <c r="B1186" s="0" t="n">
        <v>14</v>
      </c>
      <c r="C1186" s="0" t="n">
        <v>1820</v>
      </c>
      <c r="D1186" s="0" t="s">
        <v>4037</v>
      </c>
      <c r="E1186" s="0" t="s">
        <v>3948</v>
      </c>
      <c r="F1186" s="0" t="s">
        <v>3954</v>
      </c>
    </row>
    <row r="1187" customFormat="false" ht="12.8" hidden="false" customHeight="false" outlineLevel="0" collapsed="false">
      <c r="A1187" s="0" t="n">
        <v>3</v>
      </c>
      <c r="B1187" s="0" t="n">
        <v>14</v>
      </c>
      <c r="C1187" s="0" t="n">
        <v>1821</v>
      </c>
      <c r="D1187" s="0" t="s">
        <v>4037</v>
      </c>
      <c r="E1187" s="0" t="s">
        <v>3948</v>
      </c>
      <c r="F1187" s="0" t="s">
        <v>3954</v>
      </c>
    </row>
    <row r="1188" customFormat="false" ht="12.8" hidden="false" customHeight="false" outlineLevel="0" collapsed="false">
      <c r="A1188" s="0" t="n">
        <v>3</v>
      </c>
      <c r="B1188" s="0" t="n">
        <v>14</v>
      </c>
      <c r="C1188" s="0" t="n">
        <v>1822</v>
      </c>
      <c r="D1188" s="0" t="s">
        <v>4037</v>
      </c>
      <c r="E1188" s="0" t="s">
        <v>3948</v>
      </c>
      <c r="F1188" s="0" t="s">
        <v>3954</v>
      </c>
    </row>
    <row r="1189" customFormat="false" ht="12.8" hidden="false" customHeight="false" outlineLevel="0" collapsed="false">
      <c r="A1189" s="0" t="n">
        <v>3</v>
      </c>
      <c r="B1189" s="0" t="n">
        <v>14</v>
      </c>
      <c r="C1189" s="0" t="n">
        <v>1823</v>
      </c>
      <c r="D1189" s="0" t="s">
        <v>4037</v>
      </c>
      <c r="E1189" s="0" t="s">
        <v>3948</v>
      </c>
      <c r="F1189" s="0" t="s">
        <v>3954</v>
      </c>
    </row>
    <row r="1190" customFormat="false" ht="12.8" hidden="false" customHeight="false" outlineLevel="0" collapsed="false">
      <c r="A1190" s="0" t="n">
        <v>3</v>
      </c>
      <c r="B1190" s="0" t="n">
        <v>14</v>
      </c>
      <c r="C1190" s="0" t="n">
        <v>1884</v>
      </c>
      <c r="D1190" s="0" t="s">
        <v>4037</v>
      </c>
      <c r="E1190" s="0" t="s">
        <v>3948</v>
      </c>
      <c r="F1190" s="0" t="s">
        <v>4092</v>
      </c>
    </row>
    <row r="1191" customFormat="false" ht="12.8" hidden="false" customHeight="false" outlineLevel="0" collapsed="false">
      <c r="A1191" s="0" t="n">
        <v>3</v>
      </c>
      <c r="B1191" s="0" t="n">
        <v>14</v>
      </c>
      <c r="C1191" s="0" t="n">
        <v>1921</v>
      </c>
      <c r="D1191" s="0" t="s">
        <v>4037</v>
      </c>
      <c r="E1191" s="0" t="s">
        <v>3948</v>
      </c>
      <c r="F1191" s="0" t="s">
        <v>4101</v>
      </c>
    </row>
    <row r="1192" customFormat="false" ht="12.8" hidden="false" customHeight="false" outlineLevel="0" collapsed="false">
      <c r="A1192" s="0" t="n">
        <v>3</v>
      </c>
      <c r="B1192" s="0" t="n">
        <v>14</v>
      </c>
      <c r="C1192" s="0" t="n">
        <v>1936</v>
      </c>
      <c r="D1192" s="0" t="s">
        <v>4037</v>
      </c>
      <c r="E1192" s="0" t="s">
        <v>3948</v>
      </c>
      <c r="F1192" s="0" t="s">
        <v>4097</v>
      </c>
    </row>
    <row r="1193" customFormat="false" ht="12.8" hidden="false" customHeight="false" outlineLevel="0" collapsed="false">
      <c r="A1193" s="0" t="n">
        <v>3</v>
      </c>
      <c r="B1193" s="0" t="n">
        <v>14</v>
      </c>
      <c r="C1193" s="0" t="n">
        <v>1939</v>
      </c>
      <c r="D1193" s="0" t="s">
        <v>4037</v>
      </c>
      <c r="E1193" s="0" t="s">
        <v>3948</v>
      </c>
      <c r="F1193" s="0" t="s">
        <v>4099</v>
      </c>
    </row>
    <row r="1194" customFormat="false" ht="12.8" hidden="false" customHeight="false" outlineLevel="0" collapsed="false">
      <c r="A1194" s="0" t="n">
        <v>3</v>
      </c>
      <c r="B1194" s="0" t="n">
        <v>14</v>
      </c>
      <c r="C1194" s="0" t="n">
        <v>1940</v>
      </c>
      <c r="D1194" s="0" t="s">
        <v>4037</v>
      </c>
      <c r="E1194" s="0" t="s">
        <v>3948</v>
      </c>
      <c r="F1194" s="0" t="s">
        <v>4100</v>
      </c>
    </row>
    <row r="1195" customFormat="false" ht="12.8" hidden="false" customHeight="false" outlineLevel="0" collapsed="false">
      <c r="A1195" s="0" t="n">
        <v>3</v>
      </c>
      <c r="B1195" s="0" t="n">
        <v>14</v>
      </c>
      <c r="C1195" s="0" t="n">
        <v>1985</v>
      </c>
      <c r="D1195" s="0" t="s">
        <v>4037</v>
      </c>
      <c r="E1195" s="0" t="s">
        <v>3948</v>
      </c>
      <c r="F1195" s="0" t="s">
        <v>4098</v>
      </c>
    </row>
    <row r="1196" customFormat="false" ht="12.8" hidden="false" customHeight="false" outlineLevel="0" collapsed="false">
      <c r="A1196" s="0" t="n">
        <v>3</v>
      </c>
      <c r="B1196" s="0" t="n">
        <v>14</v>
      </c>
      <c r="C1196" s="0" t="n">
        <v>1989</v>
      </c>
      <c r="D1196" s="0" t="s">
        <v>4037</v>
      </c>
      <c r="E1196" s="0" t="s">
        <v>3948</v>
      </c>
      <c r="F1196" s="0" t="s">
        <v>4093</v>
      </c>
    </row>
    <row r="1197" customFormat="false" ht="12.8" hidden="false" customHeight="false" outlineLevel="0" collapsed="false">
      <c r="A1197" s="0" t="n">
        <v>3</v>
      </c>
      <c r="B1197" s="0" t="n">
        <v>14</v>
      </c>
      <c r="C1197" s="0" t="n">
        <v>2000</v>
      </c>
      <c r="D1197" s="0" t="s">
        <v>4037</v>
      </c>
      <c r="E1197" s="0" t="s">
        <v>3948</v>
      </c>
      <c r="F1197" s="0" t="s">
        <v>3954</v>
      </c>
    </row>
    <row r="1198" customFormat="false" ht="12.8" hidden="false" customHeight="false" outlineLevel="0" collapsed="false">
      <c r="A1198" s="0" t="n">
        <v>3</v>
      </c>
      <c r="B1198" s="0" t="n">
        <v>14</v>
      </c>
      <c r="C1198" s="0" t="n">
        <v>2079</v>
      </c>
      <c r="D1198" s="0" t="s">
        <v>4037</v>
      </c>
      <c r="E1198" s="0" t="s">
        <v>3948</v>
      </c>
      <c r="F1198" s="0" t="s">
        <v>4101</v>
      </c>
    </row>
    <row r="1199" customFormat="false" ht="12.8" hidden="false" customHeight="false" outlineLevel="0" collapsed="false">
      <c r="A1199" s="0" t="n">
        <v>3</v>
      </c>
      <c r="B1199" s="0" t="n">
        <v>14</v>
      </c>
      <c r="C1199" s="0" t="n">
        <v>2080</v>
      </c>
      <c r="D1199" s="0" t="s">
        <v>4037</v>
      </c>
      <c r="E1199" s="0" t="s">
        <v>3948</v>
      </c>
      <c r="F1199" s="0" t="s">
        <v>4101</v>
      </c>
    </row>
    <row r="1200" customFormat="false" ht="12.8" hidden="false" customHeight="false" outlineLevel="0" collapsed="false">
      <c r="A1200" s="0" t="n">
        <v>3</v>
      </c>
      <c r="B1200" s="0" t="n">
        <v>14</v>
      </c>
      <c r="C1200" s="0" t="n">
        <v>2081</v>
      </c>
      <c r="D1200" s="0" t="s">
        <v>4037</v>
      </c>
      <c r="E1200" s="0" t="s">
        <v>3948</v>
      </c>
      <c r="F1200" s="0" t="s">
        <v>4101</v>
      </c>
    </row>
    <row r="1201" customFormat="false" ht="12.8" hidden="false" customHeight="false" outlineLevel="0" collapsed="false">
      <c r="A1201" s="0" t="n">
        <v>3</v>
      </c>
      <c r="B1201" s="0" t="n">
        <v>14</v>
      </c>
      <c r="C1201" s="0" t="n">
        <v>2082</v>
      </c>
      <c r="D1201" s="0" t="s">
        <v>4037</v>
      </c>
      <c r="E1201" s="0" t="s">
        <v>3948</v>
      </c>
      <c r="F1201" s="0" t="s">
        <v>4101</v>
      </c>
    </row>
    <row r="1202" customFormat="false" ht="12.8" hidden="false" customHeight="false" outlineLevel="0" collapsed="false">
      <c r="A1202" s="0" t="n">
        <v>3</v>
      </c>
      <c r="B1202" s="0" t="n">
        <v>14</v>
      </c>
      <c r="C1202" s="0" t="n">
        <v>2083</v>
      </c>
      <c r="D1202" s="0" t="s">
        <v>4037</v>
      </c>
      <c r="E1202" s="0" t="s">
        <v>3948</v>
      </c>
      <c r="F1202" s="0" t="s">
        <v>4101</v>
      </c>
    </row>
    <row r="1203" customFormat="false" ht="12.8" hidden="false" customHeight="false" outlineLevel="0" collapsed="false">
      <c r="A1203" s="0" t="n">
        <v>3</v>
      </c>
      <c r="B1203" s="0" t="n">
        <v>14</v>
      </c>
      <c r="C1203" s="0" t="n">
        <v>2084</v>
      </c>
      <c r="D1203" s="0" t="s">
        <v>4037</v>
      </c>
      <c r="E1203" s="0" t="s">
        <v>3948</v>
      </c>
      <c r="F1203" s="0" t="s">
        <v>4101</v>
      </c>
    </row>
    <row r="1204" customFormat="false" ht="12.8" hidden="false" customHeight="false" outlineLevel="0" collapsed="false">
      <c r="A1204" s="0" t="n">
        <v>3</v>
      </c>
      <c r="B1204" s="0" t="n">
        <v>14</v>
      </c>
      <c r="C1204" s="0" t="n">
        <v>2104</v>
      </c>
      <c r="D1204" s="0" t="s">
        <v>4037</v>
      </c>
      <c r="E1204" s="0" t="s">
        <v>3948</v>
      </c>
      <c r="F1204" s="0" t="s">
        <v>4079</v>
      </c>
    </row>
    <row r="1205" customFormat="false" ht="12.8" hidden="false" customHeight="false" outlineLevel="0" collapsed="false">
      <c r="A1205" s="0" t="n">
        <v>3</v>
      </c>
      <c r="B1205" s="0" t="n">
        <v>14</v>
      </c>
      <c r="C1205" s="0" t="n">
        <v>2105</v>
      </c>
      <c r="D1205" s="0" t="s">
        <v>4037</v>
      </c>
      <c r="E1205" s="0" t="s">
        <v>3948</v>
      </c>
      <c r="F1205" s="0" t="s">
        <v>4079</v>
      </c>
    </row>
    <row r="1206" customFormat="false" ht="12.8" hidden="false" customHeight="false" outlineLevel="0" collapsed="false">
      <c r="A1206" s="0" t="n">
        <v>3</v>
      </c>
      <c r="B1206" s="0" t="n">
        <v>14</v>
      </c>
      <c r="C1206" s="0" t="n">
        <v>2136</v>
      </c>
      <c r="D1206" s="0" t="s">
        <v>4037</v>
      </c>
      <c r="E1206" s="0" t="s">
        <v>3948</v>
      </c>
      <c r="F1206" s="0" t="s">
        <v>4102</v>
      </c>
    </row>
    <row r="1207" customFormat="false" ht="12.8" hidden="false" customHeight="false" outlineLevel="0" collapsed="false">
      <c r="A1207" s="0" t="n">
        <v>3</v>
      </c>
      <c r="B1207" s="0" t="n">
        <v>14</v>
      </c>
      <c r="C1207" s="0" t="n">
        <v>2137</v>
      </c>
      <c r="D1207" s="0" t="s">
        <v>4037</v>
      </c>
      <c r="E1207" s="0" t="s">
        <v>3948</v>
      </c>
      <c r="F1207" s="0" t="s">
        <v>4102</v>
      </c>
    </row>
    <row r="1208" customFormat="false" ht="12.8" hidden="false" customHeight="false" outlineLevel="0" collapsed="false">
      <c r="A1208" s="0" t="n">
        <v>3</v>
      </c>
      <c r="B1208" s="0" t="n">
        <v>14</v>
      </c>
      <c r="C1208" s="0" t="n">
        <v>2138</v>
      </c>
      <c r="D1208" s="0" t="s">
        <v>4037</v>
      </c>
      <c r="E1208" s="0" t="s">
        <v>3948</v>
      </c>
      <c r="F1208" s="0" t="s">
        <v>4102</v>
      </c>
    </row>
    <row r="1209" customFormat="false" ht="12.8" hidden="false" customHeight="false" outlineLevel="0" collapsed="false">
      <c r="A1209" s="0" t="n">
        <v>3</v>
      </c>
      <c r="B1209" s="0" t="n">
        <v>14</v>
      </c>
      <c r="C1209" s="0" t="n">
        <v>2139</v>
      </c>
      <c r="D1209" s="0" t="s">
        <v>4037</v>
      </c>
      <c r="E1209" s="0" t="s">
        <v>3948</v>
      </c>
      <c r="F1209" s="0" t="s">
        <v>4102</v>
      </c>
    </row>
    <row r="1210" customFormat="false" ht="12.8" hidden="false" customHeight="false" outlineLevel="0" collapsed="false">
      <c r="A1210" s="0" t="n">
        <v>3</v>
      </c>
      <c r="B1210" s="0" t="n">
        <v>14</v>
      </c>
      <c r="C1210" s="0" t="n">
        <v>2140</v>
      </c>
      <c r="D1210" s="0" t="s">
        <v>4037</v>
      </c>
      <c r="E1210" s="0" t="s">
        <v>3948</v>
      </c>
      <c r="F1210" s="0" t="s">
        <v>4102</v>
      </c>
    </row>
    <row r="1211" customFormat="false" ht="12.8" hidden="false" customHeight="false" outlineLevel="0" collapsed="false">
      <c r="A1211" s="0" t="n">
        <v>3</v>
      </c>
      <c r="B1211" s="0" t="n">
        <v>14</v>
      </c>
      <c r="C1211" s="0" t="n">
        <v>2141</v>
      </c>
      <c r="D1211" s="0" t="s">
        <v>4037</v>
      </c>
      <c r="E1211" s="0" t="s">
        <v>3948</v>
      </c>
      <c r="F1211" s="0" t="s">
        <v>4102</v>
      </c>
    </row>
    <row r="1212" customFormat="false" ht="12.8" hidden="false" customHeight="false" outlineLevel="0" collapsed="false">
      <c r="A1212" s="0" t="n">
        <v>3</v>
      </c>
      <c r="B1212" s="0" t="n">
        <v>14</v>
      </c>
      <c r="C1212" s="0" t="n">
        <v>2142</v>
      </c>
      <c r="D1212" s="0" t="s">
        <v>4037</v>
      </c>
      <c r="E1212" s="0" t="s">
        <v>3948</v>
      </c>
      <c r="F1212" s="0" t="s">
        <v>4102</v>
      </c>
    </row>
    <row r="1213" customFormat="false" ht="12.8" hidden="false" customHeight="false" outlineLevel="0" collapsed="false">
      <c r="A1213" s="0" t="n">
        <v>3</v>
      </c>
      <c r="B1213" s="0" t="n">
        <v>14</v>
      </c>
      <c r="C1213" s="0" t="n">
        <v>2143</v>
      </c>
      <c r="D1213" s="0" t="s">
        <v>4037</v>
      </c>
      <c r="E1213" s="0" t="s">
        <v>3948</v>
      </c>
      <c r="F1213" s="0" t="s">
        <v>4102</v>
      </c>
    </row>
    <row r="1214" customFormat="false" ht="12.8" hidden="false" customHeight="false" outlineLevel="0" collapsed="false">
      <c r="A1214" s="0" t="n">
        <v>3</v>
      </c>
      <c r="B1214" s="0" t="n">
        <v>14</v>
      </c>
      <c r="C1214" s="0" t="n">
        <v>2144</v>
      </c>
      <c r="D1214" s="0" t="s">
        <v>4037</v>
      </c>
      <c r="E1214" s="0" t="s">
        <v>3948</v>
      </c>
      <c r="F1214" s="0" t="s">
        <v>4102</v>
      </c>
    </row>
    <row r="1215" customFormat="false" ht="12.8" hidden="false" customHeight="false" outlineLevel="0" collapsed="false">
      <c r="A1215" s="0" t="n">
        <v>3</v>
      </c>
      <c r="B1215" s="0" t="n">
        <v>14</v>
      </c>
      <c r="C1215" s="0" t="n">
        <v>2145</v>
      </c>
      <c r="D1215" s="0" t="s">
        <v>4037</v>
      </c>
      <c r="E1215" s="0" t="s">
        <v>3948</v>
      </c>
      <c r="F1215" s="0" t="s">
        <v>4102</v>
      </c>
    </row>
    <row r="1216" customFormat="false" ht="12.8" hidden="false" customHeight="false" outlineLevel="0" collapsed="false">
      <c r="A1216" s="0" t="n">
        <v>3</v>
      </c>
      <c r="B1216" s="0" t="n">
        <v>14</v>
      </c>
      <c r="C1216" s="0" t="n">
        <v>2146</v>
      </c>
      <c r="D1216" s="0" t="s">
        <v>4037</v>
      </c>
      <c r="E1216" s="0" t="s">
        <v>3948</v>
      </c>
      <c r="F1216" s="0" t="s">
        <v>4102</v>
      </c>
    </row>
    <row r="1217" customFormat="false" ht="12.8" hidden="false" customHeight="false" outlineLevel="0" collapsed="false">
      <c r="A1217" s="0" t="n">
        <v>3</v>
      </c>
      <c r="B1217" s="0" t="n">
        <v>14</v>
      </c>
      <c r="C1217" s="0" t="n">
        <v>2147</v>
      </c>
      <c r="D1217" s="0" t="s">
        <v>4037</v>
      </c>
      <c r="E1217" s="0" t="s">
        <v>3948</v>
      </c>
      <c r="F1217" s="0" t="s">
        <v>4102</v>
      </c>
    </row>
    <row r="1218" customFormat="false" ht="12.8" hidden="false" customHeight="false" outlineLevel="0" collapsed="false">
      <c r="A1218" s="0" t="n">
        <v>3</v>
      </c>
      <c r="B1218" s="0" t="n">
        <v>14</v>
      </c>
      <c r="C1218" s="0" t="n">
        <v>2148</v>
      </c>
      <c r="D1218" s="0" t="s">
        <v>4037</v>
      </c>
      <c r="E1218" s="0" t="s">
        <v>3948</v>
      </c>
      <c r="F1218" s="0" t="s">
        <v>4102</v>
      </c>
    </row>
    <row r="1219" customFormat="false" ht="12.8" hidden="false" customHeight="false" outlineLevel="0" collapsed="false">
      <c r="A1219" s="0" t="n">
        <v>3</v>
      </c>
      <c r="B1219" s="0" t="n">
        <v>14</v>
      </c>
      <c r="C1219" s="0" t="n">
        <v>2157</v>
      </c>
      <c r="D1219" s="0" t="s">
        <v>4037</v>
      </c>
      <c r="E1219" s="0" t="s">
        <v>3948</v>
      </c>
      <c r="F1219" s="0" t="s">
        <v>4103</v>
      </c>
    </row>
    <row r="1220" customFormat="false" ht="12.8" hidden="false" customHeight="false" outlineLevel="0" collapsed="false">
      <c r="A1220" s="0" t="n">
        <v>3</v>
      </c>
      <c r="B1220" s="0" t="n">
        <v>14</v>
      </c>
      <c r="C1220" s="0" t="n">
        <v>2158</v>
      </c>
      <c r="D1220" s="0" t="s">
        <v>4037</v>
      </c>
      <c r="E1220" s="0" t="s">
        <v>3948</v>
      </c>
      <c r="F1220" s="0" t="s">
        <v>4103</v>
      </c>
    </row>
    <row r="1221" customFormat="false" ht="12.8" hidden="false" customHeight="false" outlineLevel="0" collapsed="false">
      <c r="A1221" s="0" t="n">
        <v>3</v>
      </c>
      <c r="B1221" s="0" t="n">
        <v>14</v>
      </c>
      <c r="C1221" s="0" t="n">
        <v>2159</v>
      </c>
      <c r="D1221" s="0" t="s">
        <v>4037</v>
      </c>
      <c r="E1221" s="0" t="s">
        <v>3948</v>
      </c>
      <c r="F1221" s="0" t="s">
        <v>4103</v>
      </c>
    </row>
    <row r="1222" customFormat="false" ht="12.8" hidden="false" customHeight="false" outlineLevel="0" collapsed="false">
      <c r="A1222" s="0" t="n">
        <v>3</v>
      </c>
      <c r="B1222" s="0" t="n">
        <v>14</v>
      </c>
      <c r="C1222" s="0" t="n">
        <v>2160</v>
      </c>
      <c r="D1222" s="0" t="s">
        <v>4037</v>
      </c>
      <c r="E1222" s="0" t="s">
        <v>3948</v>
      </c>
      <c r="F1222" s="0" t="s">
        <v>4103</v>
      </c>
    </row>
    <row r="1223" customFormat="false" ht="12.8" hidden="false" customHeight="false" outlineLevel="0" collapsed="false">
      <c r="A1223" s="0" t="n">
        <v>3</v>
      </c>
      <c r="B1223" s="0" t="n">
        <v>14</v>
      </c>
      <c r="C1223" s="0" t="n">
        <v>2161</v>
      </c>
      <c r="D1223" s="0" t="s">
        <v>4037</v>
      </c>
      <c r="E1223" s="0" t="s">
        <v>3948</v>
      </c>
      <c r="F1223" s="0" t="s">
        <v>4103</v>
      </c>
    </row>
    <row r="1224" customFormat="false" ht="12.8" hidden="false" customHeight="false" outlineLevel="0" collapsed="false">
      <c r="A1224" s="0" t="n">
        <v>3</v>
      </c>
      <c r="B1224" s="0" t="n">
        <v>14</v>
      </c>
      <c r="C1224" s="0" t="n">
        <v>2162</v>
      </c>
      <c r="D1224" s="0" t="s">
        <v>4037</v>
      </c>
      <c r="E1224" s="0" t="s">
        <v>3948</v>
      </c>
      <c r="F1224" s="0" t="s">
        <v>4103</v>
      </c>
    </row>
    <row r="1225" customFormat="false" ht="12.8" hidden="false" customHeight="false" outlineLevel="0" collapsed="false">
      <c r="A1225" s="0" t="n">
        <v>3</v>
      </c>
      <c r="B1225" s="0" t="n">
        <v>14</v>
      </c>
      <c r="C1225" s="0" t="n">
        <v>2163</v>
      </c>
      <c r="D1225" s="0" t="s">
        <v>4037</v>
      </c>
      <c r="E1225" s="0" t="s">
        <v>3948</v>
      </c>
      <c r="F1225" s="0" t="s">
        <v>4103</v>
      </c>
    </row>
    <row r="1226" customFormat="false" ht="12.8" hidden="false" customHeight="false" outlineLevel="0" collapsed="false">
      <c r="A1226" s="0" t="n">
        <v>3</v>
      </c>
      <c r="B1226" s="0" t="n">
        <v>14</v>
      </c>
      <c r="C1226" s="0" t="n">
        <v>2164</v>
      </c>
      <c r="D1226" s="0" t="s">
        <v>4037</v>
      </c>
      <c r="E1226" s="0" t="s">
        <v>3948</v>
      </c>
      <c r="F1226" s="0" t="s">
        <v>4103</v>
      </c>
    </row>
    <row r="1227" customFormat="false" ht="12.8" hidden="false" customHeight="false" outlineLevel="0" collapsed="false">
      <c r="A1227" s="0" t="n">
        <v>3</v>
      </c>
      <c r="B1227" s="0" t="n">
        <v>14</v>
      </c>
      <c r="C1227" s="0" t="n">
        <v>2165</v>
      </c>
      <c r="D1227" s="0" t="s">
        <v>4037</v>
      </c>
      <c r="E1227" s="0" t="s">
        <v>3948</v>
      </c>
      <c r="F1227" s="0" t="s">
        <v>4103</v>
      </c>
    </row>
    <row r="1228" customFormat="false" ht="12.8" hidden="false" customHeight="false" outlineLevel="0" collapsed="false">
      <c r="A1228" s="0" t="n">
        <v>3</v>
      </c>
      <c r="B1228" s="0" t="n">
        <v>14</v>
      </c>
      <c r="C1228" s="0" t="n">
        <v>2166</v>
      </c>
      <c r="D1228" s="0" t="s">
        <v>4037</v>
      </c>
      <c r="E1228" s="0" t="s">
        <v>3948</v>
      </c>
      <c r="F1228" s="0" t="s">
        <v>4103</v>
      </c>
    </row>
    <row r="1229" customFormat="false" ht="12.8" hidden="false" customHeight="false" outlineLevel="0" collapsed="false">
      <c r="A1229" s="0" t="n">
        <v>3</v>
      </c>
      <c r="B1229" s="0" t="n">
        <v>14</v>
      </c>
      <c r="C1229" s="0" t="n">
        <v>2167</v>
      </c>
      <c r="D1229" s="0" t="s">
        <v>4037</v>
      </c>
      <c r="E1229" s="0" t="s">
        <v>3948</v>
      </c>
      <c r="F1229" s="0" t="s">
        <v>4103</v>
      </c>
    </row>
    <row r="1230" customFormat="false" ht="12.8" hidden="false" customHeight="false" outlineLevel="0" collapsed="false">
      <c r="A1230" s="0" t="n">
        <v>3</v>
      </c>
      <c r="B1230" s="0" t="n">
        <v>14</v>
      </c>
      <c r="C1230" s="0" t="n">
        <v>2168</v>
      </c>
      <c r="D1230" s="0" t="s">
        <v>4037</v>
      </c>
      <c r="E1230" s="0" t="s">
        <v>3948</v>
      </c>
      <c r="F1230" s="0" t="s">
        <v>4103</v>
      </c>
    </row>
    <row r="1231" customFormat="false" ht="12.8" hidden="false" customHeight="false" outlineLevel="0" collapsed="false">
      <c r="A1231" s="0" t="n">
        <v>3</v>
      </c>
      <c r="B1231" s="0" t="n">
        <v>14</v>
      </c>
      <c r="C1231" s="0" t="n">
        <v>2169</v>
      </c>
      <c r="D1231" s="0" t="s">
        <v>4037</v>
      </c>
      <c r="E1231" s="0" t="s">
        <v>3948</v>
      </c>
      <c r="F1231" s="0" t="s">
        <v>4103</v>
      </c>
    </row>
    <row r="1232" customFormat="false" ht="12.8" hidden="false" customHeight="false" outlineLevel="0" collapsed="false">
      <c r="A1232" s="0" t="n">
        <v>3</v>
      </c>
      <c r="B1232" s="0" t="n">
        <v>14</v>
      </c>
      <c r="C1232" s="0" t="n">
        <v>2170</v>
      </c>
      <c r="D1232" s="0" t="s">
        <v>4037</v>
      </c>
      <c r="E1232" s="0" t="s">
        <v>3948</v>
      </c>
      <c r="F1232" s="0" t="s">
        <v>4103</v>
      </c>
    </row>
    <row r="1233" customFormat="false" ht="12.8" hidden="false" customHeight="false" outlineLevel="0" collapsed="false">
      <c r="A1233" s="0" t="n">
        <v>3</v>
      </c>
      <c r="B1233" s="0" t="n">
        <v>14</v>
      </c>
      <c r="C1233" s="0" t="n">
        <v>2194</v>
      </c>
      <c r="D1233" s="0" t="s">
        <v>4037</v>
      </c>
      <c r="E1233" s="0" t="s">
        <v>3948</v>
      </c>
      <c r="F1233" s="0" t="s">
        <v>4100</v>
      </c>
    </row>
    <row r="1234" customFormat="false" ht="12.8" hidden="false" customHeight="false" outlineLevel="0" collapsed="false">
      <c r="A1234" s="0" t="n">
        <v>3</v>
      </c>
      <c r="B1234" s="0" t="n">
        <v>14</v>
      </c>
      <c r="C1234" s="0" t="n">
        <v>2195</v>
      </c>
      <c r="D1234" s="0" t="s">
        <v>4037</v>
      </c>
      <c r="E1234" s="0" t="s">
        <v>3948</v>
      </c>
      <c r="F1234" s="0" t="s">
        <v>4097</v>
      </c>
    </row>
    <row r="1235" customFormat="false" ht="12.8" hidden="false" customHeight="false" outlineLevel="0" collapsed="false">
      <c r="A1235" s="0" t="n">
        <v>3</v>
      </c>
      <c r="B1235" s="0" t="n">
        <v>14</v>
      </c>
      <c r="C1235" s="0" t="n">
        <v>2196</v>
      </c>
      <c r="D1235" s="0" t="s">
        <v>4037</v>
      </c>
      <c r="E1235" s="0" t="s">
        <v>3948</v>
      </c>
      <c r="F1235" s="0" t="s">
        <v>4098</v>
      </c>
    </row>
    <row r="1236" customFormat="false" ht="12.8" hidden="false" customHeight="false" outlineLevel="0" collapsed="false">
      <c r="A1236" s="0" t="n">
        <v>3</v>
      </c>
      <c r="B1236" s="0" t="n">
        <v>14</v>
      </c>
      <c r="C1236" s="0" t="n">
        <v>2210</v>
      </c>
      <c r="D1236" s="0" t="s">
        <v>4037</v>
      </c>
      <c r="E1236" s="0" t="s">
        <v>3948</v>
      </c>
      <c r="F1236" s="0" t="s">
        <v>3954</v>
      </c>
    </row>
    <row r="1237" customFormat="false" ht="12.8" hidden="false" customHeight="false" outlineLevel="0" collapsed="false">
      <c r="A1237" s="0" t="n">
        <v>3</v>
      </c>
      <c r="B1237" s="0" t="n">
        <v>14</v>
      </c>
      <c r="C1237" s="0" t="n">
        <v>2212</v>
      </c>
      <c r="D1237" s="0" t="s">
        <v>4037</v>
      </c>
      <c r="E1237" s="0" t="s">
        <v>3948</v>
      </c>
      <c r="F1237" s="0" t="s">
        <v>4099</v>
      </c>
    </row>
    <row r="1238" customFormat="false" ht="12.8" hidden="false" customHeight="false" outlineLevel="0" collapsed="false">
      <c r="A1238" s="0" t="n">
        <v>3</v>
      </c>
      <c r="B1238" s="0" t="n">
        <v>14</v>
      </c>
      <c r="C1238" s="0" t="n">
        <v>2215</v>
      </c>
      <c r="D1238" s="0" t="s">
        <v>4037</v>
      </c>
      <c r="E1238" s="0" t="s">
        <v>3948</v>
      </c>
      <c r="F1238" s="0" t="s">
        <v>4101</v>
      </c>
    </row>
    <row r="1239" customFormat="false" ht="12.8" hidden="false" customHeight="false" outlineLevel="0" collapsed="false">
      <c r="A1239" s="0" t="n">
        <v>3</v>
      </c>
      <c r="B1239" s="0" t="n">
        <v>14</v>
      </c>
      <c r="C1239" s="0" t="n">
        <v>2216</v>
      </c>
      <c r="D1239" s="0" t="s">
        <v>4037</v>
      </c>
      <c r="E1239" s="0" t="s">
        <v>3948</v>
      </c>
      <c r="F1239" s="0" t="s">
        <v>4103</v>
      </c>
    </row>
    <row r="1240" customFormat="false" ht="12.8" hidden="false" customHeight="false" outlineLevel="0" collapsed="false">
      <c r="A1240" s="0" t="n">
        <v>3</v>
      </c>
      <c r="B1240" s="0" t="n">
        <v>14</v>
      </c>
      <c r="C1240" s="0" t="n">
        <v>2217</v>
      </c>
      <c r="D1240" s="0" t="s">
        <v>4037</v>
      </c>
      <c r="E1240" s="0" t="s">
        <v>3948</v>
      </c>
      <c r="F1240" s="0" t="s">
        <v>4102</v>
      </c>
    </row>
    <row r="1241" customFormat="false" ht="12.8" hidden="false" customHeight="false" outlineLevel="0" collapsed="false">
      <c r="A1241" s="0" t="n">
        <v>3</v>
      </c>
      <c r="B1241" s="0" t="n">
        <v>14</v>
      </c>
      <c r="C1241" s="0" t="n">
        <v>2316</v>
      </c>
      <c r="D1241" s="0" t="s">
        <v>4037</v>
      </c>
      <c r="E1241" s="0" t="s">
        <v>3948</v>
      </c>
      <c r="F1241" s="0" t="s">
        <v>4097</v>
      </c>
    </row>
    <row r="1242" customFormat="false" ht="12.8" hidden="false" customHeight="false" outlineLevel="0" collapsed="false">
      <c r="A1242" s="0" t="n">
        <v>3</v>
      </c>
      <c r="B1242" s="0" t="n">
        <v>14</v>
      </c>
      <c r="C1242" s="0" t="n">
        <v>2353</v>
      </c>
      <c r="D1242" s="0" t="s">
        <v>4037</v>
      </c>
      <c r="E1242" s="0" t="s">
        <v>3948</v>
      </c>
      <c r="F1242" s="0" t="s">
        <v>4101</v>
      </c>
    </row>
    <row r="1243" customFormat="false" ht="12.8" hidden="false" customHeight="false" outlineLevel="0" collapsed="false">
      <c r="A1243" s="0" t="n">
        <v>3</v>
      </c>
      <c r="B1243" s="0" t="n">
        <v>14</v>
      </c>
      <c r="C1243" s="0" t="n">
        <v>2357</v>
      </c>
      <c r="D1243" s="0" t="s">
        <v>4037</v>
      </c>
      <c r="E1243" s="0" t="s">
        <v>3948</v>
      </c>
      <c r="F1243" s="0" t="s">
        <v>4099</v>
      </c>
    </row>
    <row r="1244" customFormat="false" ht="12.8" hidden="false" customHeight="false" outlineLevel="0" collapsed="false">
      <c r="A1244" s="0" t="n">
        <v>3</v>
      </c>
      <c r="B1244" s="0" t="n">
        <v>14</v>
      </c>
      <c r="C1244" s="0" t="n">
        <v>2359</v>
      </c>
      <c r="D1244" s="0" t="s">
        <v>4037</v>
      </c>
      <c r="E1244" s="0" t="s">
        <v>3948</v>
      </c>
      <c r="F1244" s="0" t="s">
        <v>4100</v>
      </c>
    </row>
    <row r="1245" customFormat="false" ht="12.8" hidden="false" customHeight="false" outlineLevel="0" collapsed="false">
      <c r="A1245" s="0" t="n">
        <v>3</v>
      </c>
      <c r="B1245" s="0" t="n">
        <v>14</v>
      </c>
      <c r="C1245" s="0" t="n">
        <v>2362</v>
      </c>
      <c r="D1245" s="0" t="s">
        <v>4037</v>
      </c>
      <c r="E1245" s="0" t="s">
        <v>3948</v>
      </c>
      <c r="F1245" s="0" t="s">
        <v>4098</v>
      </c>
    </row>
    <row r="1246" customFormat="false" ht="12.8" hidden="false" customHeight="false" outlineLevel="0" collapsed="false">
      <c r="A1246" s="0" t="n">
        <v>3</v>
      </c>
      <c r="B1246" s="0" t="n">
        <v>14</v>
      </c>
      <c r="C1246" s="0" t="n">
        <v>2363</v>
      </c>
      <c r="D1246" s="0" t="s">
        <v>4037</v>
      </c>
      <c r="E1246" s="0" t="s">
        <v>3948</v>
      </c>
      <c r="F1246" s="0" t="s">
        <v>4104</v>
      </c>
    </row>
    <row r="1247" customFormat="false" ht="12.8" hidden="false" customHeight="false" outlineLevel="0" collapsed="false">
      <c r="A1247" s="0" t="n">
        <v>3</v>
      </c>
      <c r="B1247" s="0" t="n">
        <v>14</v>
      </c>
      <c r="C1247" s="0" t="n">
        <v>2386</v>
      </c>
      <c r="D1247" s="0" t="s">
        <v>4037</v>
      </c>
      <c r="E1247" s="0" t="s">
        <v>3948</v>
      </c>
      <c r="F1247" s="0" t="s">
        <v>4098</v>
      </c>
    </row>
    <row r="1248" customFormat="false" ht="12.8" hidden="false" customHeight="false" outlineLevel="0" collapsed="false">
      <c r="A1248" s="0" t="n">
        <v>3</v>
      </c>
      <c r="B1248" s="0" t="n">
        <v>14</v>
      </c>
      <c r="C1248" s="0" t="n">
        <v>2387</v>
      </c>
      <c r="D1248" s="0" t="s">
        <v>4037</v>
      </c>
      <c r="E1248" s="0" t="s">
        <v>3948</v>
      </c>
      <c r="F1248" s="0" t="s">
        <v>4099</v>
      </c>
    </row>
    <row r="1249" customFormat="false" ht="12.8" hidden="false" customHeight="false" outlineLevel="0" collapsed="false">
      <c r="A1249" s="0" t="n">
        <v>3</v>
      </c>
      <c r="B1249" s="0" t="n">
        <v>14</v>
      </c>
      <c r="C1249" s="0" t="n">
        <v>2392</v>
      </c>
      <c r="D1249" s="0" t="s">
        <v>4037</v>
      </c>
      <c r="E1249" s="0" t="s">
        <v>3948</v>
      </c>
      <c r="F1249" s="0" t="s">
        <v>4101</v>
      </c>
    </row>
    <row r="1250" customFormat="false" ht="12.8" hidden="false" customHeight="false" outlineLevel="0" collapsed="false">
      <c r="A1250" s="0" t="n">
        <v>3</v>
      </c>
      <c r="B1250" s="0" t="n">
        <v>14</v>
      </c>
      <c r="C1250" s="0" t="n">
        <v>2394</v>
      </c>
      <c r="D1250" s="0" t="s">
        <v>4037</v>
      </c>
      <c r="E1250" s="0" t="s">
        <v>3948</v>
      </c>
      <c r="F1250" s="0" t="s">
        <v>4097</v>
      </c>
    </row>
    <row r="1251" customFormat="false" ht="12.8" hidden="false" customHeight="false" outlineLevel="0" collapsed="false">
      <c r="A1251" s="0" t="n">
        <v>3</v>
      </c>
      <c r="B1251" s="0" t="n">
        <v>14</v>
      </c>
      <c r="C1251" s="0" t="n">
        <v>2395</v>
      </c>
      <c r="D1251" s="0" t="s">
        <v>4037</v>
      </c>
      <c r="E1251" s="0" t="s">
        <v>3948</v>
      </c>
      <c r="F1251" s="0" t="s">
        <v>4097</v>
      </c>
    </row>
    <row r="1252" customFormat="false" ht="12.8" hidden="false" customHeight="false" outlineLevel="0" collapsed="false">
      <c r="A1252" s="0" t="n">
        <v>3</v>
      </c>
      <c r="B1252" s="0" t="n">
        <v>14</v>
      </c>
      <c r="C1252" s="0" t="n">
        <v>2397</v>
      </c>
      <c r="D1252" s="0" t="s">
        <v>4037</v>
      </c>
      <c r="E1252" s="0" t="s">
        <v>3948</v>
      </c>
      <c r="F1252" s="0" t="s">
        <v>4100</v>
      </c>
    </row>
    <row r="1253" customFormat="false" ht="12.8" hidden="false" customHeight="false" outlineLevel="0" collapsed="false">
      <c r="A1253" s="0" t="n">
        <v>3</v>
      </c>
      <c r="B1253" s="0" t="n">
        <v>14</v>
      </c>
      <c r="C1253" s="0" t="n">
        <v>2406</v>
      </c>
      <c r="D1253" s="0" t="s">
        <v>4037</v>
      </c>
      <c r="E1253" s="0" t="s">
        <v>3948</v>
      </c>
      <c r="F1253" s="0" t="s">
        <v>4101</v>
      </c>
    </row>
    <row r="1254" customFormat="false" ht="12.8" hidden="false" customHeight="false" outlineLevel="0" collapsed="false">
      <c r="A1254" s="0" t="n">
        <v>3</v>
      </c>
      <c r="B1254" s="0" t="n">
        <v>14</v>
      </c>
      <c r="C1254" s="0" t="n">
        <v>2417</v>
      </c>
      <c r="D1254" s="0" t="s">
        <v>4037</v>
      </c>
      <c r="E1254" s="0" t="s">
        <v>3948</v>
      </c>
      <c r="F1254" s="0" t="s">
        <v>4098</v>
      </c>
    </row>
    <row r="1255" customFormat="false" ht="12.8" hidden="false" customHeight="false" outlineLevel="0" collapsed="false">
      <c r="A1255" s="0" t="n">
        <v>3</v>
      </c>
      <c r="B1255" s="0" t="n">
        <v>14</v>
      </c>
      <c r="C1255" s="0" t="n">
        <v>2444</v>
      </c>
      <c r="D1255" s="0" t="s">
        <v>4037</v>
      </c>
      <c r="E1255" s="0" t="s">
        <v>3948</v>
      </c>
      <c r="F1255" s="0" t="s">
        <v>4100</v>
      </c>
    </row>
    <row r="1256" customFormat="false" ht="12.8" hidden="false" customHeight="false" outlineLevel="0" collapsed="false">
      <c r="A1256" s="0" t="n">
        <v>3</v>
      </c>
      <c r="B1256" s="0" t="n">
        <v>14</v>
      </c>
      <c r="C1256" s="0" t="n">
        <v>2495</v>
      </c>
      <c r="D1256" s="0" t="s">
        <v>4037</v>
      </c>
      <c r="E1256" s="0" t="s">
        <v>3948</v>
      </c>
      <c r="F1256" s="0" t="s">
        <v>4104</v>
      </c>
    </row>
    <row r="1257" customFormat="false" ht="12.8" hidden="false" customHeight="false" outlineLevel="0" collapsed="false">
      <c r="A1257" s="0" t="n">
        <v>3</v>
      </c>
      <c r="B1257" s="0" t="n">
        <v>14</v>
      </c>
      <c r="C1257" s="0" t="n">
        <v>2496</v>
      </c>
      <c r="D1257" s="0" t="s">
        <v>4037</v>
      </c>
      <c r="E1257" s="0" t="s">
        <v>3948</v>
      </c>
      <c r="F1257" s="0" t="s">
        <v>4104</v>
      </c>
    </row>
    <row r="1258" customFormat="false" ht="12.8" hidden="false" customHeight="false" outlineLevel="0" collapsed="false">
      <c r="A1258" s="0" t="n">
        <v>3</v>
      </c>
      <c r="B1258" s="0" t="n">
        <v>14</v>
      </c>
      <c r="C1258" s="0" t="n">
        <v>2497</v>
      </c>
      <c r="D1258" s="0" t="s">
        <v>4037</v>
      </c>
      <c r="E1258" s="0" t="s">
        <v>3948</v>
      </c>
      <c r="F1258" s="0" t="s">
        <v>4104</v>
      </c>
    </row>
    <row r="1259" customFormat="false" ht="12.8" hidden="false" customHeight="false" outlineLevel="0" collapsed="false">
      <c r="A1259" s="0" t="n">
        <v>3</v>
      </c>
      <c r="B1259" s="0" t="n">
        <v>14</v>
      </c>
      <c r="C1259" s="0" t="n">
        <v>2498</v>
      </c>
      <c r="D1259" s="0" t="s">
        <v>4037</v>
      </c>
      <c r="E1259" s="0" t="s">
        <v>3948</v>
      </c>
      <c r="F1259" s="0" t="s">
        <v>4079</v>
      </c>
    </row>
    <row r="1260" customFormat="false" ht="12.8" hidden="false" customHeight="false" outlineLevel="0" collapsed="false">
      <c r="A1260" s="0" t="n">
        <v>3</v>
      </c>
      <c r="B1260" s="0" t="n">
        <v>14</v>
      </c>
      <c r="C1260" s="0" t="n">
        <v>2499</v>
      </c>
      <c r="D1260" s="0" t="s">
        <v>4037</v>
      </c>
      <c r="E1260" s="0" t="s">
        <v>3948</v>
      </c>
      <c r="F1260" s="0" t="s">
        <v>4079</v>
      </c>
    </row>
    <row r="1261" customFormat="false" ht="12.8" hidden="false" customHeight="false" outlineLevel="0" collapsed="false">
      <c r="A1261" s="0" t="n">
        <v>3</v>
      </c>
      <c r="B1261" s="0" t="n">
        <v>14</v>
      </c>
      <c r="C1261" s="0" t="n">
        <v>2503</v>
      </c>
      <c r="D1261" s="0" t="s">
        <v>4037</v>
      </c>
      <c r="E1261" s="0" t="s">
        <v>3948</v>
      </c>
      <c r="F1261" s="0" t="s">
        <v>4099</v>
      </c>
    </row>
    <row r="1262" customFormat="false" ht="12.8" hidden="false" customHeight="false" outlineLevel="0" collapsed="false">
      <c r="A1262" s="0" t="n">
        <v>3</v>
      </c>
      <c r="B1262" s="0" t="n">
        <v>14</v>
      </c>
      <c r="C1262" s="0" t="n">
        <v>2529</v>
      </c>
      <c r="D1262" s="0" t="s">
        <v>4037</v>
      </c>
      <c r="E1262" s="0" t="s">
        <v>3948</v>
      </c>
      <c r="F1262" s="0" t="s">
        <v>4103</v>
      </c>
    </row>
    <row r="1263" customFormat="false" ht="12.8" hidden="false" customHeight="false" outlineLevel="0" collapsed="false">
      <c r="A1263" s="0" t="n">
        <v>3</v>
      </c>
      <c r="B1263" s="0" t="n">
        <v>14</v>
      </c>
      <c r="C1263" s="0" t="n">
        <v>2530</v>
      </c>
      <c r="D1263" s="0" t="s">
        <v>4037</v>
      </c>
      <c r="E1263" s="0" t="s">
        <v>3948</v>
      </c>
      <c r="F1263" s="0" t="s">
        <v>4103</v>
      </c>
    </row>
    <row r="1264" customFormat="false" ht="12.8" hidden="false" customHeight="false" outlineLevel="0" collapsed="false">
      <c r="A1264" s="0" t="n">
        <v>3</v>
      </c>
      <c r="B1264" s="0" t="n">
        <v>14</v>
      </c>
      <c r="C1264" s="0" t="n">
        <v>2531</v>
      </c>
      <c r="D1264" s="0" t="s">
        <v>4037</v>
      </c>
      <c r="E1264" s="0" t="s">
        <v>3948</v>
      </c>
      <c r="F1264" s="0" t="s">
        <v>4103</v>
      </c>
    </row>
    <row r="1265" customFormat="false" ht="12.8" hidden="false" customHeight="false" outlineLevel="0" collapsed="false">
      <c r="A1265" s="0" t="n">
        <v>3</v>
      </c>
      <c r="B1265" s="0" t="n">
        <v>14</v>
      </c>
      <c r="C1265" s="0" t="n">
        <v>2555</v>
      </c>
      <c r="D1265" s="0" t="s">
        <v>4037</v>
      </c>
      <c r="E1265" s="0" t="s">
        <v>3948</v>
      </c>
      <c r="F1265" s="0" t="s">
        <v>4105</v>
      </c>
    </row>
    <row r="1266" customFormat="false" ht="12.8" hidden="false" customHeight="false" outlineLevel="0" collapsed="false">
      <c r="A1266" s="0" t="n">
        <v>3</v>
      </c>
      <c r="B1266" s="0" t="n">
        <v>14</v>
      </c>
      <c r="C1266" s="0" t="n">
        <v>2582</v>
      </c>
      <c r="D1266" s="0" t="s">
        <v>4037</v>
      </c>
      <c r="E1266" s="0" t="s">
        <v>3948</v>
      </c>
      <c r="F1266" s="0" t="s">
        <v>4104</v>
      </c>
    </row>
    <row r="1267" customFormat="false" ht="12.8" hidden="false" customHeight="false" outlineLevel="0" collapsed="false">
      <c r="A1267" s="0" t="n">
        <v>3</v>
      </c>
      <c r="B1267" s="0" t="n">
        <v>14</v>
      </c>
      <c r="C1267" s="0" t="n">
        <v>2583</v>
      </c>
      <c r="D1267" s="0" t="s">
        <v>4037</v>
      </c>
      <c r="E1267" s="0" t="s">
        <v>3948</v>
      </c>
      <c r="F1267" s="0" t="s">
        <v>4097</v>
      </c>
    </row>
    <row r="1268" customFormat="false" ht="12.8" hidden="false" customHeight="false" outlineLevel="0" collapsed="false">
      <c r="A1268" s="0" t="n">
        <v>3</v>
      </c>
      <c r="B1268" s="0" t="n">
        <v>14</v>
      </c>
      <c r="C1268" s="0" t="n">
        <v>2595</v>
      </c>
      <c r="D1268" s="0" t="s">
        <v>4037</v>
      </c>
      <c r="E1268" s="0" t="s">
        <v>3948</v>
      </c>
      <c r="F1268" s="0" t="s">
        <v>4106</v>
      </c>
    </row>
    <row r="1269" customFormat="false" ht="12.8" hidden="false" customHeight="false" outlineLevel="0" collapsed="false">
      <c r="A1269" s="0" t="n">
        <v>3</v>
      </c>
      <c r="B1269" s="0" t="n">
        <v>14</v>
      </c>
      <c r="C1269" s="0" t="n">
        <v>2596</v>
      </c>
      <c r="D1269" s="0" t="s">
        <v>4037</v>
      </c>
      <c r="E1269" s="0" t="s">
        <v>3948</v>
      </c>
      <c r="F1269" s="0" t="s">
        <v>4106</v>
      </c>
    </row>
    <row r="1270" customFormat="false" ht="12.8" hidden="false" customHeight="false" outlineLevel="0" collapsed="false">
      <c r="A1270" s="0" t="n">
        <v>3</v>
      </c>
      <c r="B1270" s="0" t="n">
        <v>14</v>
      </c>
      <c r="C1270" s="0" t="n">
        <v>2597</v>
      </c>
      <c r="D1270" s="0" t="s">
        <v>4037</v>
      </c>
      <c r="E1270" s="0" t="s">
        <v>3948</v>
      </c>
      <c r="F1270" s="0" t="s">
        <v>4106</v>
      </c>
    </row>
    <row r="1271" customFormat="false" ht="12.8" hidden="false" customHeight="false" outlineLevel="0" collapsed="false">
      <c r="A1271" s="0" t="n">
        <v>3</v>
      </c>
      <c r="B1271" s="0" t="n">
        <v>14</v>
      </c>
      <c r="C1271" s="0" t="n">
        <v>2598</v>
      </c>
      <c r="D1271" s="0" t="s">
        <v>4037</v>
      </c>
      <c r="E1271" s="0" t="s">
        <v>3948</v>
      </c>
      <c r="F1271" s="0" t="s">
        <v>4106</v>
      </c>
    </row>
    <row r="1272" customFormat="false" ht="12.8" hidden="false" customHeight="false" outlineLevel="0" collapsed="false">
      <c r="A1272" s="0" t="n">
        <v>3</v>
      </c>
      <c r="B1272" s="0" t="n">
        <v>14</v>
      </c>
      <c r="C1272" s="0" t="n">
        <v>2599</v>
      </c>
      <c r="D1272" s="0" t="s">
        <v>4037</v>
      </c>
      <c r="E1272" s="0" t="s">
        <v>3948</v>
      </c>
      <c r="F1272" s="0" t="s">
        <v>4106</v>
      </c>
    </row>
    <row r="1273" customFormat="false" ht="12.8" hidden="false" customHeight="false" outlineLevel="0" collapsed="false">
      <c r="A1273" s="0" t="n">
        <v>3</v>
      </c>
      <c r="B1273" s="0" t="n">
        <v>14</v>
      </c>
      <c r="C1273" s="0" t="n">
        <v>2600</v>
      </c>
      <c r="D1273" s="0" t="s">
        <v>4037</v>
      </c>
      <c r="E1273" s="0" t="s">
        <v>3948</v>
      </c>
      <c r="F1273" s="0" t="s">
        <v>4106</v>
      </c>
    </row>
    <row r="1274" customFormat="false" ht="12.8" hidden="false" customHeight="false" outlineLevel="0" collapsed="false">
      <c r="A1274" s="0" t="n">
        <v>3</v>
      </c>
      <c r="B1274" s="0" t="n">
        <v>14</v>
      </c>
      <c r="C1274" s="0" t="n">
        <v>2601</v>
      </c>
      <c r="D1274" s="0" t="s">
        <v>4037</v>
      </c>
      <c r="E1274" s="0" t="s">
        <v>3948</v>
      </c>
      <c r="F1274" s="0" t="s">
        <v>4106</v>
      </c>
    </row>
    <row r="1275" customFormat="false" ht="12.8" hidden="false" customHeight="false" outlineLevel="0" collapsed="false">
      <c r="A1275" s="0" t="n">
        <v>3</v>
      </c>
      <c r="B1275" s="0" t="n">
        <v>14</v>
      </c>
      <c r="C1275" s="0" t="n">
        <v>2602</v>
      </c>
      <c r="D1275" s="0" t="s">
        <v>4037</v>
      </c>
      <c r="E1275" s="0" t="s">
        <v>3948</v>
      </c>
      <c r="F1275" s="0" t="s">
        <v>4106</v>
      </c>
    </row>
    <row r="1276" customFormat="false" ht="12.8" hidden="false" customHeight="false" outlineLevel="0" collapsed="false">
      <c r="A1276" s="0" t="n">
        <v>3</v>
      </c>
      <c r="B1276" s="0" t="n">
        <v>14</v>
      </c>
      <c r="C1276" s="0" t="n">
        <v>2603</v>
      </c>
      <c r="D1276" s="0" t="s">
        <v>4037</v>
      </c>
      <c r="E1276" s="0" t="s">
        <v>3948</v>
      </c>
      <c r="F1276" s="0" t="s">
        <v>4106</v>
      </c>
    </row>
    <row r="1277" customFormat="false" ht="12.8" hidden="false" customHeight="false" outlineLevel="0" collapsed="false">
      <c r="A1277" s="0" t="n">
        <v>3</v>
      </c>
      <c r="B1277" s="0" t="n">
        <v>14</v>
      </c>
      <c r="C1277" s="0" t="n">
        <v>2604</v>
      </c>
      <c r="D1277" s="0" t="s">
        <v>4037</v>
      </c>
      <c r="E1277" s="0" t="s">
        <v>3948</v>
      </c>
      <c r="F1277" s="0" t="s">
        <v>4106</v>
      </c>
    </row>
    <row r="1278" customFormat="false" ht="12.8" hidden="false" customHeight="false" outlineLevel="0" collapsed="false">
      <c r="A1278" s="0" t="n">
        <v>3</v>
      </c>
      <c r="B1278" s="0" t="n">
        <v>14</v>
      </c>
      <c r="C1278" s="0" t="n">
        <v>2605</v>
      </c>
      <c r="D1278" s="0" t="s">
        <v>4037</v>
      </c>
      <c r="E1278" s="0" t="s">
        <v>3948</v>
      </c>
      <c r="F1278" s="0" t="s">
        <v>4106</v>
      </c>
    </row>
    <row r="1279" customFormat="false" ht="12.8" hidden="false" customHeight="false" outlineLevel="0" collapsed="false">
      <c r="A1279" s="0" t="n">
        <v>3</v>
      </c>
      <c r="B1279" s="0" t="n">
        <v>14</v>
      </c>
      <c r="C1279" s="0" t="n">
        <v>2606</v>
      </c>
      <c r="D1279" s="0" t="s">
        <v>4037</v>
      </c>
      <c r="E1279" s="0" t="s">
        <v>3948</v>
      </c>
      <c r="F1279" s="0" t="s">
        <v>4106</v>
      </c>
    </row>
    <row r="1280" customFormat="false" ht="12.8" hidden="false" customHeight="false" outlineLevel="0" collapsed="false">
      <c r="A1280" s="0" t="n">
        <v>3</v>
      </c>
      <c r="B1280" s="0" t="n">
        <v>14</v>
      </c>
      <c r="C1280" s="0" t="n">
        <v>2607</v>
      </c>
      <c r="D1280" s="0" t="s">
        <v>4037</v>
      </c>
      <c r="E1280" s="0" t="s">
        <v>3948</v>
      </c>
      <c r="F1280" s="0" t="s">
        <v>4106</v>
      </c>
    </row>
    <row r="1281" customFormat="false" ht="12.8" hidden="false" customHeight="false" outlineLevel="0" collapsed="false">
      <c r="A1281" s="0" t="n">
        <v>3</v>
      </c>
      <c r="B1281" s="0" t="n">
        <v>14</v>
      </c>
      <c r="C1281" s="0" t="n">
        <v>2608</v>
      </c>
      <c r="D1281" s="0" t="s">
        <v>4037</v>
      </c>
      <c r="E1281" s="0" t="s">
        <v>3948</v>
      </c>
      <c r="F1281" s="0" t="s">
        <v>4106</v>
      </c>
    </row>
    <row r="1282" customFormat="false" ht="12.8" hidden="false" customHeight="false" outlineLevel="0" collapsed="false">
      <c r="A1282" s="0" t="n">
        <v>3</v>
      </c>
      <c r="B1282" s="0" t="n">
        <v>14</v>
      </c>
      <c r="C1282" s="0" t="n">
        <v>2609</v>
      </c>
      <c r="D1282" s="0" t="s">
        <v>4037</v>
      </c>
      <c r="E1282" s="0" t="s">
        <v>3948</v>
      </c>
      <c r="F1282" s="0" t="s">
        <v>4106</v>
      </c>
    </row>
    <row r="1283" customFormat="false" ht="12.8" hidden="false" customHeight="false" outlineLevel="0" collapsed="false">
      <c r="A1283" s="0" t="n">
        <v>3</v>
      </c>
      <c r="B1283" s="0" t="n">
        <v>14</v>
      </c>
      <c r="C1283" s="0" t="n">
        <v>2610</v>
      </c>
      <c r="D1283" s="0" t="s">
        <v>4037</v>
      </c>
      <c r="E1283" s="0" t="s">
        <v>3948</v>
      </c>
      <c r="F1283" s="0" t="s">
        <v>4106</v>
      </c>
    </row>
    <row r="1284" customFormat="false" ht="12.8" hidden="false" customHeight="false" outlineLevel="0" collapsed="false">
      <c r="A1284" s="0" t="n">
        <v>3</v>
      </c>
      <c r="B1284" s="0" t="n">
        <v>14</v>
      </c>
      <c r="C1284" s="0" t="n">
        <v>2611</v>
      </c>
      <c r="D1284" s="0" t="s">
        <v>4037</v>
      </c>
      <c r="E1284" s="0" t="s">
        <v>3948</v>
      </c>
      <c r="F1284" s="0" t="s">
        <v>4106</v>
      </c>
    </row>
    <row r="1285" customFormat="false" ht="12.8" hidden="false" customHeight="false" outlineLevel="0" collapsed="false">
      <c r="A1285" s="0" t="n">
        <v>3</v>
      </c>
      <c r="B1285" s="0" t="n">
        <v>14</v>
      </c>
      <c r="C1285" s="0" t="n">
        <v>2612</v>
      </c>
      <c r="D1285" s="0" t="s">
        <v>4037</v>
      </c>
      <c r="E1285" s="0" t="s">
        <v>3948</v>
      </c>
      <c r="F1285" s="0" t="s">
        <v>4106</v>
      </c>
    </row>
    <row r="1286" customFormat="false" ht="12.8" hidden="false" customHeight="false" outlineLevel="0" collapsed="false">
      <c r="A1286" s="0" t="n">
        <v>4</v>
      </c>
      <c r="B1286" s="0" t="n">
        <v>15</v>
      </c>
      <c r="C1286" s="0" t="n">
        <v>51</v>
      </c>
      <c r="D1286" s="0" t="s">
        <v>4107</v>
      </c>
      <c r="E1286" s="0" t="s">
        <v>3948</v>
      </c>
      <c r="F1286" s="0" t="s">
        <v>4108</v>
      </c>
    </row>
    <row r="1287" customFormat="false" ht="12.8" hidden="false" customHeight="false" outlineLevel="0" collapsed="false">
      <c r="A1287" s="0" t="n">
        <v>4</v>
      </c>
      <c r="B1287" s="0" t="n">
        <v>15</v>
      </c>
      <c r="C1287" s="0" t="n">
        <v>52</v>
      </c>
      <c r="D1287" s="0" t="s">
        <v>4107</v>
      </c>
      <c r="E1287" s="0" t="s">
        <v>3948</v>
      </c>
      <c r="F1287" s="0" t="s">
        <v>4109</v>
      </c>
    </row>
    <row r="1288" customFormat="false" ht="12.8" hidden="false" customHeight="false" outlineLevel="0" collapsed="false">
      <c r="A1288" s="0" t="n">
        <v>4</v>
      </c>
      <c r="B1288" s="0" t="n">
        <v>15</v>
      </c>
      <c r="C1288" s="0" t="n">
        <v>53</v>
      </c>
      <c r="D1288" s="0" t="s">
        <v>4107</v>
      </c>
      <c r="E1288" s="0" t="s">
        <v>3948</v>
      </c>
      <c r="F1288" s="0" t="s">
        <v>4039</v>
      </c>
    </row>
    <row r="1289" customFormat="false" ht="12.8" hidden="false" customHeight="false" outlineLevel="0" collapsed="false">
      <c r="A1289" s="0" t="n">
        <v>4</v>
      </c>
      <c r="B1289" s="0" t="n">
        <v>15</v>
      </c>
      <c r="C1289" s="0" t="n">
        <v>54</v>
      </c>
      <c r="D1289" s="0" t="s">
        <v>4107</v>
      </c>
      <c r="E1289" s="0" t="s">
        <v>3948</v>
      </c>
      <c r="F1289" s="0" t="s">
        <v>4110</v>
      </c>
    </row>
    <row r="1290" customFormat="false" ht="12.8" hidden="false" customHeight="false" outlineLevel="0" collapsed="false">
      <c r="A1290" s="0" t="n">
        <v>4</v>
      </c>
      <c r="B1290" s="0" t="n">
        <v>15</v>
      </c>
      <c r="C1290" s="0" t="n">
        <v>55</v>
      </c>
      <c r="D1290" s="0" t="s">
        <v>4107</v>
      </c>
      <c r="E1290" s="0" t="s">
        <v>3948</v>
      </c>
      <c r="F1290" s="0" t="s">
        <v>4111</v>
      </c>
    </row>
    <row r="1291" customFormat="false" ht="12.8" hidden="false" customHeight="false" outlineLevel="0" collapsed="false">
      <c r="A1291" s="0" t="n">
        <v>4</v>
      </c>
      <c r="B1291" s="0" t="n">
        <v>15</v>
      </c>
      <c r="C1291" s="0" t="n">
        <v>56</v>
      </c>
      <c r="D1291" s="0" t="s">
        <v>4107</v>
      </c>
      <c r="E1291" s="0" t="s">
        <v>3948</v>
      </c>
      <c r="F1291" s="0" t="s">
        <v>4112</v>
      </c>
    </row>
    <row r="1292" customFormat="false" ht="12.8" hidden="false" customHeight="false" outlineLevel="0" collapsed="false">
      <c r="A1292" s="0" t="n">
        <v>4</v>
      </c>
      <c r="B1292" s="0" t="n">
        <v>15</v>
      </c>
      <c r="C1292" s="0" t="n">
        <v>57</v>
      </c>
      <c r="D1292" s="0" t="s">
        <v>4107</v>
      </c>
      <c r="E1292" s="0" t="s">
        <v>3948</v>
      </c>
      <c r="F1292" s="0" t="s">
        <v>4113</v>
      </c>
    </row>
    <row r="1293" customFormat="false" ht="12.8" hidden="false" customHeight="false" outlineLevel="0" collapsed="false">
      <c r="A1293" s="0" t="n">
        <v>4</v>
      </c>
      <c r="B1293" s="0" t="n">
        <v>15</v>
      </c>
      <c r="C1293" s="0" t="n">
        <v>58</v>
      </c>
      <c r="D1293" s="0" t="s">
        <v>4107</v>
      </c>
      <c r="E1293" s="0" t="s">
        <v>3948</v>
      </c>
      <c r="F1293" s="0" t="s">
        <v>4114</v>
      </c>
    </row>
    <row r="1294" customFormat="false" ht="12.8" hidden="false" customHeight="false" outlineLevel="0" collapsed="false">
      <c r="A1294" s="0" t="n">
        <v>4</v>
      </c>
      <c r="B1294" s="0" t="n">
        <v>15</v>
      </c>
      <c r="C1294" s="0" t="n">
        <v>59</v>
      </c>
      <c r="D1294" s="0" t="s">
        <v>4107</v>
      </c>
      <c r="E1294" s="0" t="s">
        <v>3948</v>
      </c>
      <c r="F1294" s="0" t="s">
        <v>4115</v>
      </c>
    </row>
    <row r="1295" customFormat="false" ht="12.8" hidden="false" customHeight="false" outlineLevel="0" collapsed="false">
      <c r="A1295" s="0" t="n">
        <v>4</v>
      </c>
      <c r="B1295" s="0" t="n">
        <v>15</v>
      </c>
      <c r="C1295" s="0" t="n">
        <v>60</v>
      </c>
      <c r="D1295" s="0" t="s">
        <v>4107</v>
      </c>
      <c r="E1295" s="0" t="s">
        <v>3948</v>
      </c>
      <c r="F1295" s="0" t="s">
        <v>4116</v>
      </c>
    </row>
    <row r="1296" customFormat="false" ht="12.8" hidden="false" customHeight="false" outlineLevel="0" collapsed="false">
      <c r="A1296" s="0" t="n">
        <v>4</v>
      </c>
      <c r="B1296" s="0" t="n">
        <v>15</v>
      </c>
      <c r="C1296" s="0" t="n">
        <v>61</v>
      </c>
      <c r="D1296" s="0" t="s">
        <v>4107</v>
      </c>
      <c r="E1296" s="0" t="s">
        <v>3948</v>
      </c>
      <c r="F1296" s="0" t="s">
        <v>4117</v>
      </c>
    </row>
    <row r="1297" customFormat="false" ht="12.8" hidden="false" customHeight="false" outlineLevel="0" collapsed="false">
      <c r="A1297" s="0" t="n">
        <v>4</v>
      </c>
      <c r="B1297" s="0" t="n">
        <v>15</v>
      </c>
      <c r="C1297" s="0" t="n">
        <v>62</v>
      </c>
      <c r="D1297" s="0" t="s">
        <v>4107</v>
      </c>
      <c r="E1297" s="0" t="s">
        <v>3948</v>
      </c>
      <c r="F1297" s="0" t="s">
        <v>4118</v>
      </c>
    </row>
    <row r="1298" customFormat="false" ht="12.8" hidden="false" customHeight="false" outlineLevel="0" collapsed="false">
      <c r="A1298" s="0" t="n">
        <v>4</v>
      </c>
      <c r="B1298" s="0" t="n">
        <v>15</v>
      </c>
      <c r="C1298" s="0" t="n">
        <v>63</v>
      </c>
      <c r="D1298" s="0" t="s">
        <v>4107</v>
      </c>
      <c r="E1298" s="0" t="s">
        <v>3948</v>
      </c>
      <c r="F1298" s="0" t="s">
        <v>4119</v>
      </c>
    </row>
    <row r="1299" customFormat="false" ht="12.8" hidden="false" customHeight="false" outlineLevel="0" collapsed="false">
      <c r="A1299" s="0" t="n">
        <v>4</v>
      </c>
      <c r="B1299" s="0" t="n">
        <v>15</v>
      </c>
      <c r="C1299" s="0" t="n">
        <v>64</v>
      </c>
      <c r="D1299" s="0" t="s">
        <v>4107</v>
      </c>
      <c r="E1299" s="0" t="s">
        <v>3948</v>
      </c>
      <c r="F1299" s="0" t="s">
        <v>4120</v>
      </c>
    </row>
    <row r="1300" customFormat="false" ht="12.8" hidden="false" customHeight="false" outlineLevel="0" collapsed="false">
      <c r="A1300" s="0" t="n">
        <v>4</v>
      </c>
      <c r="B1300" s="0" t="n">
        <v>15</v>
      </c>
      <c r="C1300" s="0" t="n">
        <v>65</v>
      </c>
      <c r="D1300" s="0" t="s">
        <v>4107</v>
      </c>
      <c r="E1300" s="0" t="s">
        <v>3948</v>
      </c>
      <c r="F1300" s="0" t="s">
        <v>4121</v>
      </c>
    </row>
    <row r="1301" customFormat="false" ht="12.8" hidden="false" customHeight="false" outlineLevel="0" collapsed="false">
      <c r="A1301" s="0" t="n">
        <v>4</v>
      </c>
      <c r="B1301" s="0" t="n">
        <v>15</v>
      </c>
      <c r="C1301" s="0" t="n">
        <v>66</v>
      </c>
      <c r="D1301" s="0" t="s">
        <v>4107</v>
      </c>
      <c r="E1301" s="0" t="s">
        <v>3948</v>
      </c>
      <c r="F1301" s="0" t="s">
        <v>4122</v>
      </c>
    </row>
    <row r="1302" customFormat="false" ht="12.8" hidden="false" customHeight="false" outlineLevel="0" collapsed="false">
      <c r="A1302" s="0" t="n">
        <v>4</v>
      </c>
      <c r="B1302" s="0" t="n">
        <v>15</v>
      </c>
      <c r="C1302" s="0" t="n">
        <v>67</v>
      </c>
      <c r="D1302" s="0" t="s">
        <v>4107</v>
      </c>
      <c r="E1302" s="0" t="s">
        <v>3948</v>
      </c>
      <c r="F1302" s="0" t="s">
        <v>4123</v>
      </c>
    </row>
    <row r="1303" customFormat="false" ht="12.8" hidden="false" customHeight="false" outlineLevel="0" collapsed="false">
      <c r="A1303" s="0" t="n">
        <v>4</v>
      </c>
      <c r="B1303" s="0" t="n">
        <v>15</v>
      </c>
      <c r="C1303" s="0" t="n">
        <v>68</v>
      </c>
      <c r="D1303" s="0" t="s">
        <v>4107</v>
      </c>
      <c r="E1303" s="0" t="s">
        <v>3948</v>
      </c>
      <c r="F1303" s="0" t="s">
        <v>4124</v>
      </c>
    </row>
    <row r="1304" customFormat="false" ht="12.8" hidden="false" customHeight="false" outlineLevel="0" collapsed="false">
      <c r="A1304" s="0" t="n">
        <v>4</v>
      </c>
      <c r="B1304" s="0" t="n">
        <v>15</v>
      </c>
      <c r="C1304" s="0" t="n">
        <v>69</v>
      </c>
      <c r="D1304" s="0" t="s">
        <v>4107</v>
      </c>
      <c r="E1304" s="0" t="s">
        <v>3948</v>
      </c>
      <c r="F1304" s="0" t="s">
        <v>4125</v>
      </c>
    </row>
    <row r="1305" customFormat="false" ht="12.8" hidden="false" customHeight="false" outlineLevel="0" collapsed="false">
      <c r="A1305" s="0" t="n">
        <v>4</v>
      </c>
      <c r="B1305" s="0" t="n">
        <v>15</v>
      </c>
      <c r="C1305" s="0" t="n">
        <v>70</v>
      </c>
      <c r="D1305" s="0" t="s">
        <v>4107</v>
      </c>
      <c r="E1305" s="0" t="s">
        <v>3948</v>
      </c>
      <c r="F1305" s="0" t="s">
        <v>4125</v>
      </c>
    </row>
    <row r="1306" customFormat="false" ht="12.8" hidden="false" customHeight="false" outlineLevel="0" collapsed="false">
      <c r="A1306" s="0" t="n">
        <v>4</v>
      </c>
      <c r="B1306" s="0" t="n">
        <v>15</v>
      </c>
      <c r="C1306" s="0" t="n">
        <v>71</v>
      </c>
      <c r="D1306" s="0" t="s">
        <v>4107</v>
      </c>
      <c r="E1306" s="0" t="s">
        <v>3948</v>
      </c>
      <c r="F1306" s="0" t="s">
        <v>4126</v>
      </c>
    </row>
    <row r="1307" customFormat="false" ht="12.8" hidden="false" customHeight="false" outlineLevel="0" collapsed="false">
      <c r="A1307" s="0" t="n">
        <v>4</v>
      </c>
      <c r="B1307" s="0" t="n">
        <v>15</v>
      </c>
      <c r="C1307" s="0" t="n">
        <v>72</v>
      </c>
      <c r="D1307" s="0" t="s">
        <v>4107</v>
      </c>
      <c r="E1307" s="0" t="s">
        <v>3948</v>
      </c>
      <c r="F1307" s="0" t="s">
        <v>4127</v>
      </c>
    </row>
    <row r="1308" customFormat="false" ht="12.8" hidden="false" customHeight="false" outlineLevel="0" collapsed="false">
      <c r="A1308" s="0" t="n">
        <v>4</v>
      </c>
      <c r="B1308" s="0" t="n">
        <v>15</v>
      </c>
      <c r="C1308" s="0" t="n">
        <v>73</v>
      </c>
      <c r="D1308" s="0" t="s">
        <v>4107</v>
      </c>
      <c r="E1308" s="0" t="s">
        <v>3948</v>
      </c>
      <c r="F1308" s="0" t="s">
        <v>4128</v>
      </c>
    </row>
    <row r="1309" customFormat="false" ht="12.8" hidden="false" customHeight="false" outlineLevel="0" collapsed="false">
      <c r="A1309" s="0" t="n">
        <v>4</v>
      </c>
      <c r="B1309" s="0" t="n">
        <v>15</v>
      </c>
      <c r="C1309" s="0" t="n">
        <v>74</v>
      </c>
      <c r="D1309" s="0" t="s">
        <v>4107</v>
      </c>
      <c r="E1309" s="0" t="s">
        <v>3948</v>
      </c>
      <c r="F1309" s="0" t="s">
        <v>4129</v>
      </c>
    </row>
    <row r="1310" customFormat="false" ht="12.8" hidden="false" customHeight="false" outlineLevel="0" collapsed="false">
      <c r="A1310" s="0" t="n">
        <v>4</v>
      </c>
      <c r="B1310" s="0" t="n">
        <v>15</v>
      </c>
      <c r="C1310" s="0" t="n">
        <v>75</v>
      </c>
      <c r="D1310" s="0" t="s">
        <v>4107</v>
      </c>
      <c r="E1310" s="0" t="s">
        <v>3948</v>
      </c>
      <c r="F1310" s="0" t="s">
        <v>4130</v>
      </c>
    </row>
    <row r="1311" customFormat="false" ht="12.8" hidden="false" customHeight="false" outlineLevel="0" collapsed="false">
      <c r="A1311" s="0" t="n">
        <v>4</v>
      </c>
      <c r="B1311" s="0" t="n">
        <v>15</v>
      </c>
      <c r="C1311" s="0" t="n">
        <v>76</v>
      </c>
      <c r="D1311" s="0" t="s">
        <v>4107</v>
      </c>
      <c r="E1311" s="0" t="s">
        <v>3948</v>
      </c>
      <c r="F1311" s="0" t="s">
        <v>4131</v>
      </c>
    </row>
    <row r="1312" customFormat="false" ht="12.8" hidden="false" customHeight="false" outlineLevel="0" collapsed="false">
      <c r="A1312" s="0" t="n">
        <v>4</v>
      </c>
      <c r="B1312" s="0" t="n">
        <v>15</v>
      </c>
      <c r="C1312" s="0" t="n">
        <v>77</v>
      </c>
      <c r="D1312" s="0" t="s">
        <v>4107</v>
      </c>
      <c r="E1312" s="0" t="s">
        <v>3948</v>
      </c>
      <c r="F1312" s="0" t="s">
        <v>4086</v>
      </c>
    </row>
    <row r="1313" customFormat="false" ht="12.8" hidden="false" customHeight="false" outlineLevel="0" collapsed="false">
      <c r="A1313" s="0" t="n">
        <v>4</v>
      </c>
      <c r="B1313" s="0" t="n">
        <v>15</v>
      </c>
      <c r="C1313" s="0" t="n">
        <v>78</v>
      </c>
      <c r="D1313" s="0" t="s">
        <v>4107</v>
      </c>
      <c r="E1313" s="0" t="s">
        <v>3948</v>
      </c>
      <c r="F1313" s="0" t="s">
        <v>4132</v>
      </c>
    </row>
    <row r="1314" customFormat="false" ht="12.8" hidden="false" customHeight="false" outlineLevel="0" collapsed="false">
      <c r="A1314" s="0" t="n">
        <v>4</v>
      </c>
      <c r="B1314" s="0" t="n">
        <v>15</v>
      </c>
      <c r="C1314" s="0" t="n">
        <v>79</v>
      </c>
      <c r="D1314" s="0" t="s">
        <v>4107</v>
      </c>
      <c r="E1314" s="0" t="s">
        <v>3948</v>
      </c>
      <c r="F1314" s="0" t="s">
        <v>4133</v>
      </c>
    </row>
    <row r="1315" customFormat="false" ht="12.8" hidden="false" customHeight="false" outlineLevel="0" collapsed="false">
      <c r="A1315" s="0" t="n">
        <v>4</v>
      </c>
      <c r="B1315" s="0" t="n">
        <v>15</v>
      </c>
      <c r="C1315" s="0" t="n">
        <v>80</v>
      </c>
      <c r="D1315" s="0" t="s">
        <v>4107</v>
      </c>
      <c r="E1315" s="0" t="s">
        <v>3948</v>
      </c>
      <c r="F1315" s="0" t="s">
        <v>4134</v>
      </c>
    </row>
    <row r="1316" customFormat="false" ht="12.8" hidden="false" customHeight="false" outlineLevel="0" collapsed="false">
      <c r="A1316" s="0" t="n">
        <v>4</v>
      </c>
      <c r="B1316" s="0" t="n">
        <v>15</v>
      </c>
      <c r="C1316" s="0" t="n">
        <v>81</v>
      </c>
      <c r="D1316" s="0" t="s">
        <v>4107</v>
      </c>
      <c r="E1316" s="0" t="s">
        <v>3948</v>
      </c>
      <c r="F1316" s="0" t="s">
        <v>4135</v>
      </c>
    </row>
    <row r="1317" customFormat="false" ht="12.8" hidden="false" customHeight="false" outlineLevel="0" collapsed="false">
      <c r="A1317" s="0" t="n">
        <v>4</v>
      </c>
      <c r="B1317" s="0" t="n">
        <v>15</v>
      </c>
      <c r="C1317" s="0" t="n">
        <v>82</v>
      </c>
      <c r="D1317" s="0" t="s">
        <v>4107</v>
      </c>
      <c r="E1317" s="0" t="s">
        <v>3948</v>
      </c>
      <c r="F1317" s="0" t="s">
        <v>4136</v>
      </c>
    </row>
    <row r="1318" customFormat="false" ht="12.8" hidden="false" customHeight="false" outlineLevel="0" collapsed="false">
      <c r="A1318" s="0" t="n">
        <v>4</v>
      </c>
      <c r="B1318" s="0" t="n">
        <v>15</v>
      </c>
      <c r="C1318" s="0" t="n">
        <v>83</v>
      </c>
      <c r="D1318" s="0" t="s">
        <v>4107</v>
      </c>
      <c r="E1318" s="0" t="s">
        <v>3948</v>
      </c>
      <c r="F1318" s="0" t="s">
        <v>4137</v>
      </c>
    </row>
    <row r="1319" customFormat="false" ht="12.8" hidden="false" customHeight="false" outlineLevel="0" collapsed="false">
      <c r="A1319" s="0" t="n">
        <v>4</v>
      </c>
      <c r="B1319" s="0" t="n">
        <v>15</v>
      </c>
      <c r="C1319" s="0" t="n">
        <v>84</v>
      </c>
      <c r="D1319" s="0" t="s">
        <v>4107</v>
      </c>
      <c r="E1319" s="0" t="s">
        <v>3948</v>
      </c>
      <c r="F1319" s="0" t="s">
        <v>4138</v>
      </c>
    </row>
    <row r="1320" customFormat="false" ht="12.8" hidden="false" customHeight="false" outlineLevel="0" collapsed="false">
      <c r="A1320" s="0" t="n">
        <v>4</v>
      </c>
      <c r="B1320" s="0" t="n">
        <v>15</v>
      </c>
      <c r="C1320" s="0" t="n">
        <v>85</v>
      </c>
      <c r="D1320" s="0" t="s">
        <v>4107</v>
      </c>
      <c r="E1320" s="0" t="s">
        <v>3948</v>
      </c>
      <c r="F1320" s="0" t="s">
        <v>4139</v>
      </c>
    </row>
    <row r="1321" customFormat="false" ht="12.8" hidden="false" customHeight="false" outlineLevel="0" collapsed="false">
      <c r="A1321" s="0" t="n">
        <v>4</v>
      </c>
      <c r="B1321" s="0" t="n">
        <v>15</v>
      </c>
      <c r="C1321" s="0" t="n">
        <v>86</v>
      </c>
      <c r="D1321" s="0" t="s">
        <v>4107</v>
      </c>
      <c r="E1321" s="0" t="s">
        <v>3948</v>
      </c>
      <c r="F1321" s="0" t="s">
        <v>4140</v>
      </c>
    </row>
    <row r="1322" customFormat="false" ht="12.8" hidden="false" customHeight="false" outlineLevel="0" collapsed="false">
      <c r="A1322" s="0" t="n">
        <v>4</v>
      </c>
      <c r="B1322" s="0" t="n">
        <v>15</v>
      </c>
      <c r="C1322" s="0" t="n">
        <v>87</v>
      </c>
      <c r="D1322" s="0" t="s">
        <v>4107</v>
      </c>
      <c r="E1322" s="0" t="s">
        <v>3948</v>
      </c>
      <c r="F1322" s="0" t="s">
        <v>4141</v>
      </c>
    </row>
    <row r="1323" customFormat="false" ht="12.8" hidden="false" customHeight="false" outlineLevel="0" collapsed="false">
      <c r="A1323" s="0" t="n">
        <v>4</v>
      </c>
      <c r="B1323" s="0" t="n">
        <v>15</v>
      </c>
      <c r="C1323" s="0" t="n">
        <v>88</v>
      </c>
      <c r="D1323" s="0" t="s">
        <v>4107</v>
      </c>
      <c r="E1323" s="0" t="s">
        <v>3948</v>
      </c>
      <c r="F1323" s="0" t="s">
        <v>4142</v>
      </c>
    </row>
    <row r="1324" customFormat="false" ht="12.8" hidden="false" customHeight="false" outlineLevel="0" collapsed="false">
      <c r="A1324" s="0" t="n">
        <v>4</v>
      </c>
      <c r="B1324" s="0" t="n">
        <v>15</v>
      </c>
      <c r="C1324" s="0" t="n">
        <v>89</v>
      </c>
      <c r="D1324" s="0" t="s">
        <v>4107</v>
      </c>
      <c r="E1324" s="0" t="s">
        <v>3948</v>
      </c>
      <c r="F1324" s="0" t="s">
        <v>4143</v>
      </c>
    </row>
    <row r="1325" customFormat="false" ht="12.8" hidden="false" customHeight="false" outlineLevel="0" collapsed="false">
      <c r="A1325" s="0" t="n">
        <v>4</v>
      </c>
      <c r="B1325" s="0" t="n">
        <v>15</v>
      </c>
      <c r="C1325" s="0" t="n">
        <v>90</v>
      </c>
      <c r="D1325" s="0" t="s">
        <v>4107</v>
      </c>
      <c r="E1325" s="0" t="s">
        <v>3948</v>
      </c>
      <c r="F1325" s="0" t="s">
        <v>4144</v>
      </c>
    </row>
    <row r="1326" customFormat="false" ht="12.8" hidden="false" customHeight="false" outlineLevel="0" collapsed="false">
      <c r="A1326" s="0" t="n">
        <v>4</v>
      </c>
      <c r="B1326" s="0" t="n">
        <v>15</v>
      </c>
      <c r="C1326" s="0" t="n">
        <v>91</v>
      </c>
      <c r="D1326" s="0" t="s">
        <v>4107</v>
      </c>
      <c r="E1326" s="0" t="s">
        <v>3948</v>
      </c>
      <c r="F1326" s="0" t="s">
        <v>4145</v>
      </c>
    </row>
    <row r="1327" customFormat="false" ht="12.8" hidden="false" customHeight="false" outlineLevel="0" collapsed="false">
      <c r="A1327" s="0" t="n">
        <v>4</v>
      </c>
      <c r="B1327" s="0" t="n">
        <v>15</v>
      </c>
      <c r="C1327" s="0" t="n">
        <v>92</v>
      </c>
      <c r="D1327" s="0" t="s">
        <v>4107</v>
      </c>
      <c r="E1327" s="0" t="s">
        <v>3948</v>
      </c>
      <c r="F1327" s="0" t="s">
        <v>4146</v>
      </c>
    </row>
    <row r="1328" customFormat="false" ht="12.8" hidden="false" customHeight="false" outlineLevel="0" collapsed="false">
      <c r="A1328" s="0" t="n">
        <v>4</v>
      </c>
      <c r="B1328" s="0" t="n">
        <v>15</v>
      </c>
      <c r="C1328" s="0" t="n">
        <v>93</v>
      </c>
      <c r="D1328" s="0" t="s">
        <v>4107</v>
      </c>
      <c r="E1328" s="0" t="s">
        <v>3948</v>
      </c>
      <c r="F1328" s="0" t="s">
        <v>4147</v>
      </c>
    </row>
    <row r="1329" customFormat="false" ht="12.8" hidden="false" customHeight="false" outlineLevel="0" collapsed="false">
      <c r="A1329" s="0" t="n">
        <v>4</v>
      </c>
      <c r="B1329" s="0" t="n">
        <v>15</v>
      </c>
      <c r="C1329" s="0" t="n">
        <v>175</v>
      </c>
      <c r="D1329" s="0" t="s">
        <v>4107</v>
      </c>
      <c r="E1329" s="0" t="s">
        <v>3948</v>
      </c>
      <c r="F1329" s="0" t="s">
        <v>4108</v>
      </c>
    </row>
    <row r="1330" customFormat="false" ht="12.8" hidden="false" customHeight="false" outlineLevel="0" collapsed="false">
      <c r="A1330" s="0" t="n">
        <v>4</v>
      </c>
      <c r="B1330" s="0" t="n">
        <v>15</v>
      </c>
      <c r="C1330" s="0" t="n">
        <v>176</v>
      </c>
      <c r="D1330" s="0" t="s">
        <v>4107</v>
      </c>
      <c r="E1330" s="0" t="s">
        <v>3948</v>
      </c>
      <c r="F1330" s="0" t="s">
        <v>4109</v>
      </c>
    </row>
    <row r="1331" customFormat="false" ht="12.8" hidden="false" customHeight="false" outlineLevel="0" collapsed="false">
      <c r="A1331" s="0" t="n">
        <v>4</v>
      </c>
      <c r="B1331" s="0" t="n">
        <v>15</v>
      </c>
      <c r="C1331" s="0" t="n">
        <v>177</v>
      </c>
      <c r="D1331" s="0" t="s">
        <v>4107</v>
      </c>
      <c r="E1331" s="0" t="s">
        <v>3948</v>
      </c>
      <c r="F1331" s="0" t="s">
        <v>4039</v>
      </c>
    </row>
    <row r="1332" customFormat="false" ht="12.8" hidden="false" customHeight="false" outlineLevel="0" collapsed="false">
      <c r="A1332" s="0" t="n">
        <v>4</v>
      </c>
      <c r="B1332" s="0" t="n">
        <v>15</v>
      </c>
      <c r="C1332" s="0" t="n">
        <v>178</v>
      </c>
      <c r="D1332" s="0" t="s">
        <v>4107</v>
      </c>
      <c r="E1332" s="0" t="s">
        <v>3948</v>
      </c>
      <c r="F1332" s="0" t="s">
        <v>4110</v>
      </c>
    </row>
    <row r="1333" customFormat="false" ht="12.8" hidden="false" customHeight="false" outlineLevel="0" collapsed="false">
      <c r="A1333" s="0" t="n">
        <v>4</v>
      </c>
      <c r="B1333" s="0" t="n">
        <v>15</v>
      </c>
      <c r="C1333" s="0" t="n">
        <v>179</v>
      </c>
      <c r="D1333" s="0" t="s">
        <v>4107</v>
      </c>
      <c r="E1333" s="0" t="s">
        <v>3948</v>
      </c>
      <c r="F1333" s="0" t="s">
        <v>4148</v>
      </c>
    </row>
    <row r="1334" customFormat="false" ht="12.8" hidden="false" customHeight="false" outlineLevel="0" collapsed="false">
      <c r="A1334" s="0" t="n">
        <v>4</v>
      </c>
      <c r="B1334" s="0" t="n">
        <v>15</v>
      </c>
      <c r="C1334" s="0" t="n">
        <v>180</v>
      </c>
      <c r="D1334" s="0" t="s">
        <v>4107</v>
      </c>
      <c r="E1334" s="0" t="s">
        <v>3948</v>
      </c>
      <c r="F1334" s="0" t="s">
        <v>4111</v>
      </c>
    </row>
    <row r="1335" customFormat="false" ht="12.8" hidden="false" customHeight="false" outlineLevel="0" collapsed="false">
      <c r="A1335" s="0" t="n">
        <v>4</v>
      </c>
      <c r="B1335" s="0" t="n">
        <v>15</v>
      </c>
      <c r="C1335" s="0" t="n">
        <v>181</v>
      </c>
      <c r="D1335" s="0" t="s">
        <v>4107</v>
      </c>
      <c r="E1335" s="0" t="s">
        <v>3948</v>
      </c>
      <c r="F1335" s="0" t="s">
        <v>4112</v>
      </c>
    </row>
    <row r="1336" customFormat="false" ht="12.8" hidden="false" customHeight="false" outlineLevel="0" collapsed="false">
      <c r="A1336" s="0" t="n">
        <v>4</v>
      </c>
      <c r="B1336" s="0" t="n">
        <v>15</v>
      </c>
      <c r="C1336" s="0" t="n">
        <v>182</v>
      </c>
      <c r="D1336" s="0" t="s">
        <v>4107</v>
      </c>
      <c r="E1336" s="0" t="s">
        <v>3948</v>
      </c>
      <c r="F1336" s="0" t="s">
        <v>4113</v>
      </c>
    </row>
    <row r="1337" customFormat="false" ht="12.8" hidden="false" customHeight="false" outlineLevel="0" collapsed="false">
      <c r="A1337" s="0" t="n">
        <v>4</v>
      </c>
      <c r="B1337" s="0" t="n">
        <v>15</v>
      </c>
      <c r="C1337" s="0" t="n">
        <v>183</v>
      </c>
      <c r="D1337" s="0" t="s">
        <v>4107</v>
      </c>
      <c r="E1337" s="0" t="s">
        <v>3948</v>
      </c>
      <c r="F1337" s="0" t="s">
        <v>4114</v>
      </c>
    </row>
    <row r="1338" customFormat="false" ht="12.8" hidden="false" customHeight="false" outlineLevel="0" collapsed="false">
      <c r="A1338" s="0" t="n">
        <v>4</v>
      </c>
      <c r="B1338" s="0" t="n">
        <v>15</v>
      </c>
      <c r="C1338" s="0" t="n">
        <v>184</v>
      </c>
      <c r="D1338" s="0" t="s">
        <v>4107</v>
      </c>
      <c r="E1338" s="0" t="s">
        <v>3948</v>
      </c>
      <c r="F1338" s="0" t="s">
        <v>4115</v>
      </c>
    </row>
    <row r="1339" customFormat="false" ht="12.8" hidden="false" customHeight="false" outlineLevel="0" collapsed="false">
      <c r="A1339" s="0" t="n">
        <v>4</v>
      </c>
      <c r="B1339" s="0" t="n">
        <v>15</v>
      </c>
      <c r="C1339" s="0" t="n">
        <v>185</v>
      </c>
      <c r="D1339" s="0" t="s">
        <v>4107</v>
      </c>
      <c r="E1339" s="0" t="s">
        <v>3948</v>
      </c>
      <c r="F1339" s="0" t="s">
        <v>4116</v>
      </c>
    </row>
    <row r="1340" customFormat="false" ht="12.8" hidden="false" customHeight="false" outlineLevel="0" collapsed="false">
      <c r="A1340" s="0" t="n">
        <v>4</v>
      </c>
      <c r="B1340" s="0" t="n">
        <v>15</v>
      </c>
      <c r="C1340" s="0" t="n">
        <v>186</v>
      </c>
      <c r="D1340" s="0" t="s">
        <v>4107</v>
      </c>
      <c r="E1340" s="0" t="s">
        <v>3948</v>
      </c>
      <c r="F1340" s="0" t="s">
        <v>4117</v>
      </c>
    </row>
    <row r="1341" customFormat="false" ht="12.8" hidden="false" customHeight="false" outlineLevel="0" collapsed="false">
      <c r="A1341" s="0" t="n">
        <v>4</v>
      </c>
      <c r="B1341" s="0" t="n">
        <v>15</v>
      </c>
      <c r="C1341" s="0" t="n">
        <v>187</v>
      </c>
      <c r="D1341" s="0" t="s">
        <v>4107</v>
      </c>
      <c r="E1341" s="0" t="s">
        <v>3948</v>
      </c>
      <c r="F1341" s="0" t="s">
        <v>4118</v>
      </c>
    </row>
    <row r="1342" customFormat="false" ht="12.8" hidden="false" customHeight="false" outlineLevel="0" collapsed="false">
      <c r="A1342" s="0" t="n">
        <v>4</v>
      </c>
      <c r="B1342" s="0" t="n">
        <v>15</v>
      </c>
      <c r="C1342" s="0" t="n">
        <v>188</v>
      </c>
      <c r="D1342" s="0" t="s">
        <v>4107</v>
      </c>
      <c r="E1342" s="0" t="s">
        <v>3948</v>
      </c>
      <c r="F1342" s="0" t="s">
        <v>4119</v>
      </c>
    </row>
    <row r="1343" customFormat="false" ht="12.8" hidden="false" customHeight="false" outlineLevel="0" collapsed="false">
      <c r="A1343" s="0" t="n">
        <v>4</v>
      </c>
      <c r="B1343" s="0" t="n">
        <v>15</v>
      </c>
      <c r="C1343" s="0" t="n">
        <v>189</v>
      </c>
      <c r="D1343" s="0" t="s">
        <v>4107</v>
      </c>
      <c r="E1343" s="0" t="s">
        <v>3948</v>
      </c>
      <c r="F1343" s="0" t="s">
        <v>4120</v>
      </c>
    </row>
    <row r="1344" customFormat="false" ht="12.8" hidden="false" customHeight="false" outlineLevel="0" collapsed="false">
      <c r="A1344" s="0" t="n">
        <v>4</v>
      </c>
      <c r="B1344" s="0" t="n">
        <v>15</v>
      </c>
      <c r="C1344" s="0" t="n">
        <v>190</v>
      </c>
      <c r="D1344" s="0" t="s">
        <v>4107</v>
      </c>
      <c r="E1344" s="0" t="s">
        <v>3948</v>
      </c>
      <c r="F1344" s="0" t="s">
        <v>4149</v>
      </c>
    </row>
    <row r="1345" customFormat="false" ht="12.8" hidden="false" customHeight="false" outlineLevel="0" collapsed="false">
      <c r="A1345" s="0" t="n">
        <v>4</v>
      </c>
      <c r="B1345" s="0" t="n">
        <v>15</v>
      </c>
      <c r="C1345" s="0" t="n">
        <v>191</v>
      </c>
      <c r="D1345" s="0" t="s">
        <v>4107</v>
      </c>
      <c r="E1345" s="0" t="s">
        <v>3948</v>
      </c>
      <c r="F1345" s="0" t="s">
        <v>4121</v>
      </c>
    </row>
    <row r="1346" customFormat="false" ht="12.8" hidden="false" customHeight="false" outlineLevel="0" collapsed="false">
      <c r="A1346" s="0" t="n">
        <v>4</v>
      </c>
      <c r="B1346" s="0" t="n">
        <v>15</v>
      </c>
      <c r="C1346" s="0" t="n">
        <v>192</v>
      </c>
      <c r="D1346" s="0" t="s">
        <v>4107</v>
      </c>
      <c r="E1346" s="0" t="s">
        <v>3948</v>
      </c>
      <c r="F1346" s="0" t="s">
        <v>4150</v>
      </c>
    </row>
    <row r="1347" customFormat="false" ht="12.8" hidden="false" customHeight="false" outlineLevel="0" collapsed="false">
      <c r="A1347" s="0" t="n">
        <v>4</v>
      </c>
      <c r="B1347" s="0" t="n">
        <v>15</v>
      </c>
      <c r="C1347" s="0" t="n">
        <v>193</v>
      </c>
      <c r="D1347" s="0" t="s">
        <v>4107</v>
      </c>
      <c r="E1347" s="0" t="s">
        <v>3948</v>
      </c>
      <c r="F1347" s="0" t="s">
        <v>4122</v>
      </c>
    </row>
    <row r="1348" customFormat="false" ht="12.8" hidden="false" customHeight="false" outlineLevel="0" collapsed="false">
      <c r="A1348" s="0" t="n">
        <v>4</v>
      </c>
      <c r="B1348" s="0" t="n">
        <v>15</v>
      </c>
      <c r="C1348" s="0" t="n">
        <v>194</v>
      </c>
      <c r="D1348" s="0" t="s">
        <v>4107</v>
      </c>
      <c r="E1348" s="0" t="s">
        <v>3948</v>
      </c>
      <c r="F1348" s="0" t="s">
        <v>4123</v>
      </c>
    </row>
    <row r="1349" customFormat="false" ht="12.8" hidden="false" customHeight="false" outlineLevel="0" collapsed="false">
      <c r="A1349" s="0" t="n">
        <v>4</v>
      </c>
      <c r="B1349" s="0" t="n">
        <v>15</v>
      </c>
      <c r="C1349" s="0" t="n">
        <v>195</v>
      </c>
      <c r="D1349" s="0" t="s">
        <v>4107</v>
      </c>
      <c r="E1349" s="0" t="s">
        <v>3948</v>
      </c>
      <c r="F1349" s="0" t="s">
        <v>4124</v>
      </c>
    </row>
    <row r="1350" customFormat="false" ht="12.8" hidden="false" customHeight="false" outlineLevel="0" collapsed="false">
      <c r="A1350" s="0" t="n">
        <v>4</v>
      </c>
      <c r="B1350" s="0" t="n">
        <v>15</v>
      </c>
      <c r="C1350" s="0" t="n">
        <v>196</v>
      </c>
      <c r="D1350" s="0" t="s">
        <v>4107</v>
      </c>
      <c r="E1350" s="0" t="s">
        <v>3948</v>
      </c>
      <c r="F1350" s="0" t="s">
        <v>4126</v>
      </c>
    </row>
    <row r="1351" customFormat="false" ht="12.8" hidden="false" customHeight="false" outlineLevel="0" collapsed="false">
      <c r="A1351" s="0" t="n">
        <v>4</v>
      </c>
      <c r="B1351" s="0" t="n">
        <v>15</v>
      </c>
      <c r="C1351" s="0" t="n">
        <v>197</v>
      </c>
      <c r="D1351" s="0" t="s">
        <v>4107</v>
      </c>
      <c r="E1351" s="0" t="s">
        <v>3948</v>
      </c>
      <c r="F1351" s="0" t="s">
        <v>4127</v>
      </c>
    </row>
    <row r="1352" customFormat="false" ht="12.8" hidden="false" customHeight="false" outlineLevel="0" collapsed="false">
      <c r="A1352" s="0" t="n">
        <v>4</v>
      </c>
      <c r="B1352" s="0" t="n">
        <v>15</v>
      </c>
      <c r="C1352" s="0" t="n">
        <v>198</v>
      </c>
      <c r="D1352" s="0" t="s">
        <v>4107</v>
      </c>
      <c r="E1352" s="0" t="s">
        <v>3948</v>
      </c>
      <c r="F1352" s="0" t="s">
        <v>4128</v>
      </c>
    </row>
    <row r="1353" customFormat="false" ht="12.8" hidden="false" customHeight="false" outlineLevel="0" collapsed="false">
      <c r="A1353" s="0" t="n">
        <v>4</v>
      </c>
      <c r="B1353" s="0" t="n">
        <v>15</v>
      </c>
      <c r="C1353" s="0" t="n">
        <v>199</v>
      </c>
      <c r="D1353" s="0" t="s">
        <v>4107</v>
      </c>
      <c r="E1353" s="0" t="s">
        <v>3948</v>
      </c>
      <c r="F1353" s="0" t="s">
        <v>4129</v>
      </c>
    </row>
    <row r="1354" customFormat="false" ht="12.8" hidden="false" customHeight="false" outlineLevel="0" collapsed="false">
      <c r="A1354" s="0" t="n">
        <v>4</v>
      </c>
      <c r="B1354" s="0" t="n">
        <v>15</v>
      </c>
      <c r="C1354" s="0" t="n">
        <v>200</v>
      </c>
      <c r="D1354" s="0" t="s">
        <v>4107</v>
      </c>
      <c r="E1354" s="0" t="s">
        <v>3948</v>
      </c>
      <c r="F1354" s="0" t="s">
        <v>4130</v>
      </c>
    </row>
    <row r="1355" customFormat="false" ht="12.8" hidden="false" customHeight="false" outlineLevel="0" collapsed="false">
      <c r="A1355" s="0" t="n">
        <v>4</v>
      </c>
      <c r="B1355" s="0" t="n">
        <v>15</v>
      </c>
      <c r="C1355" s="0" t="n">
        <v>201</v>
      </c>
      <c r="D1355" s="0" t="s">
        <v>4107</v>
      </c>
      <c r="E1355" s="0" t="s">
        <v>3948</v>
      </c>
      <c r="F1355" s="0" t="s">
        <v>4131</v>
      </c>
    </row>
    <row r="1356" customFormat="false" ht="12.8" hidden="false" customHeight="false" outlineLevel="0" collapsed="false">
      <c r="A1356" s="0" t="n">
        <v>4</v>
      </c>
      <c r="B1356" s="0" t="n">
        <v>15</v>
      </c>
      <c r="C1356" s="0" t="n">
        <v>202</v>
      </c>
      <c r="D1356" s="0" t="s">
        <v>4107</v>
      </c>
      <c r="E1356" s="0" t="s">
        <v>3948</v>
      </c>
      <c r="F1356" s="0" t="s">
        <v>4086</v>
      </c>
    </row>
    <row r="1357" customFormat="false" ht="12.8" hidden="false" customHeight="false" outlineLevel="0" collapsed="false">
      <c r="A1357" s="0" t="n">
        <v>4</v>
      </c>
      <c r="B1357" s="0" t="n">
        <v>15</v>
      </c>
      <c r="C1357" s="0" t="n">
        <v>203</v>
      </c>
      <c r="D1357" s="0" t="s">
        <v>4107</v>
      </c>
      <c r="E1357" s="0" t="s">
        <v>3948</v>
      </c>
      <c r="F1357" s="0" t="s">
        <v>4132</v>
      </c>
    </row>
    <row r="1358" customFormat="false" ht="12.8" hidden="false" customHeight="false" outlineLevel="0" collapsed="false">
      <c r="A1358" s="0" t="n">
        <v>4</v>
      </c>
      <c r="B1358" s="0" t="n">
        <v>15</v>
      </c>
      <c r="C1358" s="0" t="n">
        <v>204</v>
      </c>
      <c r="D1358" s="0" t="s">
        <v>4107</v>
      </c>
      <c r="E1358" s="0" t="s">
        <v>3948</v>
      </c>
      <c r="F1358" s="0" t="s">
        <v>4133</v>
      </c>
    </row>
    <row r="1359" customFormat="false" ht="12.8" hidden="false" customHeight="false" outlineLevel="0" collapsed="false">
      <c r="A1359" s="0" t="n">
        <v>4</v>
      </c>
      <c r="B1359" s="0" t="n">
        <v>15</v>
      </c>
      <c r="C1359" s="0" t="n">
        <v>205</v>
      </c>
      <c r="D1359" s="0" t="s">
        <v>4107</v>
      </c>
      <c r="E1359" s="0" t="s">
        <v>3948</v>
      </c>
      <c r="F1359" s="0" t="s">
        <v>4134</v>
      </c>
    </row>
    <row r="1360" customFormat="false" ht="12.8" hidden="false" customHeight="false" outlineLevel="0" collapsed="false">
      <c r="A1360" s="0" t="n">
        <v>4</v>
      </c>
      <c r="B1360" s="0" t="n">
        <v>15</v>
      </c>
      <c r="C1360" s="0" t="n">
        <v>206</v>
      </c>
      <c r="D1360" s="0" t="s">
        <v>4107</v>
      </c>
      <c r="E1360" s="0" t="s">
        <v>3948</v>
      </c>
      <c r="F1360" s="0" t="s">
        <v>4135</v>
      </c>
    </row>
    <row r="1361" customFormat="false" ht="12.8" hidden="false" customHeight="false" outlineLevel="0" collapsed="false">
      <c r="A1361" s="0" t="n">
        <v>4</v>
      </c>
      <c r="B1361" s="0" t="n">
        <v>15</v>
      </c>
      <c r="C1361" s="0" t="n">
        <v>207</v>
      </c>
      <c r="D1361" s="0" t="s">
        <v>4107</v>
      </c>
      <c r="E1361" s="0" t="s">
        <v>3948</v>
      </c>
      <c r="F1361" s="0" t="s">
        <v>4136</v>
      </c>
    </row>
    <row r="1362" customFormat="false" ht="12.8" hidden="false" customHeight="false" outlineLevel="0" collapsed="false">
      <c r="A1362" s="0" t="n">
        <v>4</v>
      </c>
      <c r="B1362" s="0" t="n">
        <v>15</v>
      </c>
      <c r="C1362" s="0" t="n">
        <v>208</v>
      </c>
      <c r="D1362" s="0" t="s">
        <v>4107</v>
      </c>
      <c r="E1362" s="0" t="s">
        <v>3948</v>
      </c>
      <c r="F1362" s="0" t="s">
        <v>4137</v>
      </c>
    </row>
    <row r="1363" customFormat="false" ht="12.8" hidden="false" customHeight="false" outlineLevel="0" collapsed="false">
      <c r="A1363" s="0" t="n">
        <v>4</v>
      </c>
      <c r="B1363" s="0" t="n">
        <v>15</v>
      </c>
      <c r="C1363" s="0" t="n">
        <v>209</v>
      </c>
      <c r="D1363" s="0" t="s">
        <v>4107</v>
      </c>
      <c r="E1363" s="0" t="s">
        <v>3948</v>
      </c>
      <c r="F1363" s="0" t="s">
        <v>4138</v>
      </c>
    </row>
    <row r="1364" customFormat="false" ht="12.8" hidden="false" customHeight="false" outlineLevel="0" collapsed="false">
      <c r="A1364" s="0" t="n">
        <v>4</v>
      </c>
      <c r="B1364" s="0" t="n">
        <v>15</v>
      </c>
      <c r="C1364" s="0" t="n">
        <v>210</v>
      </c>
      <c r="D1364" s="0" t="s">
        <v>4107</v>
      </c>
      <c r="E1364" s="0" t="s">
        <v>3948</v>
      </c>
      <c r="F1364" s="0" t="s">
        <v>4139</v>
      </c>
    </row>
    <row r="1365" customFormat="false" ht="12.8" hidden="false" customHeight="false" outlineLevel="0" collapsed="false">
      <c r="A1365" s="0" t="n">
        <v>4</v>
      </c>
      <c r="B1365" s="0" t="n">
        <v>15</v>
      </c>
      <c r="C1365" s="0" t="n">
        <v>211</v>
      </c>
      <c r="D1365" s="0" t="s">
        <v>4107</v>
      </c>
      <c r="E1365" s="0" t="s">
        <v>3948</v>
      </c>
      <c r="F1365" s="0" t="s">
        <v>4140</v>
      </c>
    </row>
    <row r="1366" customFormat="false" ht="12.8" hidden="false" customHeight="false" outlineLevel="0" collapsed="false">
      <c r="A1366" s="0" t="n">
        <v>4</v>
      </c>
      <c r="B1366" s="0" t="n">
        <v>15</v>
      </c>
      <c r="C1366" s="0" t="n">
        <v>212</v>
      </c>
      <c r="D1366" s="0" t="s">
        <v>4107</v>
      </c>
      <c r="E1366" s="0" t="s">
        <v>3948</v>
      </c>
      <c r="F1366" s="0" t="s">
        <v>4141</v>
      </c>
    </row>
    <row r="1367" customFormat="false" ht="12.8" hidden="false" customHeight="false" outlineLevel="0" collapsed="false">
      <c r="A1367" s="0" t="n">
        <v>4</v>
      </c>
      <c r="B1367" s="0" t="n">
        <v>15</v>
      </c>
      <c r="C1367" s="0" t="n">
        <v>213</v>
      </c>
      <c r="D1367" s="0" t="s">
        <v>4107</v>
      </c>
      <c r="E1367" s="0" t="s">
        <v>3948</v>
      </c>
      <c r="F1367" s="0" t="s">
        <v>4142</v>
      </c>
    </row>
    <row r="1368" customFormat="false" ht="12.8" hidden="false" customHeight="false" outlineLevel="0" collapsed="false">
      <c r="A1368" s="0" t="n">
        <v>4</v>
      </c>
      <c r="B1368" s="0" t="n">
        <v>15</v>
      </c>
      <c r="C1368" s="0" t="n">
        <v>214</v>
      </c>
      <c r="D1368" s="0" t="s">
        <v>4107</v>
      </c>
      <c r="E1368" s="0" t="s">
        <v>3948</v>
      </c>
      <c r="F1368" s="0" t="s">
        <v>4143</v>
      </c>
    </row>
    <row r="1369" customFormat="false" ht="12.8" hidden="false" customHeight="false" outlineLevel="0" collapsed="false">
      <c r="A1369" s="0" t="n">
        <v>4</v>
      </c>
      <c r="B1369" s="0" t="n">
        <v>15</v>
      </c>
      <c r="C1369" s="0" t="n">
        <v>215</v>
      </c>
      <c r="D1369" s="0" t="s">
        <v>4107</v>
      </c>
      <c r="E1369" s="0" t="s">
        <v>3948</v>
      </c>
      <c r="F1369" s="0" t="s">
        <v>4144</v>
      </c>
    </row>
    <row r="1370" customFormat="false" ht="12.8" hidden="false" customHeight="false" outlineLevel="0" collapsed="false">
      <c r="A1370" s="0" t="n">
        <v>4</v>
      </c>
      <c r="B1370" s="0" t="n">
        <v>15</v>
      </c>
      <c r="C1370" s="0" t="n">
        <v>216</v>
      </c>
      <c r="D1370" s="0" t="s">
        <v>4107</v>
      </c>
      <c r="E1370" s="0" t="s">
        <v>3948</v>
      </c>
      <c r="F1370" s="0" t="s">
        <v>4147</v>
      </c>
    </row>
    <row r="1371" customFormat="false" ht="12.8" hidden="false" customHeight="false" outlineLevel="0" collapsed="false">
      <c r="A1371" s="0" t="n">
        <v>4</v>
      </c>
      <c r="B1371" s="0" t="n">
        <v>15</v>
      </c>
      <c r="C1371" s="0" t="n">
        <v>297</v>
      </c>
      <c r="D1371" s="0" t="s">
        <v>4107</v>
      </c>
      <c r="E1371" s="0" t="s">
        <v>3948</v>
      </c>
      <c r="F1371" s="0" t="s">
        <v>4108</v>
      </c>
    </row>
    <row r="1372" customFormat="false" ht="12.8" hidden="false" customHeight="false" outlineLevel="0" collapsed="false">
      <c r="A1372" s="0" t="n">
        <v>4</v>
      </c>
      <c r="B1372" s="0" t="n">
        <v>15</v>
      </c>
      <c r="C1372" s="0" t="n">
        <v>298</v>
      </c>
      <c r="D1372" s="0" t="s">
        <v>4107</v>
      </c>
      <c r="E1372" s="0" t="s">
        <v>3948</v>
      </c>
      <c r="F1372" s="0" t="s">
        <v>4109</v>
      </c>
    </row>
    <row r="1373" customFormat="false" ht="12.8" hidden="false" customHeight="false" outlineLevel="0" collapsed="false">
      <c r="A1373" s="0" t="n">
        <v>4</v>
      </c>
      <c r="B1373" s="0" t="n">
        <v>15</v>
      </c>
      <c r="C1373" s="0" t="n">
        <v>299</v>
      </c>
      <c r="D1373" s="0" t="s">
        <v>4107</v>
      </c>
      <c r="E1373" s="0" t="s">
        <v>3948</v>
      </c>
      <c r="F1373" s="0" t="s">
        <v>4039</v>
      </c>
    </row>
    <row r="1374" customFormat="false" ht="12.8" hidden="false" customHeight="false" outlineLevel="0" collapsed="false">
      <c r="A1374" s="0" t="n">
        <v>4</v>
      </c>
      <c r="B1374" s="0" t="n">
        <v>15</v>
      </c>
      <c r="C1374" s="0" t="n">
        <v>300</v>
      </c>
      <c r="D1374" s="0" t="s">
        <v>4107</v>
      </c>
      <c r="E1374" s="0" t="s">
        <v>3948</v>
      </c>
      <c r="F1374" s="0" t="s">
        <v>4110</v>
      </c>
    </row>
    <row r="1375" customFormat="false" ht="12.8" hidden="false" customHeight="false" outlineLevel="0" collapsed="false">
      <c r="A1375" s="0" t="n">
        <v>4</v>
      </c>
      <c r="B1375" s="0" t="n">
        <v>15</v>
      </c>
      <c r="C1375" s="0" t="n">
        <v>301</v>
      </c>
      <c r="D1375" s="0" t="s">
        <v>4107</v>
      </c>
      <c r="E1375" s="0" t="s">
        <v>3948</v>
      </c>
      <c r="F1375" s="0" t="s">
        <v>4148</v>
      </c>
    </row>
    <row r="1376" customFormat="false" ht="12.8" hidden="false" customHeight="false" outlineLevel="0" collapsed="false">
      <c r="A1376" s="0" t="n">
        <v>4</v>
      </c>
      <c r="B1376" s="0" t="n">
        <v>15</v>
      </c>
      <c r="C1376" s="0" t="n">
        <v>302</v>
      </c>
      <c r="D1376" s="0" t="s">
        <v>4107</v>
      </c>
      <c r="E1376" s="0" t="s">
        <v>3948</v>
      </c>
      <c r="F1376" s="0" t="s">
        <v>4112</v>
      </c>
    </row>
    <row r="1377" customFormat="false" ht="12.8" hidden="false" customHeight="false" outlineLevel="0" collapsed="false">
      <c r="A1377" s="0" t="n">
        <v>4</v>
      </c>
      <c r="B1377" s="0" t="n">
        <v>15</v>
      </c>
      <c r="C1377" s="0" t="n">
        <v>303</v>
      </c>
      <c r="D1377" s="0" t="s">
        <v>4107</v>
      </c>
      <c r="E1377" s="0" t="s">
        <v>3948</v>
      </c>
      <c r="F1377" s="0" t="s">
        <v>4113</v>
      </c>
    </row>
    <row r="1378" customFormat="false" ht="12.8" hidden="false" customHeight="false" outlineLevel="0" collapsed="false">
      <c r="A1378" s="0" t="n">
        <v>4</v>
      </c>
      <c r="B1378" s="0" t="n">
        <v>15</v>
      </c>
      <c r="C1378" s="0" t="n">
        <v>304</v>
      </c>
      <c r="D1378" s="0" t="s">
        <v>4107</v>
      </c>
      <c r="E1378" s="0" t="s">
        <v>3948</v>
      </c>
      <c r="F1378" s="0" t="s">
        <v>4114</v>
      </c>
    </row>
    <row r="1379" customFormat="false" ht="12.8" hidden="false" customHeight="false" outlineLevel="0" collapsed="false">
      <c r="A1379" s="0" t="n">
        <v>4</v>
      </c>
      <c r="B1379" s="0" t="n">
        <v>15</v>
      </c>
      <c r="C1379" s="0" t="n">
        <v>305</v>
      </c>
      <c r="D1379" s="0" t="s">
        <v>4107</v>
      </c>
      <c r="E1379" s="0" t="s">
        <v>3948</v>
      </c>
      <c r="F1379" s="0" t="s">
        <v>4115</v>
      </c>
    </row>
    <row r="1380" customFormat="false" ht="12.8" hidden="false" customHeight="false" outlineLevel="0" collapsed="false">
      <c r="A1380" s="0" t="n">
        <v>4</v>
      </c>
      <c r="B1380" s="0" t="n">
        <v>15</v>
      </c>
      <c r="C1380" s="0" t="n">
        <v>306</v>
      </c>
      <c r="D1380" s="0" t="s">
        <v>4107</v>
      </c>
      <c r="E1380" s="0" t="s">
        <v>3948</v>
      </c>
      <c r="F1380" s="0" t="s">
        <v>4117</v>
      </c>
    </row>
    <row r="1381" customFormat="false" ht="12.8" hidden="false" customHeight="false" outlineLevel="0" collapsed="false">
      <c r="A1381" s="0" t="n">
        <v>4</v>
      </c>
      <c r="B1381" s="0" t="n">
        <v>15</v>
      </c>
      <c r="C1381" s="0" t="n">
        <v>307</v>
      </c>
      <c r="D1381" s="0" t="s">
        <v>4107</v>
      </c>
      <c r="E1381" s="0" t="s">
        <v>3948</v>
      </c>
      <c r="F1381" s="0" t="s">
        <v>4118</v>
      </c>
    </row>
    <row r="1382" customFormat="false" ht="12.8" hidden="false" customHeight="false" outlineLevel="0" collapsed="false">
      <c r="A1382" s="0" t="n">
        <v>4</v>
      </c>
      <c r="B1382" s="0" t="n">
        <v>15</v>
      </c>
      <c r="C1382" s="0" t="n">
        <v>308</v>
      </c>
      <c r="D1382" s="0" t="s">
        <v>4107</v>
      </c>
      <c r="E1382" s="0" t="s">
        <v>3948</v>
      </c>
      <c r="F1382" s="0" t="s">
        <v>4119</v>
      </c>
    </row>
    <row r="1383" customFormat="false" ht="12.8" hidden="false" customHeight="false" outlineLevel="0" collapsed="false">
      <c r="A1383" s="0" t="n">
        <v>4</v>
      </c>
      <c r="B1383" s="0" t="n">
        <v>15</v>
      </c>
      <c r="C1383" s="0" t="n">
        <v>309</v>
      </c>
      <c r="D1383" s="0" t="s">
        <v>4107</v>
      </c>
      <c r="E1383" s="0" t="s">
        <v>3948</v>
      </c>
      <c r="F1383" s="0" t="s">
        <v>4120</v>
      </c>
    </row>
    <row r="1384" customFormat="false" ht="12.8" hidden="false" customHeight="false" outlineLevel="0" collapsed="false">
      <c r="A1384" s="0" t="n">
        <v>4</v>
      </c>
      <c r="B1384" s="0" t="n">
        <v>15</v>
      </c>
      <c r="C1384" s="0" t="n">
        <v>310</v>
      </c>
      <c r="D1384" s="0" t="s">
        <v>4107</v>
      </c>
      <c r="E1384" s="0" t="s">
        <v>3948</v>
      </c>
      <c r="F1384" s="0" t="s">
        <v>4149</v>
      </c>
    </row>
    <row r="1385" customFormat="false" ht="12.8" hidden="false" customHeight="false" outlineLevel="0" collapsed="false">
      <c r="A1385" s="0" t="n">
        <v>4</v>
      </c>
      <c r="B1385" s="0" t="n">
        <v>15</v>
      </c>
      <c r="C1385" s="0" t="n">
        <v>311</v>
      </c>
      <c r="D1385" s="0" t="s">
        <v>4107</v>
      </c>
      <c r="E1385" s="0" t="s">
        <v>3948</v>
      </c>
      <c r="F1385" s="0" t="s">
        <v>4122</v>
      </c>
    </row>
    <row r="1386" customFormat="false" ht="12.8" hidden="false" customHeight="false" outlineLevel="0" collapsed="false">
      <c r="A1386" s="0" t="n">
        <v>4</v>
      </c>
      <c r="B1386" s="0" t="n">
        <v>15</v>
      </c>
      <c r="C1386" s="0" t="n">
        <v>312</v>
      </c>
      <c r="D1386" s="0" t="s">
        <v>4107</v>
      </c>
      <c r="E1386" s="0" t="s">
        <v>3948</v>
      </c>
      <c r="F1386" s="0" t="s">
        <v>4123</v>
      </c>
    </row>
    <row r="1387" customFormat="false" ht="12.8" hidden="false" customHeight="false" outlineLevel="0" collapsed="false">
      <c r="A1387" s="0" t="n">
        <v>4</v>
      </c>
      <c r="B1387" s="0" t="n">
        <v>15</v>
      </c>
      <c r="C1387" s="0" t="n">
        <v>313</v>
      </c>
      <c r="D1387" s="0" t="s">
        <v>4107</v>
      </c>
      <c r="E1387" s="0" t="s">
        <v>3948</v>
      </c>
      <c r="F1387" s="0" t="s">
        <v>4124</v>
      </c>
    </row>
    <row r="1388" customFormat="false" ht="12.8" hidden="false" customHeight="false" outlineLevel="0" collapsed="false">
      <c r="A1388" s="0" t="n">
        <v>4</v>
      </c>
      <c r="B1388" s="0" t="n">
        <v>15</v>
      </c>
      <c r="C1388" s="0" t="n">
        <v>314</v>
      </c>
      <c r="D1388" s="0" t="s">
        <v>4107</v>
      </c>
      <c r="E1388" s="0" t="s">
        <v>3948</v>
      </c>
      <c r="F1388" s="0" t="s">
        <v>4125</v>
      </c>
    </row>
    <row r="1389" customFormat="false" ht="12.8" hidden="false" customHeight="false" outlineLevel="0" collapsed="false">
      <c r="A1389" s="0" t="n">
        <v>4</v>
      </c>
      <c r="B1389" s="0" t="n">
        <v>15</v>
      </c>
      <c r="C1389" s="0" t="n">
        <v>315</v>
      </c>
      <c r="D1389" s="0" t="s">
        <v>4107</v>
      </c>
      <c r="E1389" s="0" t="s">
        <v>3948</v>
      </c>
      <c r="F1389" s="0" t="s">
        <v>4125</v>
      </c>
    </row>
    <row r="1390" customFormat="false" ht="12.8" hidden="false" customHeight="false" outlineLevel="0" collapsed="false">
      <c r="A1390" s="0" t="n">
        <v>4</v>
      </c>
      <c r="B1390" s="0" t="n">
        <v>15</v>
      </c>
      <c r="C1390" s="0" t="n">
        <v>316</v>
      </c>
      <c r="D1390" s="0" t="s">
        <v>4107</v>
      </c>
      <c r="E1390" s="0" t="s">
        <v>3948</v>
      </c>
      <c r="F1390" s="0" t="s">
        <v>4126</v>
      </c>
    </row>
    <row r="1391" customFormat="false" ht="12.8" hidden="false" customHeight="false" outlineLevel="0" collapsed="false">
      <c r="A1391" s="0" t="n">
        <v>4</v>
      </c>
      <c r="B1391" s="0" t="n">
        <v>15</v>
      </c>
      <c r="C1391" s="0" t="n">
        <v>317</v>
      </c>
      <c r="D1391" s="0" t="s">
        <v>4107</v>
      </c>
      <c r="E1391" s="0" t="s">
        <v>3948</v>
      </c>
      <c r="F1391" s="0" t="s">
        <v>4127</v>
      </c>
    </row>
    <row r="1392" customFormat="false" ht="12.8" hidden="false" customHeight="false" outlineLevel="0" collapsed="false">
      <c r="A1392" s="0" t="n">
        <v>4</v>
      </c>
      <c r="B1392" s="0" t="n">
        <v>15</v>
      </c>
      <c r="C1392" s="0" t="n">
        <v>318</v>
      </c>
      <c r="D1392" s="0" t="s">
        <v>4107</v>
      </c>
      <c r="E1392" s="0" t="s">
        <v>3948</v>
      </c>
      <c r="F1392" s="0" t="s">
        <v>4128</v>
      </c>
    </row>
    <row r="1393" customFormat="false" ht="12.8" hidden="false" customHeight="false" outlineLevel="0" collapsed="false">
      <c r="A1393" s="0" t="n">
        <v>4</v>
      </c>
      <c r="B1393" s="0" t="n">
        <v>15</v>
      </c>
      <c r="C1393" s="0" t="n">
        <v>319</v>
      </c>
      <c r="D1393" s="0" t="s">
        <v>4107</v>
      </c>
      <c r="E1393" s="0" t="s">
        <v>3948</v>
      </c>
      <c r="F1393" s="0" t="s">
        <v>4129</v>
      </c>
    </row>
    <row r="1394" customFormat="false" ht="12.8" hidden="false" customHeight="false" outlineLevel="0" collapsed="false">
      <c r="A1394" s="0" t="n">
        <v>4</v>
      </c>
      <c r="B1394" s="0" t="n">
        <v>15</v>
      </c>
      <c r="C1394" s="0" t="n">
        <v>320</v>
      </c>
      <c r="D1394" s="0" t="s">
        <v>4107</v>
      </c>
      <c r="E1394" s="0" t="s">
        <v>3948</v>
      </c>
      <c r="F1394" s="0" t="s">
        <v>4130</v>
      </c>
    </row>
    <row r="1395" customFormat="false" ht="12.8" hidden="false" customHeight="false" outlineLevel="0" collapsed="false">
      <c r="A1395" s="0" t="n">
        <v>4</v>
      </c>
      <c r="B1395" s="0" t="n">
        <v>15</v>
      </c>
      <c r="C1395" s="0" t="n">
        <v>321</v>
      </c>
      <c r="D1395" s="0" t="s">
        <v>4107</v>
      </c>
      <c r="E1395" s="0" t="s">
        <v>3948</v>
      </c>
      <c r="F1395" s="0" t="s">
        <v>4151</v>
      </c>
    </row>
    <row r="1396" customFormat="false" ht="12.8" hidden="false" customHeight="false" outlineLevel="0" collapsed="false">
      <c r="A1396" s="0" t="n">
        <v>4</v>
      </c>
      <c r="B1396" s="0" t="n">
        <v>15</v>
      </c>
      <c r="C1396" s="0" t="n">
        <v>322</v>
      </c>
      <c r="D1396" s="0" t="s">
        <v>4107</v>
      </c>
      <c r="E1396" s="0" t="s">
        <v>3948</v>
      </c>
      <c r="F1396" s="0" t="s">
        <v>4086</v>
      </c>
    </row>
    <row r="1397" customFormat="false" ht="12.8" hidden="false" customHeight="false" outlineLevel="0" collapsed="false">
      <c r="A1397" s="0" t="n">
        <v>4</v>
      </c>
      <c r="B1397" s="0" t="n">
        <v>15</v>
      </c>
      <c r="C1397" s="0" t="n">
        <v>323</v>
      </c>
      <c r="D1397" s="0" t="s">
        <v>4107</v>
      </c>
      <c r="E1397" s="0" t="s">
        <v>3948</v>
      </c>
      <c r="F1397" s="0" t="s">
        <v>4132</v>
      </c>
    </row>
    <row r="1398" customFormat="false" ht="12.8" hidden="false" customHeight="false" outlineLevel="0" collapsed="false">
      <c r="A1398" s="0" t="n">
        <v>4</v>
      </c>
      <c r="B1398" s="0" t="n">
        <v>15</v>
      </c>
      <c r="C1398" s="0" t="n">
        <v>324</v>
      </c>
      <c r="D1398" s="0" t="s">
        <v>4107</v>
      </c>
      <c r="E1398" s="0" t="s">
        <v>3948</v>
      </c>
      <c r="F1398" s="0" t="s">
        <v>4133</v>
      </c>
    </row>
    <row r="1399" customFormat="false" ht="12.8" hidden="false" customHeight="false" outlineLevel="0" collapsed="false">
      <c r="A1399" s="0" t="n">
        <v>4</v>
      </c>
      <c r="B1399" s="0" t="n">
        <v>15</v>
      </c>
      <c r="C1399" s="0" t="n">
        <v>325</v>
      </c>
      <c r="D1399" s="0" t="s">
        <v>4107</v>
      </c>
      <c r="E1399" s="0" t="s">
        <v>3948</v>
      </c>
      <c r="F1399" s="0" t="s">
        <v>4134</v>
      </c>
    </row>
    <row r="1400" customFormat="false" ht="12.8" hidden="false" customHeight="false" outlineLevel="0" collapsed="false">
      <c r="A1400" s="0" t="n">
        <v>4</v>
      </c>
      <c r="B1400" s="0" t="n">
        <v>15</v>
      </c>
      <c r="C1400" s="0" t="n">
        <v>326</v>
      </c>
      <c r="D1400" s="0" t="s">
        <v>4107</v>
      </c>
      <c r="E1400" s="0" t="s">
        <v>3948</v>
      </c>
      <c r="F1400" s="0" t="s">
        <v>4135</v>
      </c>
    </row>
    <row r="1401" customFormat="false" ht="12.8" hidden="false" customHeight="false" outlineLevel="0" collapsed="false">
      <c r="A1401" s="0" t="n">
        <v>4</v>
      </c>
      <c r="B1401" s="0" t="n">
        <v>15</v>
      </c>
      <c r="C1401" s="0" t="n">
        <v>327</v>
      </c>
      <c r="D1401" s="0" t="s">
        <v>4107</v>
      </c>
      <c r="E1401" s="0" t="s">
        <v>3948</v>
      </c>
      <c r="F1401" s="0" t="s">
        <v>4136</v>
      </c>
    </row>
    <row r="1402" customFormat="false" ht="12.8" hidden="false" customHeight="false" outlineLevel="0" collapsed="false">
      <c r="A1402" s="0" t="n">
        <v>4</v>
      </c>
      <c r="B1402" s="0" t="n">
        <v>15</v>
      </c>
      <c r="C1402" s="0" t="n">
        <v>328</v>
      </c>
      <c r="D1402" s="0" t="s">
        <v>4107</v>
      </c>
      <c r="E1402" s="0" t="s">
        <v>3948</v>
      </c>
      <c r="F1402" s="0" t="s">
        <v>4139</v>
      </c>
    </row>
    <row r="1403" customFormat="false" ht="12.8" hidden="false" customHeight="false" outlineLevel="0" collapsed="false">
      <c r="A1403" s="0" t="n">
        <v>4</v>
      </c>
      <c r="B1403" s="0" t="n">
        <v>15</v>
      </c>
      <c r="C1403" s="0" t="n">
        <v>329</v>
      </c>
      <c r="D1403" s="0" t="s">
        <v>4107</v>
      </c>
      <c r="E1403" s="0" t="s">
        <v>3948</v>
      </c>
      <c r="F1403" s="0" t="s">
        <v>4140</v>
      </c>
    </row>
    <row r="1404" customFormat="false" ht="12.8" hidden="false" customHeight="false" outlineLevel="0" collapsed="false">
      <c r="A1404" s="0" t="n">
        <v>4</v>
      </c>
      <c r="B1404" s="0" t="n">
        <v>15</v>
      </c>
      <c r="C1404" s="0" t="n">
        <v>330</v>
      </c>
      <c r="D1404" s="0" t="s">
        <v>4107</v>
      </c>
      <c r="E1404" s="0" t="s">
        <v>3948</v>
      </c>
      <c r="F1404" s="0" t="s">
        <v>4141</v>
      </c>
    </row>
    <row r="1405" customFormat="false" ht="12.8" hidden="false" customHeight="false" outlineLevel="0" collapsed="false">
      <c r="A1405" s="0" t="n">
        <v>4</v>
      </c>
      <c r="B1405" s="0" t="n">
        <v>15</v>
      </c>
      <c r="C1405" s="0" t="n">
        <v>331</v>
      </c>
      <c r="D1405" s="0" t="s">
        <v>4107</v>
      </c>
      <c r="E1405" s="0" t="s">
        <v>3948</v>
      </c>
      <c r="F1405" s="0" t="s">
        <v>4142</v>
      </c>
    </row>
    <row r="1406" customFormat="false" ht="12.8" hidden="false" customHeight="false" outlineLevel="0" collapsed="false">
      <c r="A1406" s="0" t="n">
        <v>4</v>
      </c>
      <c r="B1406" s="0" t="n">
        <v>15</v>
      </c>
      <c r="C1406" s="0" t="n">
        <v>332</v>
      </c>
      <c r="D1406" s="0" t="s">
        <v>4107</v>
      </c>
      <c r="E1406" s="0" t="s">
        <v>3948</v>
      </c>
      <c r="F1406" s="0" t="s">
        <v>4143</v>
      </c>
    </row>
    <row r="1407" customFormat="false" ht="12.8" hidden="false" customHeight="false" outlineLevel="0" collapsed="false">
      <c r="A1407" s="0" t="n">
        <v>4</v>
      </c>
      <c r="B1407" s="0" t="n">
        <v>15</v>
      </c>
      <c r="C1407" s="0" t="n">
        <v>333</v>
      </c>
      <c r="D1407" s="0" t="s">
        <v>4107</v>
      </c>
      <c r="E1407" s="0" t="s">
        <v>3948</v>
      </c>
      <c r="F1407" s="0" t="s">
        <v>4144</v>
      </c>
    </row>
    <row r="1408" customFormat="false" ht="12.8" hidden="false" customHeight="false" outlineLevel="0" collapsed="false">
      <c r="A1408" s="0" t="n">
        <v>4</v>
      </c>
      <c r="B1408" s="0" t="n">
        <v>15</v>
      </c>
      <c r="C1408" s="0" t="n">
        <v>401</v>
      </c>
      <c r="D1408" s="0" t="s">
        <v>4107</v>
      </c>
      <c r="E1408" s="0" t="s">
        <v>3948</v>
      </c>
      <c r="F1408" s="0" t="s">
        <v>4108</v>
      </c>
    </row>
    <row r="1409" customFormat="false" ht="12.8" hidden="false" customHeight="false" outlineLevel="0" collapsed="false">
      <c r="A1409" s="0" t="n">
        <v>4</v>
      </c>
      <c r="B1409" s="0" t="n">
        <v>15</v>
      </c>
      <c r="C1409" s="0" t="n">
        <v>402</v>
      </c>
      <c r="D1409" s="0" t="s">
        <v>4107</v>
      </c>
      <c r="E1409" s="0" t="s">
        <v>3948</v>
      </c>
      <c r="F1409" s="0" t="s">
        <v>4109</v>
      </c>
    </row>
    <row r="1410" customFormat="false" ht="12.8" hidden="false" customHeight="false" outlineLevel="0" collapsed="false">
      <c r="A1410" s="0" t="n">
        <v>4</v>
      </c>
      <c r="B1410" s="0" t="n">
        <v>15</v>
      </c>
      <c r="C1410" s="0" t="n">
        <v>403</v>
      </c>
      <c r="D1410" s="0" t="s">
        <v>4107</v>
      </c>
      <c r="E1410" s="0" t="s">
        <v>3948</v>
      </c>
      <c r="F1410" s="0" t="s">
        <v>4039</v>
      </c>
    </row>
    <row r="1411" customFormat="false" ht="12.8" hidden="false" customHeight="false" outlineLevel="0" collapsed="false">
      <c r="A1411" s="0" t="n">
        <v>4</v>
      </c>
      <c r="B1411" s="0" t="n">
        <v>15</v>
      </c>
      <c r="C1411" s="0" t="n">
        <v>404</v>
      </c>
      <c r="D1411" s="0" t="s">
        <v>4107</v>
      </c>
      <c r="E1411" s="0" t="s">
        <v>3948</v>
      </c>
      <c r="F1411" s="0" t="s">
        <v>4148</v>
      </c>
    </row>
    <row r="1412" customFormat="false" ht="12.8" hidden="false" customHeight="false" outlineLevel="0" collapsed="false">
      <c r="A1412" s="0" t="n">
        <v>4</v>
      </c>
      <c r="B1412" s="0" t="n">
        <v>15</v>
      </c>
      <c r="C1412" s="0" t="n">
        <v>405</v>
      </c>
      <c r="D1412" s="0" t="s">
        <v>4107</v>
      </c>
      <c r="E1412" s="0" t="s">
        <v>3948</v>
      </c>
      <c r="F1412" s="0" t="s">
        <v>4111</v>
      </c>
    </row>
    <row r="1413" customFormat="false" ht="12.8" hidden="false" customHeight="false" outlineLevel="0" collapsed="false">
      <c r="A1413" s="0" t="n">
        <v>4</v>
      </c>
      <c r="B1413" s="0" t="n">
        <v>15</v>
      </c>
      <c r="C1413" s="0" t="n">
        <v>406</v>
      </c>
      <c r="D1413" s="0" t="s">
        <v>4107</v>
      </c>
      <c r="E1413" s="0" t="s">
        <v>3948</v>
      </c>
      <c r="F1413" s="0" t="s">
        <v>4112</v>
      </c>
    </row>
    <row r="1414" customFormat="false" ht="12.8" hidden="false" customHeight="false" outlineLevel="0" collapsed="false">
      <c r="A1414" s="0" t="n">
        <v>4</v>
      </c>
      <c r="B1414" s="0" t="n">
        <v>15</v>
      </c>
      <c r="C1414" s="0" t="n">
        <v>407</v>
      </c>
      <c r="D1414" s="0" t="s">
        <v>4107</v>
      </c>
      <c r="E1414" s="0" t="s">
        <v>3948</v>
      </c>
      <c r="F1414" s="0" t="s">
        <v>4113</v>
      </c>
    </row>
    <row r="1415" customFormat="false" ht="12.8" hidden="false" customHeight="false" outlineLevel="0" collapsed="false">
      <c r="A1415" s="0" t="n">
        <v>4</v>
      </c>
      <c r="B1415" s="0" t="n">
        <v>15</v>
      </c>
      <c r="C1415" s="0" t="n">
        <v>408</v>
      </c>
      <c r="D1415" s="0" t="s">
        <v>4107</v>
      </c>
      <c r="E1415" s="0" t="s">
        <v>3948</v>
      </c>
      <c r="F1415" s="0" t="s">
        <v>4114</v>
      </c>
    </row>
    <row r="1416" customFormat="false" ht="12.8" hidden="false" customHeight="false" outlineLevel="0" collapsed="false">
      <c r="A1416" s="0" t="n">
        <v>4</v>
      </c>
      <c r="B1416" s="0" t="n">
        <v>15</v>
      </c>
      <c r="C1416" s="0" t="n">
        <v>409</v>
      </c>
      <c r="D1416" s="0" t="s">
        <v>4107</v>
      </c>
      <c r="E1416" s="0" t="s">
        <v>3948</v>
      </c>
      <c r="F1416" s="0" t="s">
        <v>4115</v>
      </c>
    </row>
    <row r="1417" customFormat="false" ht="12.8" hidden="false" customHeight="false" outlineLevel="0" collapsed="false">
      <c r="A1417" s="0" t="n">
        <v>4</v>
      </c>
      <c r="B1417" s="0" t="n">
        <v>15</v>
      </c>
      <c r="C1417" s="0" t="n">
        <v>410</v>
      </c>
      <c r="D1417" s="0" t="s">
        <v>4107</v>
      </c>
      <c r="E1417" s="0" t="s">
        <v>3948</v>
      </c>
      <c r="F1417" s="0" t="s">
        <v>4117</v>
      </c>
    </row>
    <row r="1418" customFormat="false" ht="12.8" hidden="false" customHeight="false" outlineLevel="0" collapsed="false">
      <c r="A1418" s="0" t="n">
        <v>4</v>
      </c>
      <c r="B1418" s="0" t="n">
        <v>15</v>
      </c>
      <c r="C1418" s="0" t="n">
        <v>411</v>
      </c>
      <c r="D1418" s="0" t="s">
        <v>4107</v>
      </c>
      <c r="E1418" s="0" t="s">
        <v>3948</v>
      </c>
      <c r="F1418" s="0" t="s">
        <v>4119</v>
      </c>
    </row>
    <row r="1419" customFormat="false" ht="12.8" hidden="false" customHeight="false" outlineLevel="0" collapsed="false">
      <c r="A1419" s="0" t="n">
        <v>4</v>
      </c>
      <c r="B1419" s="0" t="n">
        <v>15</v>
      </c>
      <c r="C1419" s="0" t="n">
        <v>412</v>
      </c>
      <c r="D1419" s="0" t="s">
        <v>4107</v>
      </c>
      <c r="E1419" s="0" t="s">
        <v>3948</v>
      </c>
      <c r="F1419" s="0" t="s">
        <v>4120</v>
      </c>
    </row>
    <row r="1420" customFormat="false" ht="12.8" hidden="false" customHeight="false" outlineLevel="0" collapsed="false">
      <c r="A1420" s="0" t="n">
        <v>4</v>
      </c>
      <c r="B1420" s="0" t="n">
        <v>15</v>
      </c>
      <c r="C1420" s="0" t="n">
        <v>413</v>
      </c>
      <c r="D1420" s="0" t="s">
        <v>4107</v>
      </c>
      <c r="E1420" s="0" t="s">
        <v>3948</v>
      </c>
      <c r="F1420" s="0" t="s">
        <v>4149</v>
      </c>
    </row>
    <row r="1421" customFormat="false" ht="12.8" hidden="false" customHeight="false" outlineLevel="0" collapsed="false">
      <c r="A1421" s="0" t="n">
        <v>4</v>
      </c>
      <c r="B1421" s="0" t="n">
        <v>15</v>
      </c>
      <c r="C1421" s="0" t="n">
        <v>414</v>
      </c>
      <c r="D1421" s="0" t="s">
        <v>4107</v>
      </c>
      <c r="E1421" s="0" t="s">
        <v>3948</v>
      </c>
      <c r="F1421" s="0" t="s">
        <v>4122</v>
      </c>
    </row>
    <row r="1422" customFormat="false" ht="12.8" hidden="false" customHeight="false" outlineLevel="0" collapsed="false">
      <c r="A1422" s="0" t="n">
        <v>4</v>
      </c>
      <c r="B1422" s="0" t="n">
        <v>15</v>
      </c>
      <c r="C1422" s="0" t="n">
        <v>415</v>
      </c>
      <c r="D1422" s="0" t="s">
        <v>4107</v>
      </c>
      <c r="E1422" s="0" t="s">
        <v>3948</v>
      </c>
      <c r="F1422" s="0" t="s">
        <v>4123</v>
      </c>
    </row>
    <row r="1423" customFormat="false" ht="12.8" hidden="false" customHeight="false" outlineLevel="0" collapsed="false">
      <c r="A1423" s="0" t="n">
        <v>4</v>
      </c>
      <c r="B1423" s="0" t="n">
        <v>15</v>
      </c>
      <c r="C1423" s="0" t="n">
        <v>416</v>
      </c>
      <c r="D1423" s="0" t="s">
        <v>4107</v>
      </c>
      <c r="E1423" s="0" t="s">
        <v>3948</v>
      </c>
      <c r="F1423" s="0" t="s">
        <v>4124</v>
      </c>
    </row>
    <row r="1424" customFormat="false" ht="12.8" hidden="false" customHeight="false" outlineLevel="0" collapsed="false">
      <c r="A1424" s="0" t="n">
        <v>4</v>
      </c>
      <c r="B1424" s="0" t="n">
        <v>15</v>
      </c>
      <c r="C1424" s="0" t="n">
        <v>417</v>
      </c>
      <c r="D1424" s="0" t="s">
        <v>4107</v>
      </c>
      <c r="E1424" s="0" t="s">
        <v>3948</v>
      </c>
      <c r="F1424" s="0" t="s">
        <v>4125</v>
      </c>
    </row>
    <row r="1425" customFormat="false" ht="12.8" hidden="false" customHeight="false" outlineLevel="0" collapsed="false">
      <c r="A1425" s="0" t="n">
        <v>4</v>
      </c>
      <c r="B1425" s="0" t="n">
        <v>15</v>
      </c>
      <c r="C1425" s="0" t="n">
        <v>418</v>
      </c>
      <c r="D1425" s="0" t="s">
        <v>4107</v>
      </c>
      <c r="E1425" s="0" t="s">
        <v>3948</v>
      </c>
      <c r="F1425" s="0" t="s">
        <v>4125</v>
      </c>
    </row>
    <row r="1426" customFormat="false" ht="12.8" hidden="false" customHeight="false" outlineLevel="0" collapsed="false">
      <c r="A1426" s="0" t="n">
        <v>4</v>
      </c>
      <c r="B1426" s="0" t="n">
        <v>15</v>
      </c>
      <c r="C1426" s="0" t="n">
        <v>419</v>
      </c>
      <c r="D1426" s="0" t="s">
        <v>4107</v>
      </c>
      <c r="E1426" s="0" t="s">
        <v>3948</v>
      </c>
      <c r="F1426" s="0" t="s">
        <v>4126</v>
      </c>
    </row>
    <row r="1427" customFormat="false" ht="12.8" hidden="false" customHeight="false" outlineLevel="0" collapsed="false">
      <c r="A1427" s="0" t="n">
        <v>4</v>
      </c>
      <c r="B1427" s="0" t="n">
        <v>15</v>
      </c>
      <c r="C1427" s="0" t="n">
        <v>420</v>
      </c>
      <c r="D1427" s="0" t="s">
        <v>4107</v>
      </c>
      <c r="E1427" s="0" t="s">
        <v>3948</v>
      </c>
      <c r="F1427" s="0" t="s">
        <v>4127</v>
      </c>
    </row>
    <row r="1428" customFormat="false" ht="12.8" hidden="false" customHeight="false" outlineLevel="0" collapsed="false">
      <c r="A1428" s="0" t="n">
        <v>4</v>
      </c>
      <c r="B1428" s="0" t="n">
        <v>15</v>
      </c>
      <c r="C1428" s="0" t="n">
        <v>421</v>
      </c>
      <c r="D1428" s="0" t="s">
        <v>4107</v>
      </c>
      <c r="E1428" s="0" t="s">
        <v>3948</v>
      </c>
      <c r="F1428" s="0" t="s">
        <v>4128</v>
      </c>
    </row>
    <row r="1429" customFormat="false" ht="12.8" hidden="false" customHeight="false" outlineLevel="0" collapsed="false">
      <c r="A1429" s="0" t="n">
        <v>4</v>
      </c>
      <c r="B1429" s="0" t="n">
        <v>15</v>
      </c>
      <c r="C1429" s="0" t="n">
        <v>422</v>
      </c>
      <c r="D1429" s="0" t="s">
        <v>4107</v>
      </c>
      <c r="E1429" s="0" t="s">
        <v>3948</v>
      </c>
      <c r="F1429" s="0" t="s">
        <v>4152</v>
      </c>
    </row>
    <row r="1430" customFormat="false" ht="12.8" hidden="false" customHeight="false" outlineLevel="0" collapsed="false">
      <c r="A1430" s="0" t="n">
        <v>4</v>
      </c>
      <c r="B1430" s="0" t="n">
        <v>15</v>
      </c>
      <c r="C1430" s="0" t="n">
        <v>423</v>
      </c>
      <c r="D1430" s="0" t="s">
        <v>4107</v>
      </c>
      <c r="E1430" s="0" t="s">
        <v>3948</v>
      </c>
      <c r="F1430" s="0" t="s">
        <v>4129</v>
      </c>
    </row>
    <row r="1431" customFormat="false" ht="12.8" hidden="false" customHeight="false" outlineLevel="0" collapsed="false">
      <c r="A1431" s="0" t="n">
        <v>4</v>
      </c>
      <c r="B1431" s="0" t="n">
        <v>15</v>
      </c>
      <c r="C1431" s="0" t="n">
        <v>424</v>
      </c>
      <c r="D1431" s="0" t="s">
        <v>4107</v>
      </c>
      <c r="E1431" s="0" t="s">
        <v>3948</v>
      </c>
      <c r="F1431" s="0" t="s">
        <v>4130</v>
      </c>
    </row>
    <row r="1432" customFormat="false" ht="12.8" hidden="false" customHeight="false" outlineLevel="0" collapsed="false">
      <c r="A1432" s="0" t="n">
        <v>4</v>
      </c>
      <c r="B1432" s="0" t="n">
        <v>15</v>
      </c>
      <c r="C1432" s="0" t="n">
        <v>425</v>
      </c>
      <c r="D1432" s="0" t="s">
        <v>4107</v>
      </c>
      <c r="E1432" s="0" t="s">
        <v>3948</v>
      </c>
      <c r="F1432" s="0" t="s">
        <v>4086</v>
      </c>
    </row>
    <row r="1433" customFormat="false" ht="12.8" hidden="false" customHeight="false" outlineLevel="0" collapsed="false">
      <c r="A1433" s="0" t="n">
        <v>4</v>
      </c>
      <c r="B1433" s="0" t="n">
        <v>15</v>
      </c>
      <c r="C1433" s="0" t="n">
        <v>426</v>
      </c>
      <c r="D1433" s="0" t="s">
        <v>4107</v>
      </c>
      <c r="E1433" s="0" t="s">
        <v>3948</v>
      </c>
      <c r="F1433" s="0" t="s">
        <v>4132</v>
      </c>
    </row>
    <row r="1434" customFormat="false" ht="12.8" hidden="false" customHeight="false" outlineLevel="0" collapsed="false">
      <c r="A1434" s="0" t="n">
        <v>4</v>
      </c>
      <c r="B1434" s="0" t="n">
        <v>15</v>
      </c>
      <c r="C1434" s="0" t="n">
        <v>427</v>
      </c>
      <c r="D1434" s="0" t="s">
        <v>4107</v>
      </c>
      <c r="E1434" s="0" t="s">
        <v>3948</v>
      </c>
      <c r="F1434" s="0" t="s">
        <v>4133</v>
      </c>
    </row>
    <row r="1435" customFormat="false" ht="12.8" hidden="false" customHeight="false" outlineLevel="0" collapsed="false">
      <c r="A1435" s="0" t="n">
        <v>4</v>
      </c>
      <c r="B1435" s="0" t="n">
        <v>15</v>
      </c>
      <c r="C1435" s="0" t="n">
        <v>428</v>
      </c>
      <c r="D1435" s="0" t="s">
        <v>4107</v>
      </c>
      <c r="E1435" s="0" t="s">
        <v>3948</v>
      </c>
      <c r="F1435" s="0" t="s">
        <v>4134</v>
      </c>
    </row>
    <row r="1436" customFormat="false" ht="12.8" hidden="false" customHeight="false" outlineLevel="0" collapsed="false">
      <c r="A1436" s="0" t="n">
        <v>4</v>
      </c>
      <c r="B1436" s="0" t="n">
        <v>15</v>
      </c>
      <c r="C1436" s="0" t="n">
        <v>429</v>
      </c>
      <c r="D1436" s="0" t="s">
        <v>4107</v>
      </c>
      <c r="E1436" s="0" t="s">
        <v>3948</v>
      </c>
      <c r="F1436" s="0" t="s">
        <v>4135</v>
      </c>
    </row>
    <row r="1437" customFormat="false" ht="12.8" hidden="false" customHeight="false" outlineLevel="0" collapsed="false">
      <c r="A1437" s="0" t="n">
        <v>4</v>
      </c>
      <c r="B1437" s="0" t="n">
        <v>15</v>
      </c>
      <c r="C1437" s="0" t="n">
        <v>430</v>
      </c>
      <c r="D1437" s="0" t="s">
        <v>4107</v>
      </c>
      <c r="E1437" s="0" t="s">
        <v>3948</v>
      </c>
      <c r="F1437" s="0" t="s">
        <v>4136</v>
      </c>
    </row>
    <row r="1438" customFormat="false" ht="12.8" hidden="false" customHeight="false" outlineLevel="0" collapsed="false">
      <c r="A1438" s="0" t="n">
        <v>4</v>
      </c>
      <c r="B1438" s="0" t="n">
        <v>15</v>
      </c>
      <c r="C1438" s="0" t="n">
        <v>431</v>
      </c>
      <c r="D1438" s="0" t="s">
        <v>4107</v>
      </c>
      <c r="E1438" s="0" t="s">
        <v>3948</v>
      </c>
      <c r="F1438" s="0" t="s">
        <v>4139</v>
      </c>
    </row>
    <row r="1439" customFormat="false" ht="12.8" hidden="false" customHeight="false" outlineLevel="0" collapsed="false">
      <c r="A1439" s="0" t="n">
        <v>4</v>
      </c>
      <c r="B1439" s="0" t="n">
        <v>15</v>
      </c>
      <c r="C1439" s="0" t="n">
        <v>432</v>
      </c>
      <c r="D1439" s="0" t="s">
        <v>4107</v>
      </c>
      <c r="E1439" s="0" t="s">
        <v>3948</v>
      </c>
      <c r="F1439" s="0" t="s">
        <v>4140</v>
      </c>
    </row>
    <row r="1440" customFormat="false" ht="12.8" hidden="false" customHeight="false" outlineLevel="0" collapsed="false">
      <c r="A1440" s="0" t="n">
        <v>4</v>
      </c>
      <c r="B1440" s="0" t="n">
        <v>15</v>
      </c>
      <c r="C1440" s="0" t="n">
        <v>433</v>
      </c>
      <c r="D1440" s="0" t="s">
        <v>4107</v>
      </c>
      <c r="E1440" s="0" t="s">
        <v>3948</v>
      </c>
      <c r="F1440" s="0" t="s">
        <v>4141</v>
      </c>
    </row>
    <row r="1441" customFormat="false" ht="12.8" hidden="false" customHeight="false" outlineLevel="0" collapsed="false">
      <c r="A1441" s="0" t="n">
        <v>4</v>
      </c>
      <c r="B1441" s="0" t="n">
        <v>15</v>
      </c>
      <c r="C1441" s="0" t="n">
        <v>434</v>
      </c>
      <c r="D1441" s="0" t="s">
        <v>4107</v>
      </c>
      <c r="E1441" s="0" t="s">
        <v>3948</v>
      </c>
      <c r="F1441" s="0" t="s">
        <v>4142</v>
      </c>
    </row>
    <row r="1442" customFormat="false" ht="12.8" hidden="false" customHeight="false" outlineLevel="0" collapsed="false">
      <c r="A1442" s="0" t="n">
        <v>4</v>
      </c>
      <c r="B1442" s="0" t="n">
        <v>15</v>
      </c>
      <c r="C1442" s="0" t="n">
        <v>435</v>
      </c>
      <c r="D1442" s="0" t="s">
        <v>4107</v>
      </c>
      <c r="E1442" s="0" t="s">
        <v>3948</v>
      </c>
      <c r="F1442" s="0" t="s">
        <v>4143</v>
      </c>
    </row>
    <row r="1443" customFormat="false" ht="12.8" hidden="false" customHeight="false" outlineLevel="0" collapsed="false">
      <c r="A1443" s="0" t="n">
        <v>4</v>
      </c>
      <c r="B1443" s="0" t="n">
        <v>15</v>
      </c>
      <c r="C1443" s="0" t="n">
        <v>436</v>
      </c>
      <c r="D1443" s="0" t="s">
        <v>4107</v>
      </c>
      <c r="E1443" s="0" t="s">
        <v>3948</v>
      </c>
      <c r="F1443" s="0" t="s">
        <v>4144</v>
      </c>
    </row>
    <row r="1444" customFormat="false" ht="12.8" hidden="false" customHeight="false" outlineLevel="0" collapsed="false">
      <c r="A1444" s="0" t="n">
        <v>4</v>
      </c>
      <c r="B1444" s="0" t="n">
        <v>15</v>
      </c>
      <c r="C1444" s="0" t="n">
        <v>437</v>
      </c>
      <c r="D1444" s="0" t="s">
        <v>4107</v>
      </c>
      <c r="E1444" s="0" t="s">
        <v>3948</v>
      </c>
      <c r="F1444" s="0" t="s">
        <v>4147</v>
      </c>
    </row>
    <row r="1445" customFormat="false" ht="12.8" hidden="false" customHeight="false" outlineLevel="0" collapsed="false">
      <c r="A1445" s="0" t="n">
        <v>4</v>
      </c>
      <c r="B1445" s="0" t="n">
        <v>15</v>
      </c>
      <c r="C1445" s="0" t="n">
        <v>508</v>
      </c>
      <c r="D1445" s="0" t="s">
        <v>4107</v>
      </c>
      <c r="E1445" s="0" t="s">
        <v>3948</v>
      </c>
      <c r="F1445" s="0" t="s">
        <v>4108</v>
      </c>
    </row>
    <row r="1446" customFormat="false" ht="12.8" hidden="false" customHeight="false" outlineLevel="0" collapsed="false">
      <c r="A1446" s="0" t="n">
        <v>4</v>
      </c>
      <c r="B1446" s="0" t="n">
        <v>15</v>
      </c>
      <c r="C1446" s="0" t="n">
        <v>509</v>
      </c>
      <c r="D1446" s="0" t="s">
        <v>4107</v>
      </c>
      <c r="E1446" s="0" t="s">
        <v>3948</v>
      </c>
      <c r="F1446" s="0" t="s">
        <v>4109</v>
      </c>
    </row>
    <row r="1447" customFormat="false" ht="12.8" hidden="false" customHeight="false" outlineLevel="0" collapsed="false">
      <c r="A1447" s="0" t="n">
        <v>4</v>
      </c>
      <c r="B1447" s="0" t="n">
        <v>15</v>
      </c>
      <c r="C1447" s="0" t="n">
        <v>510</v>
      </c>
      <c r="D1447" s="0" t="s">
        <v>4107</v>
      </c>
      <c r="E1447" s="0" t="s">
        <v>3948</v>
      </c>
      <c r="F1447" s="0" t="s">
        <v>4039</v>
      </c>
    </row>
    <row r="1448" customFormat="false" ht="12.8" hidden="false" customHeight="false" outlineLevel="0" collapsed="false">
      <c r="A1448" s="0" t="n">
        <v>4</v>
      </c>
      <c r="B1448" s="0" t="n">
        <v>15</v>
      </c>
      <c r="C1448" s="0" t="n">
        <v>511</v>
      </c>
      <c r="D1448" s="0" t="s">
        <v>4107</v>
      </c>
      <c r="E1448" s="0" t="s">
        <v>3948</v>
      </c>
      <c r="F1448" s="0" t="s">
        <v>4148</v>
      </c>
    </row>
    <row r="1449" customFormat="false" ht="12.8" hidden="false" customHeight="false" outlineLevel="0" collapsed="false">
      <c r="A1449" s="0" t="n">
        <v>4</v>
      </c>
      <c r="B1449" s="0" t="n">
        <v>15</v>
      </c>
      <c r="C1449" s="0" t="n">
        <v>512</v>
      </c>
      <c r="D1449" s="0" t="s">
        <v>4107</v>
      </c>
      <c r="E1449" s="0" t="s">
        <v>3948</v>
      </c>
      <c r="F1449" s="0" t="s">
        <v>4111</v>
      </c>
    </row>
    <row r="1450" customFormat="false" ht="12.8" hidden="false" customHeight="false" outlineLevel="0" collapsed="false">
      <c r="A1450" s="0" t="n">
        <v>4</v>
      </c>
      <c r="B1450" s="0" t="n">
        <v>15</v>
      </c>
      <c r="C1450" s="0" t="n">
        <v>513</v>
      </c>
      <c r="D1450" s="0" t="s">
        <v>4107</v>
      </c>
      <c r="E1450" s="0" t="s">
        <v>3948</v>
      </c>
      <c r="F1450" s="0" t="s">
        <v>4112</v>
      </c>
    </row>
    <row r="1451" customFormat="false" ht="12.8" hidden="false" customHeight="false" outlineLevel="0" collapsed="false">
      <c r="A1451" s="0" t="n">
        <v>4</v>
      </c>
      <c r="B1451" s="0" t="n">
        <v>15</v>
      </c>
      <c r="C1451" s="0" t="n">
        <v>514</v>
      </c>
      <c r="D1451" s="0" t="s">
        <v>4107</v>
      </c>
      <c r="E1451" s="0" t="s">
        <v>3948</v>
      </c>
      <c r="F1451" s="0" t="s">
        <v>4113</v>
      </c>
    </row>
    <row r="1452" customFormat="false" ht="12.8" hidden="false" customHeight="false" outlineLevel="0" collapsed="false">
      <c r="A1452" s="0" t="n">
        <v>4</v>
      </c>
      <c r="B1452" s="0" t="n">
        <v>15</v>
      </c>
      <c r="C1452" s="0" t="n">
        <v>515</v>
      </c>
      <c r="D1452" s="0" t="s">
        <v>4107</v>
      </c>
      <c r="E1452" s="0" t="s">
        <v>3948</v>
      </c>
      <c r="F1452" s="0" t="s">
        <v>4114</v>
      </c>
    </row>
    <row r="1453" customFormat="false" ht="12.8" hidden="false" customHeight="false" outlineLevel="0" collapsed="false">
      <c r="A1453" s="0" t="n">
        <v>4</v>
      </c>
      <c r="B1453" s="0" t="n">
        <v>15</v>
      </c>
      <c r="C1453" s="0" t="n">
        <v>516</v>
      </c>
      <c r="D1453" s="0" t="s">
        <v>4107</v>
      </c>
      <c r="E1453" s="0" t="s">
        <v>3948</v>
      </c>
      <c r="F1453" s="0" t="s">
        <v>4115</v>
      </c>
    </row>
    <row r="1454" customFormat="false" ht="12.8" hidden="false" customHeight="false" outlineLevel="0" collapsed="false">
      <c r="A1454" s="0" t="n">
        <v>4</v>
      </c>
      <c r="B1454" s="0" t="n">
        <v>15</v>
      </c>
      <c r="C1454" s="0" t="n">
        <v>517</v>
      </c>
      <c r="D1454" s="0" t="s">
        <v>4107</v>
      </c>
      <c r="E1454" s="0" t="s">
        <v>3948</v>
      </c>
      <c r="F1454" s="0" t="s">
        <v>4117</v>
      </c>
    </row>
    <row r="1455" customFormat="false" ht="12.8" hidden="false" customHeight="false" outlineLevel="0" collapsed="false">
      <c r="A1455" s="0" t="n">
        <v>4</v>
      </c>
      <c r="B1455" s="0" t="n">
        <v>15</v>
      </c>
      <c r="C1455" s="0" t="n">
        <v>518</v>
      </c>
      <c r="D1455" s="0" t="s">
        <v>4107</v>
      </c>
      <c r="E1455" s="0" t="s">
        <v>3948</v>
      </c>
      <c r="F1455" s="0" t="s">
        <v>4119</v>
      </c>
    </row>
    <row r="1456" customFormat="false" ht="12.8" hidden="false" customHeight="false" outlineLevel="0" collapsed="false">
      <c r="A1456" s="0" t="n">
        <v>4</v>
      </c>
      <c r="B1456" s="0" t="n">
        <v>15</v>
      </c>
      <c r="C1456" s="0" t="n">
        <v>519</v>
      </c>
      <c r="D1456" s="0" t="s">
        <v>4107</v>
      </c>
      <c r="E1456" s="0" t="s">
        <v>3948</v>
      </c>
      <c r="F1456" s="0" t="s">
        <v>4120</v>
      </c>
    </row>
    <row r="1457" customFormat="false" ht="12.8" hidden="false" customHeight="false" outlineLevel="0" collapsed="false">
      <c r="A1457" s="0" t="n">
        <v>4</v>
      </c>
      <c r="B1457" s="0" t="n">
        <v>15</v>
      </c>
      <c r="C1457" s="0" t="n">
        <v>520</v>
      </c>
      <c r="D1457" s="0" t="s">
        <v>4107</v>
      </c>
      <c r="E1457" s="0" t="s">
        <v>3948</v>
      </c>
      <c r="F1457" s="0" t="s">
        <v>4149</v>
      </c>
    </row>
    <row r="1458" customFormat="false" ht="12.8" hidden="false" customHeight="false" outlineLevel="0" collapsed="false">
      <c r="A1458" s="0" t="n">
        <v>4</v>
      </c>
      <c r="B1458" s="0" t="n">
        <v>15</v>
      </c>
      <c r="C1458" s="0" t="n">
        <v>521</v>
      </c>
      <c r="D1458" s="0" t="s">
        <v>4107</v>
      </c>
      <c r="E1458" s="0" t="s">
        <v>3948</v>
      </c>
      <c r="F1458" s="0" t="s">
        <v>4122</v>
      </c>
    </row>
    <row r="1459" customFormat="false" ht="12.8" hidden="false" customHeight="false" outlineLevel="0" collapsed="false">
      <c r="A1459" s="0" t="n">
        <v>4</v>
      </c>
      <c r="B1459" s="0" t="n">
        <v>15</v>
      </c>
      <c r="C1459" s="0" t="n">
        <v>522</v>
      </c>
      <c r="D1459" s="0" t="s">
        <v>4107</v>
      </c>
      <c r="E1459" s="0" t="s">
        <v>3948</v>
      </c>
      <c r="F1459" s="0" t="s">
        <v>4123</v>
      </c>
    </row>
    <row r="1460" customFormat="false" ht="12.8" hidden="false" customHeight="false" outlineLevel="0" collapsed="false">
      <c r="A1460" s="0" t="n">
        <v>4</v>
      </c>
      <c r="B1460" s="0" t="n">
        <v>15</v>
      </c>
      <c r="C1460" s="0" t="n">
        <v>523</v>
      </c>
      <c r="D1460" s="0" t="s">
        <v>4107</v>
      </c>
      <c r="E1460" s="0" t="s">
        <v>3948</v>
      </c>
      <c r="F1460" s="0" t="s">
        <v>4124</v>
      </c>
    </row>
    <row r="1461" customFormat="false" ht="12.8" hidden="false" customHeight="false" outlineLevel="0" collapsed="false">
      <c r="A1461" s="0" t="n">
        <v>4</v>
      </c>
      <c r="B1461" s="0" t="n">
        <v>15</v>
      </c>
      <c r="C1461" s="0" t="n">
        <v>524</v>
      </c>
      <c r="D1461" s="0" t="s">
        <v>4107</v>
      </c>
      <c r="E1461" s="0" t="s">
        <v>3948</v>
      </c>
      <c r="F1461" s="0" t="s">
        <v>4125</v>
      </c>
    </row>
    <row r="1462" customFormat="false" ht="12.8" hidden="false" customHeight="false" outlineLevel="0" collapsed="false">
      <c r="A1462" s="0" t="n">
        <v>4</v>
      </c>
      <c r="B1462" s="0" t="n">
        <v>15</v>
      </c>
      <c r="C1462" s="0" t="n">
        <v>525</v>
      </c>
      <c r="D1462" s="0" t="s">
        <v>4107</v>
      </c>
      <c r="E1462" s="0" t="s">
        <v>3948</v>
      </c>
      <c r="F1462" s="0" t="s">
        <v>4125</v>
      </c>
    </row>
    <row r="1463" customFormat="false" ht="12.8" hidden="false" customHeight="false" outlineLevel="0" collapsed="false">
      <c r="A1463" s="0" t="n">
        <v>4</v>
      </c>
      <c r="B1463" s="0" t="n">
        <v>15</v>
      </c>
      <c r="C1463" s="0" t="n">
        <v>526</v>
      </c>
      <c r="D1463" s="0" t="s">
        <v>4107</v>
      </c>
      <c r="E1463" s="0" t="s">
        <v>3948</v>
      </c>
      <c r="F1463" s="0" t="s">
        <v>4126</v>
      </c>
    </row>
    <row r="1464" customFormat="false" ht="12.8" hidden="false" customHeight="false" outlineLevel="0" collapsed="false">
      <c r="A1464" s="0" t="n">
        <v>4</v>
      </c>
      <c r="B1464" s="0" t="n">
        <v>15</v>
      </c>
      <c r="C1464" s="0" t="n">
        <v>527</v>
      </c>
      <c r="D1464" s="0" t="s">
        <v>4107</v>
      </c>
      <c r="E1464" s="0" t="s">
        <v>3948</v>
      </c>
      <c r="F1464" s="0" t="s">
        <v>4127</v>
      </c>
    </row>
    <row r="1465" customFormat="false" ht="12.8" hidden="false" customHeight="false" outlineLevel="0" collapsed="false">
      <c r="A1465" s="0" t="n">
        <v>4</v>
      </c>
      <c r="B1465" s="0" t="n">
        <v>15</v>
      </c>
      <c r="C1465" s="0" t="n">
        <v>528</v>
      </c>
      <c r="D1465" s="0" t="s">
        <v>4107</v>
      </c>
      <c r="E1465" s="0" t="s">
        <v>3948</v>
      </c>
      <c r="F1465" s="0" t="s">
        <v>4128</v>
      </c>
    </row>
    <row r="1466" customFormat="false" ht="12.8" hidden="false" customHeight="false" outlineLevel="0" collapsed="false">
      <c r="A1466" s="0" t="n">
        <v>4</v>
      </c>
      <c r="B1466" s="0" t="n">
        <v>15</v>
      </c>
      <c r="C1466" s="0" t="n">
        <v>529</v>
      </c>
      <c r="D1466" s="0" t="s">
        <v>4107</v>
      </c>
      <c r="E1466" s="0" t="s">
        <v>3948</v>
      </c>
      <c r="F1466" s="0" t="s">
        <v>4152</v>
      </c>
    </row>
    <row r="1467" customFormat="false" ht="12.8" hidden="false" customHeight="false" outlineLevel="0" collapsed="false">
      <c r="A1467" s="0" t="n">
        <v>4</v>
      </c>
      <c r="B1467" s="0" t="n">
        <v>15</v>
      </c>
      <c r="C1467" s="0" t="n">
        <v>530</v>
      </c>
      <c r="D1467" s="0" t="s">
        <v>4107</v>
      </c>
      <c r="E1467" s="0" t="s">
        <v>3948</v>
      </c>
      <c r="F1467" s="0" t="s">
        <v>4129</v>
      </c>
    </row>
    <row r="1468" customFormat="false" ht="12.8" hidden="false" customHeight="false" outlineLevel="0" collapsed="false">
      <c r="A1468" s="0" t="n">
        <v>4</v>
      </c>
      <c r="B1468" s="0" t="n">
        <v>15</v>
      </c>
      <c r="C1468" s="0" t="n">
        <v>531</v>
      </c>
      <c r="D1468" s="0" t="s">
        <v>4107</v>
      </c>
      <c r="E1468" s="0" t="s">
        <v>3948</v>
      </c>
      <c r="F1468" s="0" t="s">
        <v>4130</v>
      </c>
    </row>
    <row r="1469" customFormat="false" ht="12.8" hidden="false" customHeight="false" outlineLevel="0" collapsed="false">
      <c r="A1469" s="0" t="n">
        <v>4</v>
      </c>
      <c r="B1469" s="0" t="n">
        <v>15</v>
      </c>
      <c r="C1469" s="0" t="n">
        <v>532</v>
      </c>
      <c r="D1469" s="0" t="s">
        <v>4107</v>
      </c>
      <c r="E1469" s="0" t="s">
        <v>3948</v>
      </c>
      <c r="F1469" s="0" t="s">
        <v>4086</v>
      </c>
    </row>
    <row r="1470" customFormat="false" ht="12.8" hidden="false" customHeight="false" outlineLevel="0" collapsed="false">
      <c r="A1470" s="0" t="n">
        <v>4</v>
      </c>
      <c r="B1470" s="0" t="n">
        <v>15</v>
      </c>
      <c r="C1470" s="0" t="n">
        <v>533</v>
      </c>
      <c r="D1470" s="0" t="s">
        <v>4107</v>
      </c>
      <c r="E1470" s="0" t="s">
        <v>3948</v>
      </c>
      <c r="F1470" s="0" t="s">
        <v>4132</v>
      </c>
    </row>
    <row r="1471" customFormat="false" ht="12.8" hidden="false" customHeight="false" outlineLevel="0" collapsed="false">
      <c r="A1471" s="0" t="n">
        <v>4</v>
      </c>
      <c r="B1471" s="0" t="n">
        <v>15</v>
      </c>
      <c r="C1471" s="0" t="n">
        <v>534</v>
      </c>
      <c r="D1471" s="0" t="s">
        <v>4107</v>
      </c>
      <c r="E1471" s="0" t="s">
        <v>3948</v>
      </c>
      <c r="F1471" s="0" t="s">
        <v>4133</v>
      </c>
    </row>
    <row r="1472" customFormat="false" ht="12.8" hidden="false" customHeight="false" outlineLevel="0" collapsed="false">
      <c r="A1472" s="0" t="n">
        <v>4</v>
      </c>
      <c r="B1472" s="0" t="n">
        <v>15</v>
      </c>
      <c r="C1472" s="0" t="n">
        <v>535</v>
      </c>
      <c r="D1472" s="0" t="s">
        <v>4107</v>
      </c>
      <c r="E1472" s="0" t="s">
        <v>3948</v>
      </c>
      <c r="F1472" s="0" t="s">
        <v>4134</v>
      </c>
    </row>
    <row r="1473" customFormat="false" ht="12.8" hidden="false" customHeight="false" outlineLevel="0" collapsed="false">
      <c r="A1473" s="0" t="n">
        <v>4</v>
      </c>
      <c r="B1473" s="0" t="n">
        <v>15</v>
      </c>
      <c r="C1473" s="0" t="n">
        <v>536</v>
      </c>
      <c r="D1473" s="0" t="s">
        <v>4107</v>
      </c>
      <c r="E1473" s="0" t="s">
        <v>3948</v>
      </c>
      <c r="F1473" s="0" t="s">
        <v>4135</v>
      </c>
    </row>
    <row r="1474" customFormat="false" ht="12.8" hidden="false" customHeight="false" outlineLevel="0" collapsed="false">
      <c r="A1474" s="0" t="n">
        <v>4</v>
      </c>
      <c r="B1474" s="0" t="n">
        <v>15</v>
      </c>
      <c r="C1474" s="0" t="n">
        <v>537</v>
      </c>
      <c r="D1474" s="0" t="s">
        <v>4107</v>
      </c>
      <c r="E1474" s="0" t="s">
        <v>3948</v>
      </c>
      <c r="F1474" s="0" t="s">
        <v>4136</v>
      </c>
    </row>
    <row r="1475" customFormat="false" ht="12.8" hidden="false" customHeight="false" outlineLevel="0" collapsed="false">
      <c r="A1475" s="0" t="n">
        <v>4</v>
      </c>
      <c r="B1475" s="0" t="n">
        <v>15</v>
      </c>
      <c r="C1475" s="0" t="n">
        <v>538</v>
      </c>
      <c r="D1475" s="0" t="s">
        <v>4107</v>
      </c>
      <c r="E1475" s="0" t="s">
        <v>3948</v>
      </c>
      <c r="F1475" s="0" t="s">
        <v>4139</v>
      </c>
    </row>
    <row r="1476" customFormat="false" ht="12.8" hidden="false" customHeight="false" outlineLevel="0" collapsed="false">
      <c r="A1476" s="0" t="n">
        <v>4</v>
      </c>
      <c r="B1476" s="0" t="n">
        <v>15</v>
      </c>
      <c r="C1476" s="0" t="n">
        <v>539</v>
      </c>
      <c r="D1476" s="0" t="s">
        <v>4107</v>
      </c>
      <c r="E1476" s="0" t="s">
        <v>3948</v>
      </c>
      <c r="F1476" s="0" t="s">
        <v>4140</v>
      </c>
    </row>
    <row r="1477" customFormat="false" ht="12.8" hidden="false" customHeight="false" outlineLevel="0" collapsed="false">
      <c r="A1477" s="0" t="n">
        <v>4</v>
      </c>
      <c r="B1477" s="0" t="n">
        <v>15</v>
      </c>
      <c r="C1477" s="0" t="n">
        <v>540</v>
      </c>
      <c r="D1477" s="0" t="s">
        <v>4107</v>
      </c>
      <c r="E1477" s="0" t="s">
        <v>3948</v>
      </c>
      <c r="F1477" s="0" t="s">
        <v>4141</v>
      </c>
    </row>
    <row r="1478" customFormat="false" ht="12.8" hidden="false" customHeight="false" outlineLevel="0" collapsed="false">
      <c r="A1478" s="0" t="n">
        <v>4</v>
      </c>
      <c r="B1478" s="0" t="n">
        <v>15</v>
      </c>
      <c r="C1478" s="0" t="n">
        <v>541</v>
      </c>
      <c r="D1478" s="0" t="s">
        <v>4107</v>
      </c>
      <c r="E1478" s="0" t="s">
        <v>3948</v>
      </c>
      <c r="F1478" s="0" t="s">
        <v>4142</v>
      </c>
    </row>
    <row r="1479" customFormat="false" ht="12.8" hidden="false" customHeight="false" outlineLevel="0" collapsed="false">
      <c r="A1479" s="0" t="n">
        <v>4</v>
      </c>
      <c r="B1479" s="0" t="n">
        <v>15</v>
      </c>
      <c r="C1479" s="0" t="n">
        <v>542</v>
      </c>
      <c r="D1479" s="0" t="s">
        <v>4107</v>
      </c>
      <c r="E1479" s="0" t="s">
        <v>3948</v>
      </c>
      <c r="F1479" s="0" t="s">
        <v>4143</v>
      </c>
    </row>
    <row r="1480" customFormat="false" ht="12.8" hidden="false" customHeight="false" outlineLevel="0" collapsed="false">
      <c r="A1480" s="0" t="n">
        <v>4</v>
      </c>
      <c r="B1480" s="0" t="n">
        <v>15</v>
      </c>
      <c r="C1480" s="0" t="n">
        <v>543</v>
      </c>
      <c r="D1480" s="0" t="s">
        <v>4107</v>
      </c>
      <c r="E1480" s="0" t="s">
        <v>3948</v>
      </c>
      <c r="F1480" s="0" t="s">
        <v>4144</v>
      </c>
    </row>
    <row r="1481" customFormat="false" ht="12.8" hidden="false" customHeight="false" outlineLevel="0" collapsed="false">
      <c r="A1481" s="0" t="n">
        <v>4</v>
      </c>
      <c r="B1481" s="0" t="n">
        <v>15</v>
      </c>
      <c r="C1481" s="0" t="n">
        <v>544</v>
      </c>
      <c r="D1481" s="0" t="s">
        <v>4107</v>
      </c>
      <c r="E1481" s="0" t="s">
        <v>3948</v>
      </c>
      <c r="F1481" s="0" t="s">
        <v>4147</v>
      </c>
    </row>
    <row r="1482" customFormat="false" ht="12.8" hidden="false" customHeight="false" outlineLevel="0" collapsed="false">
      <c r="A1482" s="0" t="n">
        <v>4</v>
      </c>
      <c r="B1482" s="0" t="n">
        <v>15</v>
      </c>
      <c r="C1482" s="0" t="n">
        <v>615</v>
      </c>
      <c r="D1482" s="0" t="s">
        <v>4107</v>
      </c>
      <c r="E1482" s="0" t="s">
        <v>3948</v>
      </c>
      <c r="F1482" s="0" t="s">
        <v>4108</v>
      </c>
    </row>
    <row r="1483" customFormat="false" ht="12.8" hidden="false" customHeight="false" outlineLevel="0" collapsed="false">
      <c r="A1483" s="0" t="n">
        <v>4</v>
      </c>
      <c r="B1483" s="0" t="n">
        <v>15</v>
      </c>
      <c r="C1483" s="0" t="n">
        <v>616</v>
      </c>
      <c r="D1483" s="0" t="s">
        <v>4107</v>
      </c>
      <c r="E1483" s="0" t="s">
        <v>3948</v>
      </c>
      <c r="F1483" s="0" t="s">
        <v>4109</v>
      </c>
    </row>
    <row r="1484" customFormat="false" ht="12.8" hidden="false" customHeight="false" outlineLevel="0" collapsed="false">
      <c r="A1484" s="0" t="n">
        <v>4</v>
      </c>
      <c r="B1484" s="0" t="n">
        <v>15</v>
      </c>
      <c r="C1484" s="0" t="n">
        <v>617</v>
      </c>
      <c r="D1484" s="0" t="s">
        <v>4107</v>
      </c>
      <c r="E1484" s="0" t="s">
        <v>3948</v>
      </c>
      <c r="F1484" s="0" t="s">
        <v>4039</v>
      </c>
    </row>
    <row r="1485" customFormat="false" ht="12.8" hidden="false" customHeight="false" outlineLevel="0" collapsed="false">
      <c r="A1485" s="0" t="n">
        <v>4</v>
      </c>
      <c r="B1485" s="0" t="n">
        <v>15</v>
      </c>
      <c r="C1485" s="0" t="n">
        <v>618</v>
      </c>
      <c r="D1485" s="0" t="s">
        <v>4107</v>
      </c>
      <c r="E1485" s="0" t="s">
        <v>3948</v>
      </c>
      <c r="F1485" s="0" t="s">
        <v>4148</v>
      </c>
    </row>
    <row r="1486" customFormat="false" ht="12.8" hidden="false" customHeight="false" outlineLevel="0" collapsed="false">
      <c r="A1486" s="0" t="n">
        <v>4</v>
      </c>
      <c r="B1486" s="0" t="n">
        <v>15</v>
      </c>
      <c r="C1486" s="0" t="n">
        <v>619</v>
      </c>
      <c r="D1486" s="0" t="s">
        <v>4107</v>
      </c>
      <c r="E1486" s="0" t="s">
        <v>3948</v>
      </c>
      <c r="F1486" s="0" t="s">
        <v>4111</v>
      </c>
    </row>
    <row r="1487" customFormat="false" ht="12.8" hidden="false" customHeight="false" outlineLevel="0" collapsed="false">
      <c r="A1487" s="0" t="n">
        <v>4</v>
      </c>
      <c r="B1487" s="0" t="n">
        <v>15</v>
      </c>
      <c r="C1487" s="0" t="n">
        <v>620</v>
      </c>
      <c r="D1487" s="0" t="s">
        <v>4107</v>
      </c>
      <c r="E1487" s="0" t="s">
        <v>3948</v>
      </c>
      <c r="F1487" s="0" t="s">
        <v>4112</v>
      </c>
    </row>
    <row r="1488" customFormat="false" ht="12.8" hidden="false" customHeight="false" outlineLevel="0" collapsed="false">
      <c r="A1488" s="0" t="n">
        <v>4</v>
      </c>
      <c r="B1488" s="0" t="n">
        <v>15</v>
      </c>
      <c r="C1488" s="0" t="n">
        <v>621</v>
      </c>
      <c r="D1488" s="0" t="s">
        <v>4107</v>
      </c>
      <c r="E1488" s="0" t="s">
        <v>3948</v>
      </c>
      <c r="F1488" s="0" t="s">
        <v>4113</v>
      </c>
    </row>
    <row r="1489" customFormat="false" ht="12.8" hidden="false" customHeight="false" outlineLevel="0" collapsed="false">
      <c r="A1489" s="0" t="n">
        <v>4</v>
      </c>
      <c r="B1489" s="0" t="n">
        <v>15</v>
      </c>
      <c r="C1489" s="0" t="n">
        <v>622</v>
      </c>
      <c r="D1489" s="0" t="s">
        <v>4107</v>
      </c>
      <c r="E1489" s="0" t="s">
        <v>3948</v>
      </c>
      <c r="F1489" s="0" t="s">
        <v>4114</v>
      </c>
    </row>
    <row r="1490" customFormat="false" ht="12.8" hidden="false" customHeight="false" outlineLevel="0" collapsed="false">
      <c r="A1490" s="0" t="n">
        <v>4</v>
      </c>
      <c r="B1490" s="0" t="n">
        <v>15</v>
      </c>
      <c r="C1490" s="0" t="n">
        <v>623</v>
      </c>
      <c r="D1490" s="0" t="s">
        <v>4107</v>
      </c>
      <c r="E1490" s="0" t="s">
        <v>3948</v>
      </c>
      <c r="F1490" s="0" t="s">
        <v>4115</v>
      </c>
    </row>
    <row r="1491" customFormat="false" ht="12.8" hidden="false" customHeight="false" outlineLevel="0" collapsed="false">
      <c r="A1491" s="0" t="n">
        <v>4</v>
      </c>
      <c r="B1491" s="0" t="n">
        <v>15</v>
      </c>
      <c r="C1491" s="0" t="n">
        <v>624</v>
      </c>
      <c r="D1491" s="0" t="s">
        <v>4107</v>
      </c>
      <c r="E1491" s="0" t="s">
        <v>3948</v>
      </c>
      <c r="F1491" s="0" t="s">
        <v>4117</v>
      </c>
    </row>
    <row r="1492" customFormat="false" ht="12.8" hidden="false" customHeight="false" outlineLevel="0" collapsed="false">
      <c r="A1492" s="0" t="n">
        <v>4</v>
      </c>
      <c r="B1492" s="0" t="n">
        <v>15</v>
      </c>
      <c r="C1492" s="0" t="n">
        <v>625</v>
      </c>
      <c r="D1492" s="0" t="s">
        <v>4107</v>
      </c>
      <c r="E1492" s="0" t="s">
        <v>3948</v>
      </c>
      <c r="F1492" s="0" t="s">
        <v>4119</v>
      </c>
    </row>
    <row r="1493" customFormat="false" ht="12.8" hidden="false" customHeight="false" outlineLevel="0" collapsed="false">
      <c r="A1493" s="0" t="n">
        <v>4</v>
      </c>
      <c r="B1493" s="0" t="n">
        <v>15</v>
      </c>
      <c r="C1493" s="0" t="n">
        <v>626</v>
      </c>
      <c r="D1493" s="0" t="s">
        <v>4107</v>
      </c>
      <c r="E1493" s="0" t="s">
        <v>3948</v>
      </c>
      <c r="F1493" s="0" t="s">
        <v>4120</v>
      </c>
    </row>
    <row r="1494" customFormat="false" ht="12.8" hidden="false" customHeight="false" outlineLevel="0" collapsed="false">
      <c r="A1494" s="0" t="n">
        <v>4</v>
      </c>
      <c r="B1494" s="0" t="n">
        <v>15</v>
      </c>
      <c r="C1494" s="0" t="n">
        <v>627</v>
      </c>
      <c r="D1494" s="0" t="s">
        <v>4107</v>
      </c>
      <c r="E1494" s="0" t="s">
        <v>3948</v>
      </c>
      <c r="F1494" s="0" t="s">
        <v>4149</v>
      </c>
    </row>
    <row r="1495" customFormat="false" ht="12.8" hidden="false" customHeight="false" outlineLevel="0" collapsed="false">
      <c r="A1495" s="0" t="n">
        <v>4</v>
      </c>
      <c r="B1495" s="0" t="n">
        <v>15</v>
      </c>
      <c r="C1495" s="0" t="n">
        <v>628</v>
      </c>
      <c r="D1495" s="0" t="s">
        <v>4107</v>
      </c>
      <c r="E1495" s="0" t="s">
        <v>3948</v>
      </c>
      <c r="F1495" s="0" t="s">
        <v>4121</v>
      </c>
    </row>
    <row r="1496" customFormat="false" ht="12.8" hidden="false" customHeight="false" outlineLevel="0" collapsed="false">
      <c r="A1496" s="0" t="n">
        <v>4</v>
      </c>
      <c r="B1496" s="0" t="n">
        <v>15</v>
      </c>
      <c r="C1496" s="0" t="n">
        <v>629</v>
      </c>
      <c r="D1496" s="0" t="s">
        <v>4107</v>
      </c>
      <c r="E1496" s="0" t="s">
        <v>3948</v>
      </c>
      <c r="F1496" s="0" t="s">
        <v>4122</v>
      </c>
    </row>
    <row r="1497" customFormat="false" ht="12.8" hidden="false" customHeight="false" outlineLevel="0" collapsed="false">
      <c r="A1497" s="0" t="n">
        <v>4</v>
      </c>
      <c r="B1497" s="0" t="n">
        <v>15</v>
      </c>
      <c r="C1497" s="0" t="n">
        <v>630</v>
      </c>
      <c r="D1497" s="0" t="s">
        <v>4107</v>
      </c>
      <c r="E1497" s="0" t="s">
        <v>3948</v>
      </c>
      <c r="F1497" s="0" t="s">
        <v>4123</v>
      </c>
    </row>
    <row r="1498" customFormat="false" ht="12.8" hidden="false" customHeight="false" outlineLevel="0" collapsed="false">
      <c r="A1498" s="0" t="n">
        <v>4</v>
      </c>
      <c r="B1498" s="0" t="n">
        <v>15</v>
      </c>
      <c r="C1498" s="0" t="n">
        <v>631</v>
      </c>
      <c r="D1498" s="0" t="s">
        <v>4107</v>
      </c>
      <c r="E1498" s="0" t="s">
        <v>3948</v>
      </c>
      <c r="F1498" s="0" t="s">
        <v>4124</v>
      </c>
    </row>
    <row r="1499" customFormat="false" ht="12.8" hidden="false" customHeight="false" outlineLevel="0" collapsed="false">
      <c r="A1499" s="0" t="n">
        <v>4</v>
      </c>
      <c r="B1499" s="0" t="n">
        <v>15</v>
      </c>
      <c r="C1499" s="0" t="n">
        <v>632</v>
      </c>
      <c r="D1499" s="0" t="s">
        <v>4107</v>
      </c>
      <c r="E1499" s="0" t="s">
        <v>3948</v>
      </c>
      <c r="F1499" s="0" t="s">
        <v>4125</v>
      </c>
    </row>
    <row r="1500" customFormat="false" ht="12.8" hidden="false" customHeight="false" outlineLevel="0" collapsed="false">
      <c r="A1500" s="0" t="n">
        <v>4</v>
      </c>
      <c r="B1500" s="0" t="n">
        <v>15</v>
      </c>
      <c r="C1500" s="0" t="n">
        <v>633</v>
      </c>
      <c r="D1500" s="0" t="s">
        <v>4107</v>
      </c>
      <c r="E1500" s="0" t="s">
        <v>3948</v>
      </c>
      <c r="F1500" s="0" t="s">
        <v>4125</v>
      </c>
    </row>
    <row r="1501" customFormat="false" ht="12.8" hidden="false" customHeight="false" outlineLevel="0" collapsed="false">
      <c r="A1501" s="0" t="n">
        <v>4</v>
      </c>
      <c r="B1501" s="0" t="n">
        <v>15</v>
      </c>
      <c r="C1501" s="0" t="n">
        <v>634</v>
      </c>
      <c r="D1501" s="0" t="s">
        <v>4107</v>
      </c>
      <c r="E1501" s="0" t="s">
        <v>3948</v>
      </c>
      <c r="F1501" s="0" t="s">
        <v>4126</v>
      </c>
    </row>
    <row r="1502" customFormat="false" ht="12.8" hidden="false" customHeight="false" outlineLevel="0" collapsed="false">
      <c r="A1502" s="0" t="n">
        <v>4</v>
      </c>
      <c r="B1502" s="0" t="n">
        <v>15</v>
      </c>
      <c r="C1502" s="0" t="n">
        <v>635</v>
      </c>
      <c r="D1502" s="0" t="s">
        <v>4107</v>
      </c>
      <c r="E1502" s="0" t="s">
        <v>3948</v>
      </c>
      <c r="F1502" s="0" t="s">
        <v>4127</v>
      </c>
    </row>
    <row r="1503" customFormat="false" ht="12.8" hidden="false" customHeight="false" outlineLevel="0" collapsed="false">
      <c r="A1503" s="0" t="n">
        <v>4</v>
      </c>
      <c r="B1503" s="0" t="n">
        <v>15</v>
      </c>
      <c r="C1503" s="0" t="n">
        <v>636</v>
      </c>
      <c r="D1503" s="0" t="s">
        <v>4107</v>
      </c>
      <c r="E1503" s="0" t="s">
        <v>3948</v>
      </c>
      <c r="F1503" s="0" t="s">
        <v>4128</v>
      </c>
    </row>
    <row r="1504" customFormat="false" ht="12.8" hidden="false" customHeight="false" outlineLevel="0" collapsed="false">
      <c r="A1504" s="0" t="n">
        <v>4</v>
      </c>
      <c r="B1504" s="0" t="n">
        <v>15</v>
      </c>
      <c r="C1504" s="0" t="n">
        <v>637</v>
      </c>
      <c r="D1504" s="0" t="s">
        <v>4107</v>
      </c>
      <c r="E1504" s="0" t="s">
        <v>3948</v>
      </c>
      <c r="F1504" s="0" t="s">
        <v>4152</v>
      </c>
    </row>
    <row r="1505" customFormat="false" ht="12.8" hidden="false" customHeight="false" outlineLevel="0" collapsed="false">
      <c r="A1505" s="0" t="n">
        <v>4</v>
      </c>
      <c r="B1505" s="0" t="n">
        <v>15</v>
      </c>
      <c r="C1505" s="0" t="n">
        <v>638</v>
      </c>
      <c r="D1505" s="0" t="s">
        <v>4107</v>
      </c>
      <c r="E1505" s="0" t="s">
        <v>3948</v>
      </c>
      <c r="F1505" s="0" t="s">
        <v>4129</v>
      </c>
    </row>
    <row r="1506" customFormat="false" ht="12.8" hidden="false" customHeight="false" outlineLevel="0" collapsed="false">
      <c r="A1506" s="0" t="n">
        <v>4</v>
      </c>
      <c r="B1506" s="0" t="n">
        <v>15</v>
      </c>
      <c r="C1506" s="0" t="n">
        <v>639</v>
      </c>
      <c r="D1506" s="0" t="s">
        <v>4107</v>
      </c>
      <c r="E1506" s="0" t="s">
        <v>3948</v>
      </c>
      <c r="F1506" s="0" t="s">
        <v>4130</v>
      </c>
    </row>
    <row r="1507" customFormat="false" ht="12.8" hidden="false" customHeight="false" outlineLevel="0" collapsed="false">
      <c r="A1507" s="0" t="n">
        <v>4</v>
      </c>
      <c r="B1507" s="0" t="n">
        <v>15</v>
      </c>
      <c r="C1507" s="0" t="n">
        <v>640</v>
      </c>
      <c r="D1507" s="0" t="s">
        <v>4107</v>
      </c>
      <c r="E1507" s="0" t="s">
        <v>3948</v>
      </c>
      <c r="F1507" s="0" t="s">
        <v>4131</v>
      </c>
    </row>
    <row r="1508" customFormat="false" ht="12.8" hidden="false" customHeight="false" outlineLevel="0" collapsed="false">
      <c r="A1508" s="0" t="n">
        <v>4</v>
      </c>
      <c r="B1508" s="0" t="n">
        <v>15</v>
      </c>
      <c r="C1508" s="0" t="n">
        <v>641</v>
      </c>
      <c r="D1508" s="0" t="s">
        <v>4107</v>
      </c>
      <c r="E1508" s="0" t="s">
        <v>3948</v>
      </c>
      <c r="F1508" s="0" t="s">
        <v>4086</v>
      </c>
    </row>
    <row r="1509" customFormat="false" ht="12.8" hidden="false" customHeight="false" outlineLevel="0" collapsed="false">
      <c r="A1509" s="0" t="n">
        <v>4</v>
      </c>
      <c r="B1509" s="0" t="n">
        <v>15</v>
      </c>
      <c r="C1509" s="0" t="n">
        <v>642</v>
      </c>
      <c r="D1509" s="0" t="s">
        <v>4107</v>
      </c>
      <c r="E1509" s="0" t="s">
        <v>3948</v>
      </c>
      <c r="F1509" s="0" t="s">
        <v>4132</v>
      </c>
    </row>
    <row r="1510" customFormat="false" ht="12.8" hidden="false" customHeight="false" outlineLevel="0" collapsed="false">
      <c r="A1510" s="0" t="n">
        <v>4</v>
      </c>
      <c r="B1510" s="0" t="n">
        <v>15</v>
      </c>
      <c r="C1510" s="0" t="n">
        <v>643</v>
      </c>
      <c r="D1510" s="0" t="s">
        <v>4107</v>
      </c>
      <c r="E1510" s="0" t="s">
        <v>3948</v>
      </c>
      <c r="F1510" s="0" t="s">
        <v>4133</v>
      </c>
    </row>
    <row r="1511" customFormat="false" ht="12.8" hidden="false" customHeight="false" outlineLevel="0" collapsed="false">
      <c r="A1511" s="0" t="n">
        <v>4</v>
      </c>
      <c r="B1511" s="0" t="n">
        <v>15</v>
      </c>
      <c r="C1511" s="0" t="n">
        <v>644</v>
      </c>
      <c r="D1511" s="0" t="s">
        <v>4107</v>
      </c>
      <c r="E1511" s="0" t="s">
        <v>3948</v>
      </c>
      <c r="F1511" s="0" t="s">
        <v>4134</v>
      </c>
    </row>
    <row r="1512" customFormat="false" ht="12.8" hidden="false" customHeight="false" outlineLevel="0" collapsed="false">
      <c r="A1512" s="0" t="n">
        <v>4</v>
      </c>
      <c r="B1512" s="0" t="n">
        <v>15</v>
      </c>
      <c r="C1512" s="0" t="n">
        <v>645</v>
      </c>
      <c r="D1512" s="0" t="s">
        <v>4107</v>
      </c>
      <c r="E1512" s="0" t="s">
        <v>3948</v>
      </c>
      <c r="F1512" s="0" t="s">
        <v>4135</v>
      </c>
    </row>
    <row r="1513" customFormat="false" ht="12.8" hidden="false" customHeight="false" outlineLevel="0" collapsed="false">
      <c r="A1513" s="0" t="n">
        <v>4</v>
      </c>
      <c r="B1513" s="0" t="n">
        <v>15</v>
      </c>
      <c r="C1513" s="0" t="n">
        <v>646</v>
      </c>
      <c r="D1513" s="0" t="s">
        <v>4107</v>
      </c>
      <c r="E1513" s="0" t="s">
        <v>3948</v>
      </c>
      <c r="F1513" s="0" t="s">
        <v>4136</v>
      </c>
    </row>
    <row r="1514" customFormat="false" ht="12.8" hidden="false" customHeight="false" outlineLevel="0" collapsed="false">
      <c r="A1514" s="0" t="n">
        <v>4</v>
      </c>
      <c r="B1514" s="0" t="n">
        <v>15</v>
      </c>
      <c r="C1514" s="0" t="n">
        <v>647</v>
      </c>
      <c r="D1514" s="0" t="s">
        <v>4107</v>
      </c>
      <c r="E1514" s="0" t="s">
        <v>3948</v>
      </c>
      <c r="F1514" s="0" t="s">
        <v>4138</v>
      </c>
    </row>
    <row r="1515" customFormat="false" ht="12.8" hidden="false" customHeight="false" outlineLevel="0" collapsed="false">
      <c r="A1515" s="0" t="n">
        <v>4</v>
      </c>
      <c r="B1515" s="0" t="n">
        <v>15</v>
      </c>
      <c r="C1515" s="0" t="n">
        <v>648</v>
      </c>
      <c r="D1515" s="0" t="s">
        <v>4107</v>
      </c>
      <c r="E1515" s="0" t="s">
        <v>3948</v>
      </c>
      <c r="F1515" s="0" t="s">
        <v>4139</v>
      </c>
    </row>
    <row r="1516" customFormat="false" ht="12.8" hidden="false" customHeight="false" outlineLevel="0" collapsed="false">
      <c r="A1516" s="0" t="n">
        <v>4</v>
      </c>
      <c r="B1516" s="0" t="n">
        <v>15</v>
      </c>
      <c r="C1516" s="0" t="n">
        <v>649</v>
      </c>
      <c r="D1516" s="0" t="s">
        <v>4107</v>
      </c>
      <c r="E1516" s="0" t="s">
        <v>3948</v>
      </c>
      <c r="F1516" s="0" t="s">
        <v>4140</v>
      </c>
    </row>
    <row r="1517" customFormat="false" ht="12.8" hidden="false" customHeight="false" outlineLevel="0" collapsed="false">
      <c r="A1517" s="0" t="n">
        <v>4</v>
      </c>
      <c r="B1517" s="0" t="n">
        <v>15</v>
      </c>
      <c r="C1517" s="0" t="n">
        <v>650</v>
      </c>
      <c r="D1517" s="0" t="s">
        <v>4107</v>
      </c>
      <c r="E1517" s="0" t="s">
        <v>3948</v>
      </c>
      <c r="F1517" s="0" t="s">
        <v>4141</v>
      </c>
    </row>
    <row r="1518" customFormat="false" ht="12.8" hidden="false" customHeight="false" outlineLevel="0" collapsed="false">
      <c r="A1518" s="0" t="n">
        <v>4</v>
      </c>
      <c r="B1518" s="0" t="n">
        <v>15</v>
      </c>
      <c r="C1518" s="0" t="n">
        <v>651</v>
      </c>
      <c r="D1518" s="0" t="s">
        <v>4107</v>
      </c>
      <c r="E1518" s="0" t="s">
        <v>3948</v>
      </c>
      <c r="F1518" s="0" t="s">
        <v>4142</v>
      </c>
    </row>
    <row r="1519" customFormat="false" ht="12.8" hidden="false" customHeight="false" outlineLevel="0" collapsed="false">
      <c r="A1519" s="0" t="n">
        <v>4</v>
      </c>
      <c r="B1519" s="0" t="n">
        <v>15</v>
      </c>
      <c r="C1519" s="0" t="n">
        <v>652</v>
      </c>
      <c r="D1519" s="0" t="s">
        <v>4107</v>
      </c>
      <c r="E1519" s="0" t="s">
        <v>3948</v>
      </c>
      <c r="F1519" s="0" t="s">
        <v>4143</v>
      </c>
    </row>
    <row r="1520" customFormat="false" ht="12.8" hidden="false" customHeight="false" outlineLevel="0" collapsed="false">
      <c r="A1520" s="0" t="n">
        <v>4</v>
      </c>
      <c r="B1520" s="0" t="n">
        <v>15</v>
      </c>
      <c r="C1520" s="0" t="n">
        <v>653</v>
      </c>
      <c r="D1520" s="0" t="s">
        <v>4107</v>
      </c>
      <c r="E1520" s="0" t="s">
        <v>3948</v>
      </c>
      <c r="F1520" s="0" t="s">
        <v>4144</v>
      </c>
    </row>
    <row r="1521" customFormat="false" ht="12.8" hidden="false" customHeight="false" outlineLevel="0" collapsed="false">
      <c r="A1521" s="0" t="n">
        <v>4</v>
      </c>
      <c r="B1521" s="0" t="n">
        <v>15</v>
      </c>
      <c r="C1521" s="0" t="n">
        <v>654</v>
      </c>
      <c r="D1521" s="0" t="s">
        <v>4107</v>
      </c>
      <c r="E1521" s="0" t="s">
        <v>3948</v>
      </c>
      <c r="F1521" s="0" t="s">
        <v>4147</v>
      </c>
    </row>
    <row r="1522" customFormat="false" ht="12.8" hidden="false" customHeight="false" outlineLevel="0" collapsed="false">
      <c r="A1522" s="0" t="n">
        <v>4</v>
      </c>
      <c r="B1522" s="0" t="n">
        <v>15</v>
      </c>
      <c r="C1522" s="0" t="n">
        <v>733</v>
      </c>
      <c r="D1522" s="0" t="s">
        <v>4107</v>
      </c>
      <c r="E1522" s="0" t="s">
        <v>3948</v>
      </c>
      <c r="F1522" s="0" t="s">
        <v>4108</v>
      </c>
    </row>
    <row r="1523" customFormat="false" ht="12.8" hidden="false" customHeight="false" outlineLevel="0" collapsed="false">
      <c r="A1523" s="0" t="n">
        <v>4</v>
      </c>
      <c r="B1523" s="0" t="n">
        <v>15</v>
      </c>
      <c r="C1523" s="0" t="n">
        <v>734</v>
      </c>
      <c r="D1523" s="0" t="s">
        <v>4107</v>
      </c>
      <c r="E1523" s="0" t="s">
        <v>3948</v>
      </c>
      <c r="F1523" s="0" t="s">
        <v>4109</v>
      </c>
    </row>
    <row r="1524" customFormat="false" ht="12.8" hidden="false" customHeight="false" outlineLevel="0" collapsed="false">
      <c r="A1524" s="0" t="n">
        <v>4</v>
      </c>
      <c r="B1524" s="0" t="n">
        <v>15</v>
      </c>
      <c r="C1524" s="0" t="n">
        <v>735</v>
      </c>
      <c r="D1524" s="0" t="s">
        <v>4107</v>
      </c>
      <c r="E1524" s="0" t="s">
        <v>3948</v>
      </c>
      <c r="F1524" s="0" t="s">
        <v>4039</v>
      </c>
    </row>
    <row r="1525" customFormat="false" ht="12.8" hidden="false" customHeight="false" outlineLevel="0" collapsed="false">
      <c r="A1525" s="0" t="n">
        <v>4</v>
      </c>
      <c r="B1525" s="0" t="n">
        <v>15</v>
      </c>
      <c r="C1525" s="0" t="n">
        <v>736</v>
      </c>
      <c r="D1525" s="0" t="s">
        <v>4107</v>
      </c>
      <c r="E1525" s="0" t="s">
        <v>3948</v>
      </c>
      <c r="F1525" s="0" t="s">
        <v>4112</v>
      </c>
    </row>
    <row r="1526" customFormat="false" ht="12.8" hidden="false" customHeight="false" outlineLevel="0" collapsed="false">
      <c r="A1526" s="0" t="n">
        <v>4</v>
      </c>
      <c r="B1526" s="0" t="n">
        <v>15</v>
      </c>
      <c r="C1526" s="0" t="n">
        <v>737</v>
      </c>
      <c r="D1526" s="0" t="s">
        <v>4107</v>
      </c>
      <c r="E1526" s="0" t="s">
        <v>3948</v>
      </c>
      <c r="F1526" s="0" t="s">
        <v>4113</v>
      </c>
    </row>
    <row r="1527" customFormat="false" ht="12.8" hidden="false" customHeight="false" outlineLevel="0" collapsed="false">
      <c r="A1527" s="0" t="n">
        <v>4</v>
      </c>
      <c r="B1527" s="0" t="n">
        <v>15</v>
      </c>
      <c r="C1527" s="0" t="n">
        <v>738</v>
      </c>
      <c r="D1527" s="0" t="s">
        <v>4107</v>
      </c>
      <c r="E1527" s="0" t="s">
        <v>3948</v>
      </c>
      <c r="F1527" s="0" t="s">
        <v>4114</v>
      </c>
    </row>
    <row r="1528" customFormat="false" ht="12.8" hidden="false" customHeight="false" outlineLevel="0" collapsed="false">
      <c r="A1528" s="0" t="n">
        <v>4</v>
      </c>
      <c r="B1528" s="0" t="n">
        <v>15</v>
      </c>
      <c r="C1528" s="0" t="n">
        <v>739</v>
      </c>
      <c r="D1528" s="0" t="s">
        <v>4107</v>
      </c>
      <c r="E1528" s="0" t="s">
        <v>3948</v>
      </c>
      <c r="F1528" s="0" t="s">
        <v>4115</v>
      </c>
    </row>
    <row r="1529" customFormat="false" ht="12.8" hidden="false" customHeight="false" outlineLevel="0" collapsed="false">
      <c r="A1529" s="0" t="n">
        <v>4</v>
      </c>
      <c r="B1529" s="0" t="n">
        <v>15</v>
      </c>
      <c r="C1529" s="0" t="n">
        <v>740</v>
      </c>
      <c r="D1529" s="0" t="s">
        <v>4107</v>
      </c>
      <c r="E1529" s="0" t="s">
        <v>3948</v>
      </c>
      <c r="F1529" s="0" t="s">
        <v>4116</v>
      </c>
    </row>
    <row r="1530" customFormat="false" ht="12.8" hidden="false" customHeight="false" outlineLevel="0" collapsed="false">
      <c r="A1530" s="0" t="n">
        <v>4</v>
      </c>
      <c r="B1530" s="0" t="n">
        <v>15</v>
      </c>
      <c r="C1530" s="0" t="n">
        <v>741</v>
      </c>
      <c r="D1530" s="0" t="s">
        <v>4107</v>
      </c>
      <c r="E1530" s="0" t="s">
        <v>3948</v>
      </c>
      <c r="F1530" s="0" t="s">
        <v>4117</v>
      </c>
    </row>
    <row r="1531" customFormat="false" ht="12.8" hidden="false" customHeight="false" outlineLevel="0" collapsed="false">
      <c r="A1531" s="0" t="n">
        <v>4</v>
      </c>
      <c r="B1531" s="0" t="n">
        <v>15</v>
      </c>
      <c r="C1531" s="0" t="n">
        <v>742</v>
      </c>
      <c r="D1531" s="0" t="s">
        <v>4107</v>
      </c>
      <c r="E1531" s="0" t="s">
        <v>3948</v>
      </c>
      <c r="F1531" s="0" t="s">
        <v>4119</v>
      </c>
    </row>
    <row r="1532" customFormat="false" ht="12.8" hidden="false" customHeight="false" outlineLevel="0" collapsed="false">
      <c r="A1532" s="0" t="n">
        <v>4</v>
      </c>
      <c r="B1532" s="0" t="n">
        <v>15</v>
      </c>
      <c r="C1532" s="0" t="n">
        <v>743</v>
      </c>
      <c r="D1532" s="0" t="s">
        <v>4107</v>
      </c>
      <c r="E1532" s="0" t="s">
        <v>3948</v>
      </c>
      <c r="F1532" s="0" t="s">
        <v>4120</v>
      </c>
    </row>
    <row r="1533" customFormat="false" ht="12.8" hidden="false" customHeight="false" outlineLevel="0" collapsed="false">
      <c r="A1533" s="0" t="n">
        <v>4</v>
      </c>
      <c r="B1533" s="0" t="n">
        <v>15</v>
      </c>
      <c r="C1533" s="0" t="n">
        <v>744</v>
      </c>
      <c r="D1533" s="0" t="s">
        <v>4107</v>
      </c>
      <c r="E1533" s="0" t="s">
        <v>3948</v>
      </c>
      <c r="F1533" s="0" t="s">
        <v>4121</v>
      </c>
    </row>
    <row r="1534" customFormat="false" ht="12.8" hidden="false" customHeight="false" outlineLevel="0" collapsed="false">
      <c r="A1534" s="0" t="n">
        <v>4</v>
      </c>
      <c r="B1534" s="0" t="n">
        <v>15</v>
      </c>
      <c r="C1534" s="0" t="n">
        <v>745</v>
      </c>
      <c r="D1534" s="0" t="s">
        <v>4107</v>
      </c>
      <c r="E1534" s="0" t="s">
        <v>3948</v>
      </c>
      <c r="F1534" s="0" t="s">
        <v>4122</v>
      </c>
    </row>
    <row r="1535" customFormat="false" ht="12.8" hidden="false" customHeight="false" outlineLevel="0" collapsed="false">
      <c r="A1535" s="0" t="n">
        <v>4</v>
      </c>
      <c r="B1535" s="0" t="n">
        <v>15</v>
      </c>
      <c r="C1535" s="0" t="n">
        <v>746</v>
      </c>
      <c r="D1535" s="0" t="s">
        <v>4107</v>
      </c>
      <c r="E1535" s="0" t="s">
        <v>3948</v>
      </c>
      <c r="F1535" s="0" t="s">
        <v>4123</v>
      </c>
    </row>
    <row r="1536" customFormat="false" ht="12.8" hidden="false" customHeight="false" outlineLevel="0" collapsed="false">
      <c r="A1536" s="0" t="n">
        <v>4</v>
      </c>
      <c r="B1536" s="0" t="n">
        <v>15</v>
      </c>
      <c r="C1536" s="0" t="n">
        <v>747</v>
      </c>
      <c r="D1536" s="0" t="s">
        <v>4107</v>
      </c>
      <c r="E1536" s="0" t="s">
        <v>3948</v>
      </c>
      <c r="F1536" s="0" t="s">
        <v>4124</v>
      </c>
    </row>
    <row r="1537" customFormat="false" ht="12.8" hidden="false" customHeight="false" outlineLevel="0" collapsed="false">
      <c r="A1537" s="0" t="n">
        <v>4</v>
      </c>
      <c r="B1537" s="0" t="n">
        <v>15</v>
      </c>
      <c r="C1537" s="0" t="n">
        <v>748</v>
      </c>
      <c r="D1537" s="0" t="s">
        <v>4107</v>
      </c>
      <c r="E1537" s="0" t="s">
        <v>3948</v>
      </c>
      <c r="F1537" s="0" t="s">
        <v>4125</v>
      </c>
    </row>
    <row r="1538" customFormat="false" ht="12.8" hidden="false" customHeight="false" outlineLevel="0" collapsed="false">
      <c r="A1538" s="0" t="n">
        <v>4</v>
      </c>
      <c r="B1538" s="0" t="n">
        <v>15</v>
      </c>
      <c r="C1538" s="0" t="n">
        <v>749</v>
      </c>
      <c r="D1538" s="0" t="s">
        <v>4107</v>
      </c>
      <c r="E1538" s="0" t="s">
        <v>3948</v>
      </c>
      <c r="F1538" s="0" t="s">
        <v>4126</v>
      </c>
    </row>
    <row r="1539" customFormat="false" ht="12.8" hidden="false" customHeight="false" outlineLevel="0" collapsed="false">
      <c r="A1539" s="0" t="n">
        <v>4</v>
      </c>
      <c r="B1539" s="0" t="n">
        <v>15</v>
      </c>
      <c r="C1539" s="0" t="n">
        <v>750</v>
      </c>
      <c r="D1539" s="0" t="s">
        <v>4107</v>
      </c>
      <c r="E1539" s="0" t="s">
        <v>3948</v>
      </c>
      <c r="F1539" s="0" t="s">
        <v>4128</v>
      </c>
    </row>
    <row r="1540" customFormat="false" ht="12.8" hidden="false" customHeight="false" outlineLevel="0" collapsed="false">
      <c r="A1540" s="0" t="n">
        <v>4</v>
      </c>
      <c r="B1540" s="0" t="n">
        <v>15</v>
      </c>
      <c r="C1540" s="0" t="n">
        <v>751</v>
      </c>
      <c r="D1540" s="0" t="s">
        <v>4107</v>
      </c>
      <c r="E1540" s="0" t="s">
        <v>3948</v>
      </c>
      <c r="F1540" s="0" t="s">
        <v>4129</v>
      </c>
    </row>
    <row r="1541" customFormat="false" ht="12.8" hidden="false" customHeight="false" outlineLevel="0" collapsed="false">
      <c r="A1541" s="0" t="n">
        <v>4</v>
      </c>
      <c r="B1541" s="0" t="n">
        <v>15</v>
      </c>
      <c r="C1541" s="0" t="n">
        <v>752</v>
      </c>
      <c r="D1541" s="0" t="s">
        <v>4107</v>
      </c>
      <c r="E1541" s="0" t="s">
        <v>3948</v>
      </c>
      <c r="F1541" s="0" t="s">
        <v>4130</v>
      </c>
    </row>
    <row r="1542" customFormat="false" ht="12.8" hidden="false" customHeight="false" outlineLevel="0" collapsed="false">
      <c r="A1542" s="0" t="n">
        <v>4</v>
      </c>
      <c r="B1542" s="0" t="n">
        <v>15</v>
      </c>
      <c r="C1542" s="0" t="n">
        <v>753</v>
      </c>
      <c r="D1542" s="0" t="s">
        <v>4107</v>
      </c>
      <c r="E1542" s="0" t="s">
        <v>3948</v>
      </c>
      <c r="F1542" s="0" t="s">
        <v>4151</v>
      </c>
    </row>
    <row r="1543" customFormat="false" ht="12.8" hidden="false" customHeight="false" outlineLevel="0" collapsed="false">
      <c r="A1543" s="0" t="n">
        <v>4</v>
      </c>
      <c r="B1543" s="0" t="n">
        <v>15</v>
      </c>
      <c r="C1543" s="0" t="n">
        <v>754</v>
      </c>
      <c r="D1543" s="0" t="s">
        <v>4107</v>
      </c>
      <c r="E1543" s="0" t="s">
        <v>3948</v>
      </c>
      <c r="F1543" s="0" t="s">
        <v>4131</v>
      </c>
    </row>
    <row r="1544" customFormat="false" ht="12.8" hidden="false" customHeight="false" outlineLevel="0" collapsed="false">
      <c r="A1544" s="0" t="n">
        <v>4</v>
      </c>
      <c r="B1544" s="0" t="n">
        <v>15</v>
      </c>
      <c r="C1544" s="0" t="n">
        <v>755</v>
      </c>
      <c r="D1544" s="0" t="s">
        <v>4107</v>
      </c>
      <c r="E1544" s="0" t="s">
        <v>3948</v>
      </c>
      <c r="F1544" s="0" t="s">
        <v>4086</v>
      </c>
    </row>
    <row r="1545" customFormat="false" ht="12.8" hidden="false" customHeight="false" outlineLevel="0" collapsed="false">
      <c r="A1545" s="0" t="n">
        <v>4</v>
      </c>
      <c r="B1545" s="0" t="n">
        <v>15</v>
      </c>
      <c r="C1545" s="0" t="n">
        <v>756</v>
      </c>
      <c r="D1545" s="0" t="s">
        <v>4107</v>
      </c>
      <c r="E1545" s="0" t="s">
        <v>3948</v>
      </c>
      <c r="F1545" s="0" t="s">
        <v>4132</v>
      </c>
    </row>
    <row r="1546" customFormat="false" ht="12.8" hidden="false" customHeight="false" outlineLevel="0" collapsed="false">
      <c r="A1546" s="0" t="n">
        <v>4</v>
      </c>
      <c r="B1546" s="0" t="n">
        <v>15</v>
      </c>
      <c r="C1546" s="0" t="n">
        <v>757</v>
      </c>
      <c r="D1546" s="0" t="s">
        <v>4107</v>
      </c>
      <c r="E1546" s="0" t="s">
        <v>3948</v>
      </c>
      <c r="F1546" s="0" t="s">
        <v>4133</v>
      </c>
    </row>
    <row r="1547" customFormat="false" ht="12.8" hidden="false" customHeight="false" outlineLevel="0" collapsed="false">
      <c r="A1547" s="0" t="n">
        <v>4</v>
      </c>
      <c r="B1547" s="0" t="n">
        <v>15</v>
      </c>
      <c r="C1547" s="0" t="n">
        <v>758</v>
      </c>
      <c r="D1547" s="0" t="s">
        <v>4107</v>
      </c>
      <c r="E1547" s="0" t="s">
        <v>3948</v>
      </c>
      <c r="F1547" s="0" t="s">
        <v>4134</v>
      </c>
    </row>
    <row r="1548" customFormat="false" ht="12.8" hidden="false" customHeight="false" outlineLevel="0" collapsed="false">
      <c r="A1548" s="0" t="n">
        <v>4</v>
      </c>
      <c r="B1548" s="0" t="n">
        <v>15</v>
      </c>
      <c r="C1548" s="0" t="n">
        <v>759</v>
      </c>
      <c r="D1548" s="0" t="s">
        <v>4107</v>
      </c>
      <c r="E1548" s="0" t="s">
        <v>3948</v>
      </c>
      <c r="F1548" s="0" t="s">
        <v>4135</v>
      </c>
    </row>
    <row r="1549" customFormat="false" ht="12.8" hidden="false" customHeight="false" outlineLevel="0" collapsed="false">
      <c r="A1549" s="0" t="n">
        <v>4</v>
      </c>
      <c r="B1549" s="0" t="n">
        <v>15</v>
      </c>
      <c r="C1549" s="0" t="n">
        <v>760</v>
      </c>
      <c r="D1549" s="0" t="s">
        <v>4107</v>
      </c>
      <c r="E1549" s="0" t="s">
        <v>3948</v>
      </c>
      <c r="F1549" s="0" t="s">
        <v>4136</v>
      </c>
    </row>
    <row r="1550" customFormat="false" ht="12.8" hidden="false" customHeight="false" outlineLevel="0" collapsed="false">
      <c r="A1550" s="0" t="n">
        <v>4</v>
      </c>
      <c r="B1550" s="0" t="n">
        <v>15</v>
      </c>
      <c r="C1550" s="0" t="n">
        <v>761</v>
      </c>
      <c r="D1550" s="0" t="s">
        <v>4107</v>
      </c>
      <c r="E1550" s="0" t="s">
        <v>3948</v>
      </c>
      <c r="F1550" s="0" t="s">
        <v>4137</v>
      </c>
    </row>
    <row r="1551" customFormat="false" ht="12.8" hidden="false" customHeight="false" outlineLevel="0" collapsed="false">
      <c r="A1551" s="0" t="n">
        <v>4</v>
      </c>
      <c r="B1551" s="0" t="n">
        <v>15</v>
      </c>
      <c r="C1551" s="0" t="n">
        <v>762</v>
      </c>
      <c r="D1551" s="0" t="s">
        <v>4107</v>
      </c>
      <c r="E1551" s="0" t="s">
        <v>3948</v>
      </c>
      <c r="F1551" s="0" t="s">
        <v>4138</v>
      </c>
    </row>
    <row r="1552" customFormat="false" ht="12.8" hidden="false" customHeight="false" outlineLevel="0" collapsed="false">
      <c r="A1552" s="0" t="n">
        <v>4</v>
      </c>
      <c r="B1552" s="0" t="n">
        <v>15</v>
      </c>
      <c r="C1552" s="0" t="n">
        <v>763</v>
      </c>
      <c r="D1552" s="0" t="s">
        <v>4107</v>
      </c>
      <c r="E1552" s="0" t="s">
        <v>3948</v>
      </c>
      <c r="F1552" s="0" t="s">
        <v>4139</v>
      </c>
    </row>
    <row r="1553" customFormat="false" ht="12.8" hidden="false" customHeight="false" outlineLevel="0" collapsed="false">
      <c r="A1553" s="0" t="n">
        <v>4</v>
      </c>
      <c r="B1553" s="0" t="n">
        <v>15</v>
      </c>
      <c r="C1553" s="0" t="n">
        <v>764</v>
      </c>
      <c r="D1553" s="0" t="s">
        <v>4107</v>
      </c>
      <c r="E1553" s="0" t="s">
        <v>3948</v>
      </c>
      <c r="F1553" s="0" t="s">
        <v>4140</v>
      </c>
    </row>
    <row r="1554" customFormat="false" ht="12.8" hidden="false" customHeight="false" outlineLevel="0" collapsed="false">
      <c r="A1554" s="0" t="n">
        <v>4</v>
      </c>
      <c r="B1554" s="0" t="n">
        <v>15</v>
      </c>
      <c r="C1554" s="0" t="n">
        <v>765</v>
      </c>
      <c r="D1554" s="0" t="s">
        <v>4107</v>
      </c>
      <c r="E1554" s="0" t="s">
        <v>3948</v>
      </c>
      <c r="F1554" s="0" t="s">
        <v>4141</v>
      </c>
    </row>
    <row r="1555" customFormat="false" ht="12.8" hidden="false" customHeight="false" outlineLevel="0" collapsed="false">
      <c r="A1555" s="0" t="n">
        <v>4</v>
      </c>
      <c r="B1555" s="0" t="n">
        <v>15</v>
      </c>
      <c r="C1555" s="0" t="n">
        <v>766</v>
      </c>
      <c r="D1555" s="0" t="s">
        <v>4107</v>
      </c>
      <c r="E1555" s="0" t="s">
        <v>3948</v>
      </c>
      <c r="F1555" s="0" t="s">
        <v>4142</v>
      </c>
    </row>
    <row r="1556" customFormat="false" ht="12.8" hidden="false" customHeight="false" outlineLevel="0" collapsed="false">
      <c r="A1556" s="0" t="n">
        <v>4</v>
      </c>
      <c r="B1556" s="0" t="n">
        <v>15</v>
      </c>
      <c r="C1556" s="0" t="n">
        <v>767</v>
      </c>
      <c r="D1556" s="0" t="s">
        <v>4107</v>
      </c>
      <c r="E1556" s="0" t="s">
        <v>3948</v>
      </c>
      <c r="F1556" s="0" t="s">
        <v>4144</v>
      </c>
    </row>
    <row r="1557" customFormat="false" ht="12.8" hidden="false" customHeight="false" outlineLevel="0" collapsed="false">
      <c r="A1557" s="0" t="n">
        <v>4</v>
      </c>
      <c r="B1557" s="0" t="n">
        <v>15</v>
      </c>
      <c r="C1557" s="0" t="n">
        <v>768</v>
      </c>
      <c r="D1557" s="0" t="s">
        <v>4107</v>
      </c>
      <c r="E1557" s="0" t="s">
        <v>3948</v>
      </c>
      <c r="F1557" s="0" t="s">
        <v>4145</v>
      </c>
    </row>
    <row r="1558" customFormat="false" ht="12.8" hidden="false" customHeight="false" outlineLevel="0" collapsed="false">
      <c r="A1558" s="0" t="n">
        <v>4</v>
      </c>
      <c r="B1558" s="0" t="n">
        <v>15</v>
      </c>
      <c r="C1558" s="0" t="n">
        <v>769</v>
      </c>
      <c r="D1558" s="0" t="s">
        <v>4107</v>
      </c>
      <c r="E1558" s="0" t="s">
        <v>3948</v>
      </c>
      <c r="F1558" s="0" t="s">
        <v>4147</v>
      </c>
    </row>
    <row r="1559" customFormat="false" ht="12.8" hidden="false" customHeight="false" outlineLevel="0" collapsed="false">
      <c r="A1559" s="0" t="n">
        <v>4</v>
      </c>
      <c r="B1559" s="0" t="n">
        <v>15</v>
      </c>
      <c r="C1559" s="0" t="n">
        <v>848</v>
      </c>
      <c r="D1559" s="0" t="s">
        <v>4107</v>
      </c>
      <c r="E1559" s="0" t="s">
        <v>3948</v>
      </c>
      <c r="F1559" s="0" t="s">
        <v>4108</v>
      </c>
    </row>
    <row r="1560" customFormat="false" ht="12.8" hidden="false" customHeight="false" outlineLevel="0" collapsed="false">
      <c r="A1560" s="0" t="n">
        <v>4</v>
      </c>
      <c r="B1560" s="0" t="n">
        <v>15</v>
      </c>
      <c r="C1560" s="0" t="n">
        <v>849</v>
      </c>
      <c r="D1560" s="0" t="s">
        <v>4107</v>
      </c>
      <c r="E1560" s="0" t="s">
        <v>3948</v>
      </c>
      <c r="F1560" s="0" t="s">
        <v>4109</v>
      </c>
    </row>
    <row r="1561" customFormat="false" ht="12.8" hidden="false" customHeight="false" outlineLevel="0" collapsed="false">
      <c r="A1561" s="0" t="n">
        <v>4</v>
      </c>
      <c r="B1561" s="0" t="n">
        <v>15</v>
      </c>
      <c r="C1561" s="0" t="n">
        <v>850</v>
      </c>
      <c r="D1561" s="0" t="s">
        <v>4107</v>
      </c>
      <c r="E1561" s="0" t="s">
        <v>3948</v>
      </c>
      <c r="F1561" s="0" t="s">
        <v>4039</v>
      </c>
    </row>
    <row r="1562" customFormat="false" ht="12.8" hidden="false" customHeight="false" outlineLevel="0" collapsed="false">
      <c r="A1562" s="0" t="n">
        <v>4</v>
      </c>
      <c r="B1562" s="0" t="n">
        <v>15</v>
      </c>
      <c r="C1562" s="0" t="n">
        <v>851</v>
      </c>
      <c r="D1562" s="0" t="s">
        <v>4107</v>
      </c>
      <c r="E1562" s="0" t="s">
        <v>3948</v>
      </c>
      <c r="F1562" s="0" t="s">
        <v>4110</v>
      </c>
    </row>
    <row r="1563" customFormat="false" ht="12.8" hidden="false" customHeight="false" outlineLevel="0" collapsed="false">
      <c r="A1563" s="0" t="n">
        <v>4</v>
      </c>
      <c r="B1563" s="0" t="n">
        <v>15</v>
      </c>
      <c r="C1563" s="0" t="n">
        <v>852</v>
      </c>
      <c r="D1563" s="0" t="s">
        <v>4107</v>
      </c>
      <c r="E1563" s="0" t="s">
        <v>3948</v>
      </c>
      <c r="F1563" s="0" t="s">
        <v>4148</v>
      </c>
    </row>
    <row r="1564" customFormat="false" ht="12.8" hidden="false" customHeight="false" outlineLevel="0" collapsed="false">
      <c r="A1564" s="0" t="n">
        <v>4</v>
      </c>
      <c r="B1564" s="0" t="n">
        <v>15</v>
      </c>
      <c r="C1564" s="0" t="n">
        <v>853</v>
      </c>
      <c r="D1564" s="0" t="s">
        <v>4107</v>
      </c>
      <c r="E1564" s="0" t="s">
        <v>3948</v>
      </c>
      <c r="F1564" s="0" t="s">
        <v>4112</v>
      </c>
    </row>
    <row r="1565" customFormat="false" ht="12.8" hidden="false" customHeight="false" outlineLevel="0" collapsed="false">
      <c r="A1565" s="0" t="n">
        <v>4</v>
      </c>
      <c r="B1565" s="0" t="n">
        <v>15</v>
      </c>
      <c r="C1565" s="0" t="n">
        <v>854</v>
      </c>
      <c r="D1565" s="0" t="s">
        <v>4107</v>
      </c>
      <c r="E1565" s="0" t="s">
        <v>3948</v>
      </c>
      <c r="F1565" s="0" t="s">
        <v>4113</v>
      </c>
    </row>
    <row r="1566" customFormat="false" ht="12.8" hidden="false" customHeight="false" outlineLevel="0" collapsed="false">
      <c r="A1566" s="0" t="n">
        <v>4</v>
      </c>
      <c r="B1566" s="0" t="n">
        <v>15</v>
      </c>
      <c r="C1566" s="0" t="n">
        <v>855</v>
      </c>
      <c r="D1566" s="0" t="s">
        <v>4107</v>
      </c>
      <c r="E1566" s="0" t="s">
        <v>3948</v>
      </c>
      <c r="F1566" s="0" t="s">
        <v>4114</v>
      </c>
    </row>
    <row r="1567" customFormat="false" ht="12.8" hidden="false" customHeight="false" outlineLevel="0" collapsed="false">
      <c r="A1567" s="0" t="n">
        <v>4</v>
      </c>
      <c r="B1567" s="0" t="n">
        <v>15</v>
      </c>
      <c r="C1567" s="0" t="n">
        <v>856</v>
      </c>
      <c r="D1567" s="0" t="s">
        <v>4107</v>
      </c>
      <c r="E1567" s="0" t="s">
        <v>3948</v>
      </c>
      <c r="F1567" s="0" t="s">
        <v>4115</v>
      </c>
    </row>
    <row r="1568" customFormat="false" ht="12.8" hidden="false" customHeight="false" outlineLevel="0" collapsed="false">
      <c r="A1568" s="0" t="n">
        <v>4</v>
      </c>
      <c r="B1568" s="0" t="n">
        <v>15</v>
      </c>
      <c r="C1568" s="0" t="n">
        <v>857</v>
      </c>
      <c r="D1568" s="0" t="s">
        <v>4107</v>
      </c>
      <c r="E1568" s="0" t="s">
        <v>3948</v>
      </c>
      <c r="F1568" s="0" t="s">
        <v>4117</v>
      </c>
    </row>
    <row r="1569" customFormat="false" ht="12.8" hidden="false" customHeight="false" outlineLevel="0" collapsed="false">
      <c r="A1569" s="0" t="n">
        <v>4</v>
      </c>
      <c r="B1569" s="0" t="n">
        <v>15</v>
      </c>
      <c r="C1569" s="0" t="n">
        <v>858</v>
      </c>
      <c r="D1569" s="0" t="s">
        <v>4107</v>
      </c>
      <c r="E1569" s="0" t="s">
        <v>3948</v>
      </c>
      <c r="F1569" s="0" t="s">
        <v>4119</v>
      </c>
    </row>
    <row r="1570" customFormat="false" ht="12.8" hidden="false" customHeight="false" outlineLevel="0" collapsed="false">
      <c r="A1570" s="0" t="n">
        <v>4</v>
      </c>
      <c r="B1570" s="0" t="n">
        <v>15</v>
      </c>
      <c r="C1570" s="0" t="n">
        <v>859</v>
      </c>
      <c r="D1570" s="0" t="s">
        <v>4107</v>
      </c>
      <c r="E1570" s="0" t="s">
        <v>3948</v>
      </c>
      <c r="F1570" s="0" t="s">
        <v>4120</v>
      </c>
    </row>
    <row r="1571" customFormat="false" ht="12.8" hidden="false" customHeight="false" outlineLevel="0" collapsed="false">
      <c r="A1571" s="0" t="n">
        <v>4</v>
      </c>
      <c r="B1571" s="0" t="n">
        <v>15</v>
      </c>
      <c r="C1571" s="0" t="n">
        <v>860</v>
      </c>
      <c r="D1571" s="0" t="s">
        <v>4107</v>
      </c>
      <c r="E1571" s="0" t="s">
        <v>3948</v>
      </c>
      <c r="F1571" s="0" t="s">
        <v>4153</v>
      </c>
    </row>
    <row r="1572" customFormat="false" ht="12.8" hidden="false" customHeight="false" outlineLevel="0" collapsed="false">
      <c r="A1572" s="0" t="n">
        <v>4</v>
      </c>
      <c r="B1572" s="0" t="n">
        <v>15</v>
      </c>
      <c r="C1572" s="0" t="n">
        <v>861</v>
      </c>
      <c r="D1572" s="0" t="s">
        <v>4107</v>
      </c>
      <c r="E1572" s="0" t="s">
        <v>3948</v>
      </c>
      <c r="F1572" s="0" t="s">
        <v>4122</v>
      </c>
    </row>
    <row r="1573" customFormat="false" ht="12.8" hidden="false" customHeight="false" outlineLevel="0" collapsed="false">
      <c r="A1573" s="0" t="n">
        <v>4</v>
      </c>
      <c r="B1573" s="0" t="n">
        <v>15</v>
      </c>
      <c r="C1573" s="0" t="n">
        <v>862</v>
      </c>
      <c r="D1573" s="0" t="s">
        <v>4107</v>
      </c>
      <c r="E1573" s="0" t="s">
        <v>3948</v>
      </c>
      <c r="F1573" s="0" t="s">
        <v>4123</v>
      </c>
    </row>
    <row r="1574" customFormat="false" ht="12.8" hidden="false" customHeight="false" outlineLevel="0" collapsed="false">
      <c r="A1574" s="0" t="n">
        <v>4</v>
      </c>
      <c r="B1574" s="0" t="n">
        <v>15</v>
      </c>
      <c r="C1574" s="0" t="n">
        <v>863</v>
      </c>
      <c r="D1574" s="0" t="s">
        <v>4107</v>
      </c>
      <c r="E1574" s="0" t="s">
        <v>3948</v>
      </c>
      <c r="F1574" s="0" t="s">
        <v>4124</v>
      </c>
    </row>
    <row r="1575" customFormat="false" ht="12.8" hidden="false" customHeight="false" outlineLevel="0" collapsed="false">
      <c r="A1575" s="0" t="n">
        <v>4</v>
      </c>
      <c r="B1575" s="0" t="n">
        <v>15</v>
      </c>
      <c r="C1575" s="0" t="n">
        <v>864</v>
      </c>
      <c r="D1575" s="0" t="s">
        <v>4107</v>
      </c>
      <c r="E1575" s="0" t="s">
        <v>3948</v>
      </c>
      <c r="F1575" s="0" t="s">
        <v>4125</v>
      </c>
    </row>
    <row r="1576" customFormat="false" ht="12.8" hidden="false" customHeight="false" outlineLevel="0" collapsed="false">
      <c r="A1576" s="0" t="n">
        <v>4</v>
      </c>
      <c r="B1576" s="0" t="n">
        <v>15</v>
      </c>
      <c r="C1576" s="0" t="n">
        <v>865</v>
      </c>
      <c r="D1576" s="0" t="s">
        <v>4107</v>
      </c>
      <c r="E1576" s="0" t="s">
        <v>3948</v>
      </c>
      <c r="F1576" s="0" t="s">
        <v>4125</v>
      </c>
    </row>
    <row r="1577" customFormat="false" ht="12.8" hidden="false" customHeight="false" outlineLevel="0" collapsed="false">
      <c r="A1577" s="0" t="n">
        <v>4</v>
      </c>
      <c r="B1577" s="0" t="n">
        <v>15</v>
      </c>
      <c r="C1577" s="0" t="n">
        <v>866</v>
      </c>
      <c r="D1577" s="0" t="s">
        <v>4107</v>
      </c>
      <c r="E1577" s="0" t="s">
        <v>3948</v>
      </c>
      <c r="F1577" s="0" t="s">
        <v>4126</v>
      </c>
    </row>
    <row r="1578" customFormat="false" ht="12.8" hidden="false" customHeight="false" outlineLevel="0" collapsed="false">
      <c r="A1578" s="0" t="n">
        <v>4</v>
      </c>
      <c r="B1578" s="0" t="n">
        <v>15</v>
      </c>
      <c r="C1578" s="0" t="n">
        <v>867</v>
      </c>
      <c r="D1578" s="0" t="s">
        <v>4107</v>
      </c>
      <c r="E1578" s="0" t="s">
        <v>3948</v>
      </c>
      <c r="F1578" s="0" t="s">
        <v>4127</v>
      </c>
    </row>
    <row r="1579" customFormat="false" ht="12.8" hidden="false" customHeight="false" outlineLevel="0" collapsed="false">
      <c r="A1579" s="0" t="n">
        <v>4</v>
      </c>
      <c r="B1579" s="0" t="n">
        <v>15</v>
      </c>
      <c r="C1579" s="0" t="n">
        <v>868</v>
      </c>
      <c r="D1579" s="0" t="s">
        <v>4107</v>
      </c>
      <c r="E1579" s="0" t="s">
        <v>3948</v>
      </c>
      <c r="F1579" s="0" t="s">
        <v>4128</v>
      </c>
    </row>
    <row r="1580" customFormat="false" ht="12.8" hidden="false" customHeight="false" outlineLevel="0" collapsed="false">
      <c r="A1580" s="0" t="n">
        <v>4</v>
      </c>
      <c r="B1580" s="0" t="n">
        <v>15</v>
      </c>
      <c r="C1580" s="0" t="n">
        <v>869</v>
      </c>
      <c r="D1580" s="0" t="s">
        <v>4107</v>
      </c>
      <c r="E1580" s="0" t="s">
        <v>3948</v>
      </c>
      <c r="F1580" s="0" t="s">
        <v>4152</v>
      </c>
    </row>
    <row r="1581" customFormat="false" ht="12.8" hidden="false" customHeight="false" outlineLevel="0" collapsed="false">
      <c r="A1581" s="0" t="n">
        <v>4</v>
      </c>
      <c r="B1581" s="0" t="n">
        <v>15</v>
      </c>
      <c r="C1581" s="0" t="n">
        <v>870</v>
      </c>
      <c r="D1581" s="0" t="s">
        <v>4107</v>
      </c>
      <c r="E1581" s="0" t="s">
        <v>3948</v>
      </c>
      <c r="F1581" s="0" t="s">
        <v>4129</v>
      </c>
    </row>
    <row r="1582" customFormat="false" ht="12.8" hidden="false" customHeight="false" outlineLevel="0" collapsed="false">
      <c r="A1582" s="0" t="n">
        <v>4</v>
      </c>
      <c r="B1582" s="0" t="n">
        <v>15</v>
      </c>
      <c r="C1582" s="0" t="n">
        <v>871</v>
      </c>
      <c r="D1582" s="0" t="s">
        <v>4107</v>
      </c>
      <c r="E1582" s="0" t="s">
        <v>3948</v>
      </c>
      <c r="F1582" s="0" t="s">
        <v>4130</v>
      </c>
    </row>
    <row r="1583" customFormat="false" ht="12.8" hidden="false" customHeight="false" outlineLevel="0" collapsed="false">
      <c r="A1583" s="0" t="n">
        <v>4</v>
      </c>
      <c r="B1583" s="0" t="n">
        <v>15</v>
      </c>
      <c r="C1583" s="0" t="n">
        <v>872</v>
      </c>
      <c r="D1583" s="0" t="s">
        <v>4107</v>
      </c>
      <c r="E1583" s="0" t="s">
        <v>3948</v>
      </c>
      <c r="F1583" s="0" t="s">
        <v>4151</v>
      </c>
    </row>
    <row r="1584" customFormat="false" ht="12.8" hidden="false" customHeight="false" outlineLevel="0" collapsed="false">
      <c r="A1584" s="0" t="n">
        <v>4</v>
      </c>
      <c r="B1584" s="0" t="n">
        <v>15</v>
      </c>
      <c r="C1584" s="0" t="n">
        <v>873</v>
      </c>
      <c r="D1584" s="0" t="s">
        <v>4107</v>
      </c>
      <c r="E1584" s="0" t="s">
        <v>3948</v>
      </c>
      <c r="F1584" s="0" t="s">
        <v>4086</v>
      </c>
    </row>
    <row r="1585" customFormat="false" ht="12.8" hidden="false" customHeight="false" outlineLevel="0" collapsed="false">
      <c r="A1585" s="0" t="n">
        <v>4</v>
      </c>
      <c r="B1585" s="0" t="n">
        <v>15</v>
      </c>
      <c r="C1585" s="0" t="n">
        <v>874</v>
      </c>
      <c r="D1585" s="0" t="s">
        <v>4107</v>
      </c>
      <c r="E1585" s="0" t="s">
        <v>3948</v>
      </c>
      <c r="F1585" s="0" t="s">
        <v>4132</v>
      </c>
    </row>
    <row r="1586" customFormat="false" ht="12.8" hidden="false" customHeight="false" outlineLevel="0" collapsed="false">
      <c r="A1586" s="0" t="n">
        <v>4</v>
      </c>
      <c r="B1586" s="0" t="n">
        <v>15</v>
      </c>
      <c r="C1586" s="0" t="n">
        <v>875</v>
      </c>
      <c r="D1586" s="0" t="s">
        <v>4107</v>
      </c>
      <c r="E1586" s="0" t="s">
        <v>3948</v>
      </c>
      <c r="F1586" s="0" t="s">
        <v>4133</v>
      </c>
    </row>
    <row r="1587" customFormat="false" ht="12.8" hidden="false" customHeight="false" outlineLevel="0" collapsed="false">
      <c r="A1587" s="0" t="n">
        <v>4</v>
      </c>
      <c r="B1587" s="0" t="n">
        <v>15</v>
      </c>
      <c r="C1587" s="0" t="n">
        <v>876</v>
      </c>
      <c r="D1587" s="0" t="s">
        <v>4107</v>
      </c>
      <c r="E1587" s="0" t="s">
        <v>3948</v>
      </c>
      <c r="F1587" s="0" t="s">
        <v>4134</v>
      </c>
    </row>
    <row r="1588" customFormat="false" ht="12.8" hidden="false" customHeight="false" outlineLevel="0" collapsed="false">
      <c r="A1588" s="0" t="n">
        <v>4</v>
      </c>
      <c r="B1588" s="0" t="n">
        <v>15</v>
      </c>
      <c r="C1588" s="0" t="n">
        <v>877</v>
      </c>
      <c r="D1588" s="0" t="s">
        <v>4107</v>
      </c>
      <c r="E1588" s="0" t="s">
        <v>3948</v>
      </c>
      <c r="F1588" s="0" t="s">
        <v>4135</v>
      </c>
    </row>
    <row r="1589" customFormat="false" ht="12.8" hidden="false" customHeight="false" outlineLevel="0" collapsed="false">
      <c r="A1589" s="0" t="n">
        <v>4</v>
      </c>
      <c r="B1589" s="0" t="n">
        <v>15</v>
      </c>
      <c r="C1589" s="0" t="n">
        <v>878</v>
      </c>
      <c r="D1589" s="0" t="s">
        <v>4107</v>
      </c>
      <c r="E1589" s="0" t="s">
        <v>3948</v>
      </c>
      <c r="F1589" s="0" t="s">
        <v>4136</v>
      </c>
    </row>
    <row r="1590" customFormat="false" ht="12.8" hidden="false" customHeight="false" outlineLevel="0" collapsed="false">
      <c r="A1590" s="0" t="n">
        <v>4</v>
      </c>
      <c r="B1590" s="0" t="n">
        <v>15</v>
      </c>
      <c r="C1590" s="0" t="n">
        <v>879</v>
      </c>
      <c r="D1590" s="0" t="s">
        <v>4107</v>
      </c>
      <c r="E1590" s="0" t="s">
        <v>3948</v>
      </c>
      <c r="F1590" s="0" t="s">
        <v>4137</v>
      </c>
    </row>
    <row r="1591" customFormat="false" ht="12.8" hidden="false" customHeight="false" outlineLevel="0" collapsed="false">
      <c r="A1591" s="0" t="n">
        <v>4</v>
      </c>
      <c r="B1591" s="0" t="n">
        <v>15</v>
      </c>
      <c r="C1591" s="0" t="n">
        <v>880</v>
      </c>
      <c r="D1591" s="0" t="s">
        <v>4107</v>
      </c>
      <c r="E1591" s="0" t="s">
        <v>3948</v>
      </c>
      <c r="F1591" s="0" t="s">
        <v>4139</v>
      </c>
    </row>
    <row r="1592" customFormat="false" ht="12.8" hidden="false" customHeight="false" outlineLevel="0" collapsed="false">
      <c r="A1592" s="0" t="n">
        <v>4</v>
      </c>
      <c r="B1592" s="0" t="n">
        <v>15</v>
      </c>
      <c r="C1592" s="0" t="n">
        <v>881</v>
      </c>
      <c r="D1592" s="0" t="s">
        <v>4107</v>
      </c>
      <c r="E1592" s="0" t="s">
        <v>3948</v>
      </c>
      <c r="F1592" s="0" t="s">
        <v>4140</v>
      </c>
    </row>
    <row r="1593" customFormat="false" ht="12.8" hidden="false" customHeight="false" outlineLevel="0" collapsed="false">
      <c r="A1593" s="0" t="n">
        <v>4</v>
      </c>
      <c r="B1593" s="0" t="n">
        <v>15</v>
      </c>
      <c r="C1593" s="0" t="n">
        <v>882</v>
      </c>
      <c r="D1593" s="0" t="s">
        <v>4107</v>
      </c>
      <c r="E1593" s="0" t="s">
        <v>3948</v>
      </c>
      <c r="F1593" s="0" t="s">
        <v>4141</v>
      </c>
    </row>
    <row r="1594" customFormat="false" ht="12.8" hidden="false" customHeight="false" outlineLevel="0" collapsed="false">
      <c r="A1594" s="0" t="n">
        <v>4</v>
      </c>
      <c r="B1594" s="0" t="n">
        <v>15</v>
      </c>
      <c r="C1594" s="0" t="n">
        <v>883</v>
      </c>
      <c r="D1594" s="0" t="s">
        <v>4107</v>
      </c>
      <c r="E1594" s="0" t="s">
        <v>3948</v>
      </c>
      <c r="F1594" s="0" t="s">
        <v>4142</v>
      </c>
    </row>
    <row r="1595" customFormat="false" ht="12.8" hidden="false" customHeight="false" outlineLevel="0" collapsed="false">
      <c r="A1595" s="0" t="n">
        <v>4</v>
      </c>
      <c r="B1595" s="0" t="n">
        <v>15</v>
      </c>
      <c r="C1595" s="0" t="n">
        <v>884</v>
      </c>
      <c r="D1595" s="0" t="s">
        <v>4107</v>
      </c>
      <c r="E1595" s="0" t="s">
        <v>3948</v>
      </c>
      <c r="F1595" s="0" t="s">
        <v>4143</v>
      </c>
    </row>
    <row r="1596" customFormat="false" ht="12.8" hidden="false" customHeight="false" outlineLevel="0" collapsed="false">
      <c r="A1596" s="0" t="n">
        <v>4</v>
      </c>
      <c r="B1596" s="0" t="n">
        <v>15</v>
      </c>
      <c r="C1596" s="0" t="n">
        <v>885</v>
      </c>
      <c r="D1596" s="0" t="s">
        <v>4107</v>
      </c>
      <c r="E1596" s="0" t="s">
        <v>3948</v>
      </c>
      <c r="F1596" s="0" t="s">
        <v>4144</v>
      </c>
    </row>
    <row r="1597" customFormat="false" ht="12.8" hidden="false" customHeight="false" outlineLevel="0" collapsed="false">
      <c r="A1597" s="0" t="n">
        <v>4</v>
      </c>
      <c r="B1597" s="0" t="n">
        <v>15</v>
      </c>
      <c r="C1597" s="0" t="n">
        <v>886</v>
      </c>
      <c r="D1597" s="0" t="s">
        <v>4107</v>
      </c>
      <c r="E1597" s="0" t="s">
        <v>3948</v>
      </c>
      <c r="F1597" s="0" t="s">
        <v>4154</v>
      </c>
    </row>
    <row r="1598" customFormat="false" ht="12.8" hidden="false" customHeight="false" outlineLevel="0" collapsed="false">
      <c r="A1598" s="0" t="n">
        <v>4</v>
      </c>
      <c r="B1598" s="0" t="n">
        <v>15</v>
      </c>
      <c r="C1598" s="0" t="n">
        <v>942</v>
      </c>
      <c r="D1598" s="0" t="s">
        <v>4107</v>
      </c>
      <c r="E1598" s="0" t="s">
        <v>3948</v>
      </c>
      <c r="F1598" s="0" t="s">
        <v>4148</v>
      </c>
    </row>
    <row r="1599" customFormat="false" ht="12.8" hidden="false" customHeight="false" outlineLevel="0" collapsed="false">
      <c r="A1599" s="0" t="n">
        <v>4</v>
      </c>
      <c r="B1599" s="0" t="n">
        <v>15</v>
      </c>
      <c r="C1599" s="0" t="n">
        <v>943</v>
      </c>
      <c r="D1599" s="0" t="s">
        <v>4107</v>
      </c>
      <c r="E1599" s="0" t="s">
        <v>3948</v>
      </c>
      <c r="F1599" s="0" t="s">
        <v>4111</v>
      </c>
    </row>
    <row r="1600" customFormat="false" ht="12.8" hidden="false" customHeight="false" outlineLevel="0" collapsed="false">
      <c r="A1600" s="0" t="n">
        <v>4</v>
      </c>
      <c r="B1600" s="0" t="n">
        <v>15</v>
      </c>
      <c r="C1600" s="0" t="n">
        <v>944</v>
      </c>
      <c r="D1600" s="0" t="s">
        <v>4107</v>
      </c>
      <c r="E1600" s="0" t="s">
        <v>3948</v>
      </c>
      <c r="F1600" s="0" t="s">
        <v>4116</v>
      </c>
    </row>
    <row r="1601" customFormat="false" ht="12.8" hidden="false" customHeight="false" outlineLevel="0" collapsed="false">
      <c r="A1601" s="0" t="n">
        <v>4</v>
      </c>
      <c r="B1601" s="0" t="n">
        <v>15</v>
      </c>
      <c r="C1601" s="0" t="n">
        <v>945</v>
      </c>
      <c r="D1601" s="0" t="s">
        <v>4107</v>
      </c>
      <c r="E1601" s="0" t="s">
        <v>3948</v>
      </c>
      <c r="F1601" s="0" t="s">
        <v>4149</v>
      </c>
    </row>
    <row r="1602" customFormat="false" ht="12.8" hidden="false" customHeight="false" outlineLevel="0" collapsed="false">
      <c r="A1602" s="0" t="n">
        <v>4</v>
      </c>
      <c r="B1602" s="0" t="n">
        <v>15</v>
      </c>
      <c r="C1602" s="0" t="n">
        <v>946</v>
      </c>
      <c r="D1602" s="0" t="s">
        <v>4107</v>
      </c>
      <c r="E1602" s="0" t="s">
        <v>3948</v>
      </c>
      <c r="F1602" s="0" t="s">
        <v>4121</v>
      </c>
    </row>
    <row r="1603" customFormat="false" ht="12.8" hidden="false" customHeight="false" outlineLevel="0" collapsed="false">
      <c r="A1603" s="0" t="n">
        <v>4</v>
      </c>
      <c r="B1603" s="0" t="n">
        <v>15</v>
      </c>
      <c r="C1603" s="0" t="n">
        <v>948</v>
      </c>
      <c r="D1603" s="0" t="s">
        <v>4107</v>
      </c>
      <c r="E1603" s="0" t="s">
        <v>3948</v>
      </c>
      <c r="F1603" s="0" t="s">
        <v>4137</v>
      </c>
    </row>
    <row r="1604" customFormat="false" ht="12.8" hidden="false" customHeight="false" outlineLevel="0" collapsed="false">
      <c r="A1604" s="0" t="n">
        <v>4</v>
      </c>
      <c r="B1604" s="0" t="n">
        <v>15</v>
      </c>
      <c r="C1604" s="0" t="n">
        <v>949</v>
      </c>
      <c r="D1604" s="0" t="s">
        <v>4107</v>
      </c>
      <c r="E1604" s="0" t="s">
        <v>3948</v>
      </c>
      <c r="F1604" s="0" t="s">
        <v>4138</v>
      </c>
    </row>
    <row r="1605" customFormat="false" ht="12.8" hidden="false" customHeight="false" outlineLevel="0" collapsed="false">
      <c r="A1605" s="0" t="n">
        <v>4</v>
      </c>
      <c r="B1605" s="0" t="n">
        <v>15</v>
      </c>
      <c r="C1605" s="0" t="n">
        <v>950</v>
      </c>
      <c r="D1605" s="0" t="s">
        <v>4107</v>
      </c>
      <c r="E1605" s="0" t="s">
        <v>3948</v>
      </c>
      <c r="F1605" s="0" t="s">
        <v>4145</v>
      </c>
    </row>
    <row r="1606" customFormat="false" ht="12.8" hidden="false" customHeight="false" outlineLevel="0" collapsed="false">
      <c r="A1606" s="0" t="n">
        <v>4</v>
      </c>
      <c r="B1606" s="0" t="n">
        <v>15</v>
      </c>
      <c r="C1606" s="0" t="n">
        <v>951</v>
      </c>
      <c r="D1606" s="0" t="s">
        <v>4107</v>
      </c>
      <c r="E1606" s="0" t="s">
        <v>3948</v>
      </c>
      <c r="F1606" s="0" t="s">
        <v>4146</v>
      </c>
    </row>
    <row r="1607" customFormat="false" ht="12.8" hidden="false" customHeight="false" outlineLevel="0" collapsed="false">
      <c r="A1607" s="0" t="n">
        <v>4</v>
      </c>
      <c r="B1607" s="0" t="n">
        <v>15</v>
      </c>
      <c r="C1607" s="0" t="n">
        <v>952</v>
      </c>
      <c r="D1607" s="0" t="s">
        <v>4107</v>
      </c>
      <c r="E1607" s="0" t="s">
        <v>3948</v>
      </c>
      <c r="F1607" s="0" t="s">
        <v>4147</v>
      </c>
    </row>
    <row r="1608" customFormat="false" ht="12.8" hidden="false" customHeight="false" outlineLevel="0" collapsed="false">
      <c r="A1608" s="0" t="n">
        <v>4</v>
      </c>
      <c r="B1608" s="0" t="n">
        <v>15</v>
      </c>
      <c r="C1608" s="0" t="n">
        <v>953</v>
      </c>
      <c r="D1608" s="0" t="s">
        <v>4107</v>
      </c>
      <c r="E1608" s="0" t="s">
        <v>3948</v>
      </c>
      <c r="F1608" s="0" t="s">
        <v>4151</v>
      </c>
    </row>
    <row r="1609" customFormat="false" ht="12.8" hidden="false" customHeight="false" outlineLevel="0" collapsed="false">
      <c r="A1609" s="0" t="n">
        <v>4</v>
      </c>
      <c r="B1609" s="0" t="n">
        <v>15</v>
      </c>
      <c r="C1609" s="0" t="n">
        <v>954</v>
      </c>
      <c r="D1609" s="0" t="s">
        <v>4107</v>
      </c>
      <c r="E1609" s="0" t="s">
        <v>3948</v>
      </c>
      <c r="F1609" s="0" t="s">
        <v>4150</v>
      </c>
    </row>
    <row r="1610" customFormat="false" ht="12.8" hidden="false" customHeight="false" outlineLevel="0" collapsed="false">
      <c r="A1610" s="0" t="n">
        <v>4</v>
      </c>
      <c r="B1610" s="0" t="n">
        <v>15</v>
      </c>
      <c r="C1610" s="0" t="n">
        <v>955</v>
      </c>
      <c r="D1610" s="0" t="s">
        <v>4107</v>
      </c>
      <c r="E1610" s="0" t="s">
        <v>3948</v>
      </c>
      <c r="F1610" s="0" t="s">
        <v>4125</v>
      </c>
    </row>
    <row r="1611" customFormat="false" ht="12.8" hidden="false" customHeight="false" outlineLevel="0" collapsed="false">
      <c r="A1611" s="0" t="n">
        <v>4</v>
      </c>
      <c r="B1611" s="0" t="n">
        <v>15</v>
      </c>
      <c r="C1611" s="0" t="n">
        <v>956</v>
      </c>
      <c r="D1611" s="0" t="s">
        <v>4107</v>
      </c>
      <c r="E1611" s="0" t="s">
        <v>3948</v>
      </c>
      <c r="F1611" s="0" t="s">
        <v>4131</v>
      </c>
    </row>
    <row r="1612" customFormat="false" ht="12.8" hidden="false" customHeight="false" outlineLevel="0" collapsed="false">
      <c r="A1612" s="0" t="n">
        <v>4</v>
      </c>
      <c r="B1612" s="0" t="n">
        <v>15</v>
      </c>
      <c r="C1612" s="0" t="n">
        <v>1169</v>
      </c>
      <c r="D1612" s="0" t="s">
        <v>4107</v>
      </c>
      <c r="E1612" s="0" t="s">
        <v>3948</v>
      </c>
      <c r="F1612" s="0" t="s">
        <v>4129</v>
      </c>
    </row>
    <row r="1613" customFormat="false" ht="12.8" hidden="false" customHeight="false" outlineLevel="0" collapsed="false">
      <c r="A1613" s="0" t="n">
        <v>4</v>
      </c>
      <c r="B1613" s="0" t="n">
        <v>15</v>
      </c>
      <c r="C1613" s="0" t="n">
        <v>1222</v>
      </c>
      <c r="D1613" s="0" t="s">
        <v>4107</v>
      </c>
      <c r="E1613" s="0" t="s">
        <v>3948</v>
      </c>
      <c r="F1613" s="0" t="s">
        <v>4108</v>
      </c>
    </row>
    <row r="1614" customFormat="false" ht="12.8" hidden="false" customHeight="false" outlineLevel="0" collapsed="false">
      <c r="A1614" s="0" t="n">
        <v>4</v>
      </c>
      <c r="B1614" s="0" t="n">
        <v>15</v>
      </c>
      <c r="C1614" s="0" t="n">
        <v>1223</v>
      </c>
      <c r="D1614" s="0" t="s">
        <v>4107</v>
      </c>
      <c r="E1614" s="0" t="s">
        <v>3948</v>
      </c>
      <c r="F1614" s="0" t="s">
        <v>4109</v>
      </c>
    </row>
    <row r="1615" customFormat="false" ht="12.8" hidden="false" customHeight="false" outlineLevel="0" collapsed="false">
      <c r="A1615" s="0" t="n">
        <v>4</v>
      </c>
      <c r="B1615" s="0" t="n">
        <v>15</v>
      </c>
      <c r="C1615" s="0" t="n">
        <v>1224</v>
      </c>
      <c r="D1615" s="0" t="s">
        <v>4107</v>
      </c>
      <c r="E1615" s="0" t="s">
        <v>3948</v>
      </c>
      <c r="F1615" s="0" t="s">
        <v>4039</v>
      </c>
    </row>
    <row r="1616" customFormat="false" ht="12.8" hidden="false" customHeight="false" outlineLevel="0" collapsed="false">
      <c r="A1616" s="0" t="n">
        <v>4</v>
      </c>
      <c r="B1616" s="0" t="n">
        <v>15</v>
      </c>
      <c r="C1616" s="0" t="n">
        <v>1225</v>
      </c>
      <c r="D1616" s="0" t="s">
        <v>4107</v>
      </c>
      <c r="E1616" s="0" t="s">
        <v>3948</v>
      </c>
      <c r="F1616" s="0" t="s">
        <v>4110</v>
      </c>
    </row>
    <row r="1617" customFormat="false" ht="12.8" hidden="false" customHeight="false" outlineLevel="0" collapsed="false">
      <c r="A1617" s="0" t="n">
        <v>4</v>
      </c>
      <c r="B1617" s="0" t="n">
        <v>15</v>
      </c>
      <c r="C1617" s="0" t="n">
        <v>1226</v>
      </c>
      <c r="D1617" s="0" t="s">
        <v>4107</v>
      </c>
      <c r="E1617" s="0" t="s">
        <v>3948</v>
      </c>
      <c r="F1617" s="0" t="s">
        <v>4112</v>
      </c>
    </row>
    <row r="1618" customFormat="false" ht="12.8" hidden="false" customHeight="false" outlineLevel="0" collapsed="false">
      <c r="A1618" s="0" t="n">
        <v>4</v>
      </c>
      <c r="B1618" s="0" t="n">
        <v>15</v>
      </c>
      <c r="C1618" s="0" t="n">
        <v>1227</v>
      </c>
      <c r="D1618" s="0" t="s">
        <v>4107</v>
      </c>
      <c r="E1618" s="0" t="s">
        <v>3948</v>
      </c>
      <c r="F1618" s="0" t="s">
        <v>4113</v>
      </c>
    </row>
    <row r="1619" customFormat="false" ht="12.8" hidden="false" customHeight="false" outlineLevel="0" collapsed="false">
      <c r="A1619" s="0" t="n">
        <v>4</v>
      </c>
      <c r="B1619" s="0" t="n">
        <v>15</v>
      </c>
      <c r="C1619" s="0" t="n">
        <v>1228</v>
      </c>
      <c r="D1619" s="0" t="s">
        <v>4107</v>
      </c>
      <c r="E1619" s="0" t="s">
        <v>3948</v>
      </c>
      <c r="F1619" s="0" t="s">
        <v>4114</v>
      </c>
    </row>
    <row r="1620" customFormat="false" ht="12.8" hidden="false" customHeight="false" outlineLevel="0" collapsed="false">
      <c r="A1620" s="0" t="n">
        <v>4</v>
      </c>
      <c r="B1620" s="0" t="n">
        <v>15</v>
      </c>
      <c r="C1620" s="0" t="n">
        <v>1229</v>
      </c>
      <c r="D1620" s="0" t="s">
        <v>4107</v>
      </c>
      <c r="E1620" s="0" t="s">
        <v>3948</v>
      </c>
      <c r="F1620" s="0" t="s">
        <v>4115</v>
      </c>
    </row>
    <row r="1621" customFormat="false" ht="12.8" hidden="false" customHeight="false" outlineLevel="0" collapsed="false">
      <c r="A1621" s="0" t="n">
        <v>4</v>
      </c>
      <c r="B1621" s="0" t="n">
        <v>15</v>
      </c>
      <c r="C1621" s="0" t="n">
        <v>1230</v>
      </c>
      <c r="D1621" s="0" t="s">
        <v>4107</v>
      </c>
      <c r="E1621" s="0" t="s">
        <v>3948</v>
      </c>
      <c r="F1621" s="0" t="s">
        <v>4117</v>
      </c>
    </row>
    <row r="1622" customFormat="false" ht="12.8" hidden="false" customHeight="false" outlineLevel="0" collapsed="false">
      <c r="A1622" s="0" t="n">
        <v>4</v>
      </c>
      <c r="B1622" s="0" t="n">
        <v>15</v>
      </c>
      <c r="C1622" s="0" t="n">
        <v>1231</v>
      </c>
      <c r="D1622" s="0" t="s">
        <v>4107</v>
      </c>
      <c r="E1622" s="0" t="s">
        <v>3948</v>
      </c>
      <c r="F1622" s="0" t="s">
        <v>4118</v>
      </c>
    </row>
    <row r="1623" customFormat="false" ht="12.8" hidden="false" customHeight="false" outlineLevel="0" collapsed="false">
      <c r="A1623" s="0" t="n">
        <v>4</v>
      </c>
      <c r="B1623" s="0" t="n">
        <v>15</v>
      </c>
      <c r="C1623" s="0" t="n">
        <v>1232</v>
      </c>
      <c r="D1623" s="0" t="s">
        <v>4107</v>
      </c>
      <c r="E1623" s="0" t="s">
        <v>3948</v>
      </c>
      <c r="F1623" s="0" t="s">
        <v>4119</v>
      </c>
    </row>
    <row r="1624" customFormat="false" ht="12.8" hidden="false" customHeight="false" outlineLevel="0" collapsed="false">
      <c r="A1624" s="0" t="n">
        <v>4</v>
      </c>
      <c r="B1624" s="0" t="n">
        <v>15</v>
      </c>
      <c r="C1624" s="0" t="n">
        <v>1233</v>
      </c>
      <c r="D1624" s="0" t="s">
        <v>4107</v>
      </c>
      <c r="E1624" s="0" t="s">
        <v>3948</v>
      </c>
      <c r="F1624" s="0" t="s">
        <v>4120</v>
      </c>
    </row>
    <row r="1625" customFormat="false" ht="12.8" hidden="false" customHeight="false" outlineLevel="0" collapsed="false">
      <c r="A1625" s="0" t="n">
        <v>4</v>
      </c>
      <c r="B1625" s="0" t="n">
        <v>15</v>
      </c>
      <c r="C1625" s="0" t="n">
        <v>1234</v>
      </c>
      <c r="D1625" s="0" t="s">
        <v>4107</v>
      </c>
      <c r="E1625" s="0" t="s">
        <v>3948</v>
      </c>
      <c r="F1625" s="0" t="s">
        <v>4122</v>
      </c>
    </row>
    <row r="1626" customFormat="false" ht="12.8" hidden="false" customHeight="false" outlineLevel="0" collapsed="false">
      <c r="A1626" s="0" t="n">
        <v>4</v>
      </c>
      <c r="B1626" s="0" t="n">
        <v>15</v>
      </c>
      <c r="C1626" s="0" t="n">
        <v>1235</v>
      </c>
      <c r="D1626" s="0" t="s">
        <v>4107</v>
      </c>
      <c r="E1626" s="0" t="s">
        <v>3948</v>
      </c>
      <c r="F1626" s="0" t="s">
        <v>4123</v>
      </c>
    </row>
    <row r="1627" customFormat="false" ht="12.8" hidden="false" customHeight="false" outlineLevel="0" collapsed="false">
      <c r="A1627" s="0" t="n">
        <v>4</v>
      </c>
      <c r="B1627" s="0" t="n">
        <v>15</v>
      </c>
      <c r="C1627" s="0" t="n">
        <v>1236</v>
      </c>
      <c r="D1627" s="0" t="s">
        <v>4107</v>
      </c>
      <c r="E1627" s="0" t="s">
        <v>3948</v>
      </c>
      <c r="F1627" s="0" t="s">
        <v>4124</v>
      </c>
    </row>
    <row r="1628" customFormat="false" ht="12.8" hidden="false" customHeight="false" outlineLevel="0" collapsed="false">
      <c r="A1628" s="0" t="n">
        <v>4</v>
      </c>
      <c r="B1628" s="0" t="n">
        <v>15</v>
      </c>
      <c r="C1628" s="0" t="n">
        <v>1237</v>
      </c>
      <c r="D1628" s="0" t="s">
        <v>4107</v>
      </c>
      <c r="E1628" s="0" t="s">
        <v>3948</v>
      </c>
      <c r="F1628" s="0" t="s">
        <v>4126</v>
      </c>
    </row>
    <row r="1629" customFormat="false" ht="12.8" hidden="false" customHeight="false" outlineLevel="0" collapsed="false">
      <c r="A1629" s="0" t="n">
        <v>4</v>
      </c>
      <c r="B1629" s="0" t="n">
        <v>15</v>
      </c>
      <c r="C1629" s="0" t="n">
        <v>1238</v>
      </c>
      <c r="D1629" s="0" t="s">
        <v>4107</v>
      </c>
      <c r="E1629" s="0" t="s">
        <v>3948</v>
      </c>
      <c r="F1629" s="0" t="s">
        <v>4127</v>
      </c>
    </row>
    <row r="1630" customFormat="false" ht="12.8" hidden="false" customHeight="false" outlineLevel="0" collapsed="false">
      <c r="A1630" s="0" t="n">
        <v>4</v>
      </c>
      <c r="B1630" s="0" t="n">
        <v>15</v>
      </c>
      <c r="C1630" s="0" t="n">
        <v>1239</v>
      </c>
      <c r="D1630" s="0" t="s">
        <v>4107</v>
      </c>
      <c r="E1630" s="0" t="s">
        <v>3948</v>
      </c>
      <c r="F1630" s="0" t="s">
        <v>4128</v>
      </c>
    </row>
    <row r="1631" customFormat="false" ht="12.8" hidden="false" customHeight="false" outlineLevel="0" collapsed="false">
      <c r="A1631" s="0" t="n">
        <v>4</v>
      </c>
      <c r="B1631" s="0" t="n">
        <v>15</v>
      </c>
      <c r="C1631" s="0" t="n">
        <v>1240</v>
      </c>
      <c r="D1631" s="0" t="s">
        <v>4107</v>
      </c>
      <c r="E1631" s="0" t="s">
        <v>3948</v>
      </c>
      <c r="F1631" s="0" t="s">
        <v>4130</v>
      </c>
    </row>
    <row r="1632" customFormat="false" ht="12.8" hidden="false" customHeight="false" outlineLevel="0" collapsed="false">
      <c r="A1632" s="0" t="n">
        <v>4</v>
      </c>
      <c r="B1632" s="0" t="n">
        <v>15</v>
      </c>
      <c r="C1632" s="0" t="n">
        <v>1241</v>
      </c>
      <c r="D1632" s="0" t="s">
        <v>4107</v>
      </c>
      <c r="E1632" s="0" t="s">
        <v>3948</v>
      </c>
      <c r="F1632" s="0" t="s">
        <v>4086</v>
      </c>
    </row>
    <row r="1633" customFormat="false" ht="12.8" hidden="false" customHeight="false" outlineLevel="0" collapsed="false">
      <c r="A1633" s="0" t="n">
        <v>4</v>
      </c>
      <c r="B1633" s="0" t="n">
        <v>15</v>
      </c>
      <c r="C1633" s="0" t="n">
        <v>1242</v>
      </c>
      <c r="D1633" s="0" t="s">
        <v>4107</v>
      </c>
      <c r="E1633" s="0" t="s">
        <v>3948</v>
      </c>
      <c r="F1633" s="0" t="s">
        <v>4132</v>
      </c>
    </row>
    <row r="1634" customFormat="false" ht="12.8" hidden="false" customHeight="false" outlineLevel="0" collapsed="false">
      <c r="A1634" s="0" t="n">
        <v>4</v>
      </c>
      <c r="B1634" s="0" t="n">
        <v>15</v>
      </c>
      <c r="C1634" s="0" t="n">
        <v>1243</v>
      </c>
      <c r="D1634" s="0" t="s">
        <v>4107</v>
      </c>
      <c r="E1634" s="0" t="s">
        <v>3948</v>
      </c>
      <c r="F1634" s="0" t="s">
        <v>4133</v>
      </c>
    </row>
    <row r="1635" customFormat="false" ht="12.8" hidden="false" customHeight="false" outlineLevel="0" collapsed="false">
      <c r="A1635" s="0" t="n">
        <v>4</v>
      </c>
      <c r="B1635" s="0" t="n">
        <v>15</v>
      </c>
      <c r="C1635" s="0" t="n">
        <v>1244</v>
      </c>
      <c r="D1635" s="0" t="s">
        <v>4107</v>
      </c>
      <c r="E1635" s="0" t="s">
        <v>3948</v>
      </c>
      <c r="F1635" s="0" t="s">
        <v>4134</v>
      </c>
    </row>
    <row r="1636" customFormat="false" ht="12.8" hidden="false" customHeight="false" outlineLevel="0" collapsed="false">
      <c r="A1636" s="0" t="n">
        <v>4</v>
      </c>
      <c r="B1636" s="0" t="n">
        <v>15</v>
      </c>
      <c r="C1636" s="0" t="n">
        <v>1245</v>
      </c>
      <c r="D1636" s="0" t="s">
        <v>4107</v>
      </c>
      <c r="E1636" s="0" t="s">
        <v>3948</v>
      </c>
      <c r="F1636" s="0" t="s">
        <v>4135</v>
      </c>
    </row>
    <row r="1637" customFormat="false" ht="12.8" hidden="false" customHeight="false" outlineLevel="0" collapsed="false">
      <c r="A1637" s="0" t="n">
        <v>4</v>
      </c>
      <c r="B1637" s="0" t="n">
        <v>15</v>
      </c>
      <c r="C1637" s="0" t="n">
        <v>1246</v>
      </c>
      <c r="D1637" s="0" t="s">
        <v>4107</v>
      </c>
      <c r="E1637" s="0" t="s">
        <v>3948</v>
      </c>
      <c r="F1637" s="0" t="s">
        <v>4136</v>
      </c>
    </row>
    <row r="1638" customFormat="false" ht="12.8" hidden="false" customHeight="false" outlineLevel="0" collapsed="false">
      <c r="A1638" s="0" t="n">
        <v>4</v>
      </c>
      <c r="B1638" s="0" t="n">
        <v>15</v>
      </c>
      <c r="C1638" s="0" t="n">
        <v>1247</v>
      </c>
      <c r="D1638" s="0" t="s">
        <v>4107</v>
      </c>
      <c r="E1638" s="0" t="s">
        <v>3948</v>
      </c>
      <c r="F1638" s="0" t="s">
        <v>4140</v>
      </c>
    </row>
    <row r="1639" customFormat="false" ht="12.8" hidden="false" customHeight="false" outlineLevel="0" collapsed="false">
      <c r="A1639" s="0" t="n">
        <v>4</v>
      </c>
      <c r="B1639" s="0" t="n">
        <v>15</v>
      </c>
      <c r="C1639" s="0" t="n">
        <v>1248</v>
      </c>
      <c r="D1639" s="0" t="s">
        <v>4107</v>
      </c>
      <c r="E1639" s="0" t="s">
        <v>3948</v>
      </c>
      <c r="F1639" s="0" t="s">
        <v>4141</v>
      </c>
    </row>
    <row r="1640" customFormat="false" ht="12.8" hidden="false" customHeight="false" outlineLevel="0" collapsed="false">
      <c r="A1640" s="0" t="n">
        <v>4</v>
      </c>
      <c r="B1640" s="0" t="n">
        <v>15</v>
      </c>
      <c r="C1640" s="0" t="n">
        <v>1249</v>
      </c>
      <c r="D1640" s="0" t="s">
        <v>4107</v>
      </c>
      <c r="E1640" s="0" t="s">
        <v>3948</v>
      </c>
      <c r="F1640" s="0" t="s">
        <v>4142</v>
      </c>
    </row>
    <row r="1641" customFormat="false" ht="12.8" hidden="false" customHeight="false" outlineLevel="0" collapsed="false">
      <c r="A1641" s="0" t="n">
        <v>4</v>
      </c>
      <c r="B1641" s="0" t="n">
        <v>15</v>
      </c>
      <c r="C1641" s="0" t="n">
        <v>1250</v>
      </c>
      <c r="D1641" s="0" t="s">
        <v>4107</v>
      </c>
      <c r="E1641" s="0" t="s">
        <v>3948</v>
      </c>
      <c r="F1641" s="0" t="s">
        <v>4144</v>
      </c>
    </row>
    <row r="1642" customFormat="false" ht="12.8" hidden="false" customHeight="false" outlineLevel="0" collapsed="false">
      <c r="A1642" s="0" t="n">
        <v>4</v>
      </c>
      <c r="B1642" s="0" t="n">
        <v>15</v>
      </c>
      <c r="C1642" s="0" t="n">
        <v>1266</v>
      </c>
      <c r="D1642" s="0" t="s">
        <v>4107</v>
      </c>
      <c r="E1642" s="0" t="s">
        <v>3948</v>
      </c>
      <c r="F1642" s="0" t="s">
        <v>4139</v>
      </c>
    </row>
    <row r="1643" customFormat="false" ht="12.8" hidden="false" customHeight="false" outlineLevel="0" collapsed="false">
      <c r="A1643" s="0" t="n">
        <v>4</v>
      </c>
      <c r="B1643" s="0" t="n">
        <v>15</v>
      </c>
      <c r="C1643" s="0" t="n">
        <v>1267</v>
      </c>
      <c r="D1643" s="0" t="s">
        <v>4107</v>
      </c>
      <c r="E1643" s="0" t="s">
        <v>3948</v>
      </c>
      <c r="F1643" s="0" t="s">
        <v>4125</v>
      </c>
    </row>
    <row r="1644" customFormat="false" ht="12.8" hidden="false" customHeight="false" outlineLevel="0" collapsed="false">
      <c r="A1644" s="0" t="n">
        <v>4</v>
      </c>
      <c r="B1644" s="0" t="n">
        <v>15</v>
      </c>
      <c r="C1644" s="0" t="n">
        <v>1269</v>
      </c>
      <c r="D1644" s="0" t="s">
        <v>4107</v>
      </c>
      <c r="E1644" s="0" t="s">
        <v>3948</v>
      </c>
      <c r="F1644" s="0" t="s">
        <v>4143</v>
      </c>
    </row>
    <row r="1645" customFormat="false" ht="12.8" hidden="false" customHeight="false" outlineLevel="0" collapsed="false">
      <c r="A1645" s="0" t="n">
        <v>4</v>
      </c>
      <c r="B1645" s="0" t="n">
        <v>15</v>
      </c>
      <c r="C1645" s="0" t="n">
        <v>1294</v>
      </c>
      <c r="D1645" s="0" t="s">
        <v>4107</v>
      </c>
      <c r="E1645" s="0" t="s">
        <v>3948</v>
      </c>
      <c r="F1645" s="0" t="s">
        <v>4111</v>
      </c>
    </row>
    <row r="1646" customFormat="false" ht="12.8" hidden="false" customHeight="false" outlineLevel="0" collapsed="false">
      <c r="A1646" s="0" t="n">
        <v>4</v>
      </c>
      <c r="B1646" s="0" t="n">
        <v>15</v>
      </c>
      <c r="C1646" s="0" t="n">
        <v>1295</v>
      </c>
      <c r="D1646" s="0" t="s">
        <v>4107</v>
      </c>
      <c r="E1646" s="0" t="s">
        <v>3948</v>
      </c>
      <c r="F1646" s="0" t="s">
        <v>4116</v>
      </c>
    </row>
    <row r="1647" customFormat="false" ht="12.8" hidden="false" customHeight="false" outlineLevel="0" collapsed="false">
      <c r="A1647" s="0" t="n">
        <v>4</v>
      </c>
      <c r="B1647" s="0" t="n">
        <v>15</v>
      </c>
      <c r="C1647" s="0" t="n">
        <v>1296</v>
      </c>
      <c r="D1647" s="0" t="s">
        <v>4107</v>
      </c>
      <c r="E1647" s="0" t="s">
        <v>3948</v>
      </c>
      <c r="F1647" s="0" t="s">
        <v>4121</v>
      </c>
    </row>
    <row r="1648" customFormat="false" ht="12.8" hidden="false" customHeight="false" outlineLevel="0" collapsed="false">
      <c r="A1648" s="0" t="n">
        <v>4</v>
      </c>
      <c r="B1648" s="0" t="n">
        <v>15</v>
      </c>
      <c r="C1648" s="0" t="n">
        <v>1297</v>
      </c>
      <c r="D1648" s="0" t="s">
        <v>4107</v>
      </c>
      <c r="E1648" s="0" t="s">
        <v>3948</v>
      </c>
      <c r="F1648" s="0" t="s">
        <v>4137</v>
      </c>
    </row>
    <row r="1649" customFormat="false" ht="12.8" hidden="false" customHeight="false" outlineLevel="0" collapsed="false">
      <c r="A1649" s="0" t="n">
        <v>4</v>
      </c>
      <c r="B1649" s="0" t="n">
        <v>15</v>
      </c>
      <c r="C1649" s="0" t="n">
        <v>1298</v>
      </c>
      <c r="D1649" s="0" t="s">
        <v>4107</v>
      </c>
      <c r="E1649" s="0" t="s">
        <v>3948</v>
      </c>
      <c r="F1649" s="0" t="s">
        <v>4138</v>
      </c>
    </row>
    <row r="1650" customFormat="false" ht="12.8" hidden="false" customHeight="false" outlineLevel="0" collapsed="false">
      <c r="A1650" s="0" t="n">
        <v>4</v>
      </c>
      <c r="B1650" s="0" t="n">
        <v>15</v>
      </c>
      <c r="C1650" s="0" t="n">
        <v>1299</v>
      </c>
      <c r="D1650" s="0" t="s">
        <v>4107</v>
      </c>
      <c r="E1650" s="0" t="s">
        <v>3948</v>
      </c>
      <c r="F1650" s="0" t="s">
        <v>4145</v>
      </c>
    </row>
    <row r="1651" customFormat="false" ht="12.8" hidden="false" customHeight="false" outlineLevel="0" collapsed="false">
      <c r="A1651" s="0" t="n">
        <v>4</v>
      </c>
      <c r="B1651" s="0" t="n">
        <v>15</v>
      </c>
      <c r="C1651" s="0" t="n">
        <v>1300</v>
      </c>
      <c r="D1651" s="0" t="s">
        <v>4107</v>
      </c>
      <c r="E1651" s="0" t="s">
        <v>3948</v>
      </c>
      <c r="F1651" s="0" t="s">
        <v>4146</v>
      </c>
    </row>
    <row r="1652" customFormat="false" ht="12.8" hidden="false" customHeight="false" outlineLevel="0" collapsed="false">
      <c r="A1652" s="0" t="n">
        <v>4</v>
      </c>
      <c r="B1652" s="0" t="n">
        <v>15</v>
      </c>
      <c r="C1652" s="0" t="n">
        <v>1301</v>
      </c>
      <c r="D1652" s="0" t="s">
        <v>4107</v>
      </c>
      <c r="E1652" s="0" t="s">
        <v>3948</v>
      </c>
      <c r="F1652" s="0" t="s">
        <v>4147</v>
      </c>
    </row>
    <row r="1653" customFormat="false" ht="12.8" hidden="false" customHeight="false" outlineLevel="0" collapsed="false">
      <c r="A1653" s="0" t="n">
        <v>4</v>
      </c>
      <c r="B1653" s="0" t="n">
        <v>15</v>
      </c>
      <c r="C1653" s="0" t="n">
        <v>1302</v>
      </c>
      <c r="D1653" s="0" t="s">
        <v>4107</v>
      </c>
      <c r="E1653" s="0" t="s">
        <v>3948</v>
      </c>
      <c r="F1653" s="0" t="s">
        <v>4150</v>
      </c>
    </row>
    <row r="1654" customFormat="false" ht="12.8" hidden="false" customHeight="false" outlineLevel="0" collapsed="false">
      <c r="A1654" s="0" t="n">
        <v>4</v>
      </c>
      <c r="B1654" s="0" t="n">
        <v>15</v>
      </c>
      <c r="C1654" s="0" t="n">
        <v>1304</v>
      </c>
      <c r="D1654" s="0" t="s">
        <v>4107</v>
      </c>
      <c r="E1654" s="0" t="s">
        <v>3948</v>
      </c>
      <c r="F1654" s="0" t="s">
        <v>4131</v>
      </c>
    </row>
    <row r="1655" customFormat="false" ht="12.8" hidden="false" customHeight="false" outlineLevel="0" collapsed="false">
      <c r="A1655" s="0" t="n">
        <v>4</v>
      </c>
      <c r="B1655" s="0" t="n">
        <v>15</v>
      </c>
      <c r="C1655" s="0" t="n">
        <v>1334</v>
      </c>
      <c r="D1655" s="0" t="s">
        <v>4107</v>
      </c>
      <c r="E1655" s="0" t="s">
        <v>3948</v>
      </c>
      <c r="F1655" s="0" t="s">
        <v>4129</v>
      </c>
    </row>
    <row r="1656" customFormat="false" ht="12.8" hidden="false" customHeight="false" outlineLevel="0" collapsed="false">
      <c r="A1656" s="0" t="n">
        <v>4</v>
      </c>
      <c r="B1656" s="0" t="n">
        <v>15</v>
      </c>
      <c r="C1656" s="0" t="n">
        <v>1373</v>
      </c>
      <c r="D1656" s="0" t="s">
        <v>4107</v>
      </c>
      <c r="E1656" s="0" t="s">
        <v>3948</v>
      </c>
      <c r="F1656" s="0" t="s">
        <v>4109</v>
      </c>
    </row>
    <row r="1657" customFormat="false" ht="12.8" hidden="false" customHeight="false" outlineLevel="0" collapsed="false">
      <c r="A1657" s="0" t="n">
        <v>4</v>
      </c>
      <c r="B1657" s="0" t="n">
        <v>15</v>
      </c>
      <c r="C1657" s="0" t="n">
        <v>1388</v>
      </c>
      <c r="D1657" s="0" t="s">
        <v>4107</v>
      </c>
      <c r="E1657" s="0" t="s">
        <v>3948</v>
      </c>
      <c r="F1657" s="0" t="s">
        <v>4108</v>
      </c>
    </row>
    <row r="1658" customFormat="false" ht="12.8" hidden="false" customHeight="false" outlineLevel="0" collapsed="false">
      <c r="A1658" s="0" t="n">
        <v>4</v>
      </c>
      <c r="B1658" s="0" t="n">
        <v>15</v>
      </c>
      <c r="C1658" s="0" t="n">
        <v>1389</v>
      </c>
      <c r="D1658" s="0" t="s">
        <v>4107</v>
      </c>
      <c r="E1658" s="0" t="s">
        <v>3948</v>
      </c>
      <c r="F1658" s="0" t="s">
        <v>4039</v>
      </c>
    </row>
    <row r="1659" customFormat="false" ht="12.8" hidden="false" customHeight="false" outlineLevel="0" collapsed="false">
      <c r="A1659" s="0" t="n">
        <v>4</v>
      </c>
      <c r="B1659" s="0" t="n">
        <v>15</v>
      </c>
      <c r="C1659" s="0" t="n">
        <v>1398</v>
      </c>
      <c r="D1659" s="0" t="s">
        <v>4107</v>
      </c>
      <c r="E1659" s="0" t="s">
        <v>3948</v>
      </c>
      <c r="F1659" s="0" t="s">
        <v>4110</v>
      </c>
    </row>
    <row r="1660" customFormat="false" ht="12.8" hidden="false" customHeight="false" outlineLevel="0" collapsed="false">
      <c r="A1660" s="0" t="n">
        <v>4</v>
      </c>
      <c r="B1660" s="0" t="n">
        <v>15</v>
      </c>
      <c r="C1660" s="0" t="n">
        <v>1399</v>
      </c>
      <c r="D1660" s="0" t="s">
        <v>4107</v>
      </c>
      <c r="E1660" s="0" t="s">
        <v>3948</v>
      </c>
      <c r="F1660" s="0" t="s">
        <v>4112</v>
      </c>
    </row>
    <row r="1661" customFormat="false" ht="12.8" hidden="false" customHeight="false" outlineLevel="0" collapsed="false">
      <c r="A1661" s="0" t="n">
        <v>4</v>
      </c>
      <c r="B1661" s="0" t="n">
        <v>15</v>
      </c>
      <c r="C1661" s="0" t="n">
        <v>1400</v>
      </c>
      <c r="D1661" s="0" t="s">
        <v>4107</v>
      </c>
      <c r="E1661" s="0" t="s">
        <v>3948</v>
      </c>
      <c r="F1661" s="0" t="s">
        <v>4113</v>
      </c>
    </row>
    <row r="1662" customFormat="false" ht="12.8" hidden="false" customHeight="false" outlineLevel="0" collapsed="false">
      <c r="A1662" s="0" t="n">
        <v>4</v>
      </c>
      <c r="B1662" s="0" t="n">
        <v>15</v>
      </c>
      <c r="C1662" s="0" t="n">
        <v>1401</v>
      </c>
      <c r="D1662" s="0" t="s">
        <v>4107</v>
      </c>
      <c r="E1662" s="0" t="s">
        <v>3948</v>
      </c>
      <c r="F1662" s="0" t="s">
        <v>4114</v>
      </c>
    </row>
    <row r="1663" customFormat="false" ht="12.8" hidden="false" customHeight="false" outlineLevel="0" collapsed="false">
      <c r="A1663" s="0" t="n">
        <v>4</v>
      </c>
      <c r="B1663" s="0" t="n">
        <v>15</v>
      </c>
      <c r="C1663" s="0" t="n">
        <v>1402</v>
      </c>
      <c r="D1663" s="0" t="s">
        <v>4107</v>
      </c>
      <c r="E1663" s="0" t="s">
        <v>3948</v>
      </c>
      <c r="F1663" s="0" t="s">
        <v>4115</v>
      </c>
    </row>
    <row r="1664" customFormat="false" ht="12.8" hidden="false" customHeight="false" outlineLevel="0" collapsed="false">
      <c r="A1664" s="0" t="n">
        <v>4</v>
      </c>
      <c r="B1664" s="0" t="n">
        <v>15</v>
      </c>
      <c r="C1664" s="0" t="n">
        <v>1403</v>
      </c>
      <c r="D1664" s="0" t="s">
        <v>4107</v>
      </c>
      <c r="E1664" s="0" t="s">
        <v>3948</v>
      </c>
      <c r="F1664" s="0" t="s">
        <v>4117</v>
      </c>
    </row>
    <row r="1665" customFormat="false" ht="12.8" hidden="false" customHeight="false" outlineLevel="0" collapsed="false">
      <c r="A1665" s="0" t="n">
        <v>4</v>
      </c>
      <c r="B1665" s="0" t="n">
        <v>15</v>
      </c>
      <c r="C1665" s="0" t="n">
        <v>1404</v>
      </c>
      <c r="D1665" s="0" t="s">
        <v>4107</v>
      </c>
      <c r="E1665" s="0" t="s">
        <v>3948</v>
      </c>
      <c r="F1665" s="0" t="s">
        <v>4118</v>
      </c>
    </row>
    <row r="1666" customFormat="false" ht="12.8" hidden="false" customHeight="false" outlineLevel="0" collapsed="false">
      <c r="A1666" s="0" t="n">
        <v>4</v>
      </c>
      <c r="B1666" s="0" t="n">
        <v>15</v>
      </c>
      <c r="C1666" s="0" t="n">
        <v>1405</v>
      </c>
      <c r="D1666" s="0" t="s">
        <v>4107</v>
      </c>
      <c r="E1666" s="0" t="s">
        <v>3948</v>
      </c>
      <c r="F1666" s="0" t="s">
        <v>4119</v>
      </c>
    </row>
    <row r="1667" customFormat="false" ht="12.8" hidden="false" customHeight="false" outlineLevel="0" collapsed="false">
      <c r="A1667" s="0" t="n">
        <v>4</v>
      </c>
      <c r="B1667" s="0" t="n">
        <v>15</v>
      </c>
      <c r="C1667" s="0" t="n">
        <v>1406</v>
      </c>
      <c r="D1667" s="0" t="s">
        <v>4107</v>
      </c>
      <c r="E1667" s="0" t="s">
        <v>3948</v>
      </c>
      <c r="F1667" s="0" t="s">
        <v>4120</v>
      </c>
    </row>
    <row r="1668" customFormat="false" ht="12.8" hidden="false" customHeight="false" outlineLevel="0" collapsed="false">
      <c r="A1668" s="0" t="n">
        <v>4</v>
      </c>
      <c r="B1668" s="0" t="n">
        <v>15</v>
      </c>
      <c r="C1668" s="0" t="n">
        <v>1408</v>
      </c>
      <c r="D1668" s="0" t="s">
        <v>4107</v>
      </c>
      <c r="E1668" s="0" t="s">
        <v>3948</v>
      </c>
      <c r="F1668" s="0" t="s">
        <v>4122</v>
      </c>
    </row>
    <row r="1669" customFormat="false" ht="12.8" hidden="false" customHeight="false" outlineLevel="0" collapsed="false">
      <c r="A1669" s="0" t="n">
        <v>4</v>
      </c>
      <c r="B1669" s="0" t="n">
        <v>15</v>
      </c>
      <c r="C1669" s="0" t="n">
        <v>1409</v>
      </c>
      <c r="D1669" s="0" t="s">
        <v>4107</v>
      </c>
      <c r="E1669" s="0" t="s">
        <v>3948</v>
      </c>
      <c r="F1669" s="0" t="s">
        <v>4123</v>
      </c>
    </row>
    <row r="1670" customFormat="false" ht="12.8" hidden="false" customHeight="false" outlineLevel="0" collapsed="false">
      <c r="A1670" s="0" t="n">
        <v>4</v>
      </c>
      <c r="B1670" s="0" t="n">
        <v>15</v>
      </c>
      <c r="C1670" s="0" t="n">
        <v>1410</v>
      </c>
      <c r="D1670" s="0" t="s">
        <v>4107</v>
      </c>
      <c r="E1670" s="0" t="s">
        <v>3948</v>
      </c>
      <c r="F1670" s="0" t="s">
        <v>4124</v>
      </c>
    </row>
    <row r="1671" customFormat="false" ht="12.8" hidden="false" customHeight="false" outlineLevel="0" collapsed="false">
      <c r="A1671" s="0" t="n">
        <v>4</v>
      </c>
      <c r="B1671" s="0" t="n">
        <v>15</v>
      </c>
      <c r="C1671" s="0" t="n">
        <v>1411</v>
      </c>
      <c r="D1671" s="0" t="s">
        <v>4107</v>
      </c>
      <c r="E1671" s="0" t="s">
        <v>3948</v>
      </c>
      <c r="F1671" s="0" t="s">
        <v>4126</v>
      </c>
    </row>
    <row r="1672" customFormat="false" ht="12.8" hidden="false" customHeight="false" outlineLevel="0" collapsed="false">
      <c r="A1672" s="0" t="n">
        <v>4</v>
      </c>
      <c r="B1672" s="0" t="n">
        <v>15</v>
      </c>
      <c r="C1672" s="0" t="n">
        <v>1412</v>
      </c>
      <c r="D1672" s="0" t="s">
        <v>4107</v>
      </c>
      <c r="E1672" s="0" t="s">
        <v>3948</v>
      </c>
      <c r="F1672" s="0" t="s">
        <v>4127</v>
      </c>
    </row>
    <row r="1673" customFormat="false" ht="12.8" hidden="false" customHeight="false" outlineLevel="0" collapsed="false">
      <c r="A1673" s="0" t="n">
        <v>4</v>
      </c>
      <c r="B1673" s="0" t="n">
        <v>15</v>
      </c>
      <c r="C1673" s="0" t="n">
        <v>1413</v>
      </c>
      <c r="D1673" s="0" t="s">
        <v>4107</v>
      </c>
      <c r="E1673" s="0" t="s">
        <v>3948</v>
      </c>
      <c r="F1673" s="0" t="s">
        <v>4128</v>
      </c>
    </row>
    <row r="1674" customFormat="false" ht="12.8" hidden="false" customHeight="false" outlineLevel="0" collapsed="false">
      <c r="A1674" s="0" t="n">
        <v>4</v>
      </c>
      <c r="B1674" s="0" t="n">
        <v>15</v>
      </c>
      <c r="C1674" s="0" t="n">
        <v>1414</v>
      </c>
      <c r="D1674" s="0" t="s">
        <v>4107</v>
      </c>
      <c r="E1674" s="0" t="s">
        <v>3948</v>
      </c>
      <c r="F1674" s="0" t="s">
        <v>4130</v>
      </c>
    </row>
    <row r="1675" customFormat="false" ht="12.8" hidden="false" customHeight="false" outlineLevel="0" collapsed="false">
      <c r="A1675" s="0" t="n">
        <v>4</v>
      </c>
      <c r="B1675" s="0" t="n">
        <v>15</v>
      </c>
      <c r="C1675" s="0" t="n">
        <v>1415</v>
      </c>
      <c r="D1675" s="0" t="s">
        <v>4107</v>
      </c>
      <c r="E1675" s="0" t="s">
        <v>3948</v>
      </c>
      <c r="F1675" s="0" t="s">
        <v>4086</v>
      </c>
    </row>
    <row r="1676" customFormat="false" ht="12.8" hidden="false" customHeight="false" outlineLevel="0" collapsed="false">
      <c r="A1676" s="0" t="n">
        <v>4</v>
      </c>
      <c r="B1676" s="0" t="n">
        <v>15</v>
      </c>
      <c r="C1676" s="0" t="n">
        <v>1416</v>
      </c>
      <c r="D1676" s="0" t="s">
        <v>4107</v>
      </c>
      <c r="E1676" s="0" t="s">
        <v>3948</v>
      </c>
      <c r="F1676" s="0" t="s">
        <v>4132</v>
      </c>
    </row>
    <row r="1677" customFormat="false" ht="12.8" hidden="false" customHeight="false" outlineLevel="0" collapsed="false">
      <c r="A1677" s="0" t="n">
        <v>4</v>
      </c>
      <c r="B1677" s="0" t="n">
        <v>15</v>
      </c>
      <c r="C1677" s="0" t="n">
        <v>1417</v>
      </c>
      <c r="D1677" s="0" t="s">
        <v>4107</v>
      </c>
      <c r="E1677" s="0" t="s">
        <v>3948</v>
      </c>
      <c r="F1677" s="0" t="s">
        <v>4133</v>
      </c>
    </row>
    <row r="1678" customFormat="false" ht="12.8" hidden="false" customHeight="false" outlineLevel="0" collapsed="false">
      <c r="A1678" s="0" t="n">
        <v>4</v>
      </c>
      <c r="B1678" s="0" t="n">
        <v>15</v>
      </c>
      <c r="C1678" s="0" t="n">
        <v>1418</v>
      </c>
      <c r="D1678" s="0" t="s">
        <v>4107</v>
      </c>
      <c r="E1678" s="0" t="s">
        <v>3948</v>
      </c>
      <c r="F1678" s="0" t="s">
        <v>4134</v>
      </c>
    </row>
    <row r="1679" customFormat="false" ht="12.8" hidden="false" customHeight="false" outlineLevel="0" collapsed="false">
      <c r="A1679" s="0" t="n">
        <v>4</v>
      </c>
      <c r="B1679" s="0" t="n">
        <v>15</v>
      </c>
      <c r="C1679" s="0" t="n">
        <v>1419</v>
      </c>
      <c r="D1679" s="0" t="s">
        <v>4107</v>
      </c>
      <c r="E1679" s="0" t="s">
        <v>3948</v>
      </c>
      <c r="F1679" s="0" t="s">
        <v>4135</v>
      </c>
    </row>
    <row r="1680" customFormat="false" ht="12.8" hidden="false" customHeight="false" outlineLevel="0" collapsed="false">
      <c r="A1680" s="0" t="n">
        <v>4</v>
      </c>
      <c r="B1680" s="0" t="n">
        <v>15</v>
      </c>
      <c r="C1680" s="0" t="n">
        <v>1420</v>
      </c>
      <c r="D1680" s="0" t="s">
        <v>4107</v>
      </c>
      <c r="E1680" s="0" t="s">
        <v>3948</v>
      </c>
      <c r="F1680" s="0" t="s">
        <v>4136</v>
      </c>
    </row>
    <row r="1681" customFormat="false" ht="12.8" hidden="false" customHeight="false" outlineLevel="0" collapsed="false">
      <c r="A1681" s="0" t="n">
        <v>4</v>
      </c>
      <c r="B1681" s="0" t="n">
        <v>15</v>
      </c>
      <c r="C1681" s="0" t="n">
        <v>1421</v>
      </c>
      <c r="D1681" s="0" t="s">
        <v>4107</v>
      </c>
      <c r="E1681" s="0" t="s">
        <v>3948</v>
      </c>
      <c r="F1681" s="0" t="s">
        <v>4140</v>
      </c>
    </row>
    <row r="1682" customFormat="false" ht="12.8" hidden="false" customHeight="false" outlineLevel="0" collapsed="false">
      <c r="A1682" s="0" t="n">
        <v>4</v>
      </c>
      <c r="B1682" s="0" t="n">
        <v>15</v>
      </c>
      <c r="C1682" s="0" t="n">
        <v>1422</v>
      </c>
      <c r="D1682" s="0" t="s">
        <v>4107</v>
      </c>
      <c r="E1682" s="0" t="s">
        <v>3948</v>
      </c>
      <c r="F1682" s="0" t="s">
        <v>4141</v>
      </c>
    </row>
    <row r="1683" customFormat="false" ht="12.8" hidden="false" customHeight="false" outlineLevel="0" collapsed="false">
      <c r="A1683" s="0" t="n">
        <v>4</v>
      </c>
      <c r="B1683" s="0" t="n">
        <v>15</v>
      </c>
      <c r="C1683" s="0" t="n">
        <v>1423</v>
      </c>
      <c r="D1683" s="0" t="s">
        <v>4107</v>
      </c>
      <c r="E1683" s="0" t="s">
        <v>3948</v>
      </c>
      <c r="F1683" s="0" t="s">
        <v>4142</v>
      </c>
    </row>
    <row r="1684" customFormat="false" ht="12.8" hidden="false" customHeight="false" outlineLevel="0" collapsed="false">
      <c r="A1684" s="0" t="n">
        <v>4</v>
      </c>
      <c r="B1684" s="0" t="n">
        <v>15</v>
      </c>
      <c r="C1684" s="0" t="n">
        <v>1424</v>
      </c>
      <c r="D1684" s="0" t="s">
        <v>4107</v>
      </c>
      <c r="E1684" s="0" t="s">
        <v>3948</v>
      </c>
      <c r="F1684" s="0" t="s">
        <v>4144</v>
      </c>
    </row>
    <row r="1685" customFormat="false" ht="12.8" hidden="false" customHeight="false" outlineLevel="0" collapsed="false">
      <c r="A1685" s="0" t="n">
        <v>4</v>
      </c>
      <c r="B1685" s="0" t="n">
        <v>15</v>
      </c>
      <c r="C1685" s="0" t="n">
        <v>1439</v>
      </c>
      <c r="D1685" s="0" t="s">
        <v>4107</v>
      </c>
      <c r="E1685" s="0" t="s">
        <v>3948</v>
      </c>
      <c r="F1685" s="0" t="s">
        <v>4111</v>
      </c>
    </row>
    <row r="1686" customFormat="false" ht="12.8" hidden="false" customHeight="false" outlineLevel="0" collapsed="false">
      <c r="A1686" s="0" t="n">
        <v>4</v>
      </c>
      <c r="B1686" s="0" t="n">
        <v>15</v>
      </c>
      <c r="C1686" s="0" t="n">
        <v>1440</v>
      </c>
      <c r="D1686" s="0" t="s">
        <v>4107</v>
      </c>
      <c r="E1686" s="0" t="s">
        <v>3948</v>
      </c>
      <c r="F1686" s="0" t="s">
        <v>4116</v>
      </c>
    </row>
    <row r="1687" customFormat="false" ht="12.8" hidden="false" customHeight="false" outlineLevel="0" collapsed="false">
      <c r="A1687" s="0" t="n">
        <v>4</v>
      </c>
      <c r="B1687" s="0" t="n">
        <v>15</v>
      </c>
      <c r="C1687" s="0" t="n">
        <v>1441</v>
      </c>
      <c r="D1687" s="0" t="s">
        <v>4107</v>
      </c>
      <c r="E1687" s="0" t="s">
        <v>3948</v>
      </c>
      <c r="F1687" s="0" t="s">
        <v>4149</v>
      </c>
    </row>
    <row r="1688" customFormat="false" ht="12.8" hidden="false" customHeight="false" outlineLevel="0" collapsed="false">
      <c r="A1688" s="0" t="n">
        <v>4</v>
      </c>
      <c r="B1688" s="0" t="n">
        <v>15</v>
      </c>
      <c r="C1688" s="0" t="n">
        <v>1442</v>
      </c>
      <c r="D1688" s="0" t="s">
        <v>4107</v>
      </c>
      <c r="E1688" s="0" t="s">
        <v>3948</v>
      </c>
      <c r="F1688" s="0" t="s">
        <v>4137</v>
      </c>
    </row>
    <row r="1689" customFormat="false" ht="12.8" hidden="false" customHeight="false" outlineLevel="0" collapsed="false">
      <c r="A1689" s="0" t="n">
        <v>4</v>
      </c>
      <c r="B1689" s="0" t="n">
        <v>15</v>
      </c>
      <c r="C1689" s="0" t="n">
        <v>1443</v>
      </c>
      <c r="D1689" s="0" t="s">
        <v>4107</v>
      </c>
      <c r="E1689" s="0" t="s">
        <v>3948</v>
      </c>
      <c r="F1689" s="0" t="s">
        <v>4138</v>
      </c>
    </row>
    <row r="1690" customFormat="false" ht="12.8" hidden="false" customHeight="false" outlineLevel="0" collapsed="false">
      <c r="A1690" s="0" t="n">
        <v>4</v>
      </c>
      <c r="B1690" s="0" t="n">
        <v>15</v>
      </c>
      <c r="C1690" s="0" t="n">
        <v>1444</v>
      </c>
      <c r="D1690" s="0" t="s">
        <v>4107</v>
      </c>
      <c r="E1690" s="0" t="s">
        <v>3948</v>
      </c>
      <c r="F1690" s="0" t="s">
        <v>4139</v>
      </c>
    </row>
    <row r="1691" customFormat="false" ht="12.8" hidden="false" customHeight="false" outlineLevel="0" collapsed="false">
      <c r="A1691" s="0" t="n">
        <v>4</v>
      </c>
      <c r="B1691" s="0" t="n">
        <v>15</v>
      </c>
      <c r="C1691" s="0" t="n">
        <v>1445</v>
      </c>
      <c r="D1691" s="0" t="s">
        <v>4107</v>
      </c>
      <c r="E1691" s="0" t="s">
        <v>3948</v>
      </c>
      <c r="F1691" s="0" t="s">
        <v>4147</v>
      </c>
    </row>
    <row r="1692" customFormat="false" ht="12.8" hidden="false" customHeight="false" outlineLevel="0" collapsed="false">
      <c r="A1692" s="0" t="n">
        <v>4</v>
      </c>
      <c r="B1692" s="0" t="n">
        <v>15</v>
      </c>
      <c r="C1692" s="0" t="n">
        <v>1446</v>
      </c>
      <c r="D1692" s="0" t="s">
        <v>4107</v>
      </c>
      <c r="E1692" s="0" t="s">
        <v>3948</v>
      </c>
      <c r="F1692" s="0" t="s">
        <v>4131</v>
      </c>
    </row>
    <row r="1693" customFormat="false" ht="12.8" hidden="false" customHeight="false" outlineLevel="0" collapsed="false">
      <c r="A1693" s="0" t="n">
        <v>4</v>
      </c>
      <c r="B1693" s="0" t="n">
        <v>15</v>
      </c>
      <c r="C1693" s="0" t="n">
        <v>1451</v>
      </c>
      <c r="D1693" s="0" t="s">
        <v>4107</v>
      </c>
      <c r="E1693" s="0" t="s">
        <v>3948</v>
      </c>
      <c r="F1693" s="0" t="s">
        <v>4143</v>
      </c>
    </row>
    <row r="1694" customFormat="false" ht="12.8" hidden="false" customHeight="false" outlineLevel="0" collapsed="false">
      <c r="A1694" s="0" t="n">
        <v>4</v>
      </c>
      <c r="B1694" s="0" t="n">
        <v>15</v>
      </c>
      <c r="C1694" s="0" t="n">
        <v>1485</v>
      </c>
      <c r="D1694" s="0" t="s">
        <v>4107</v>
      </c>
      <c r="E1694" s="0" t="s">
        <v>3948</v>
      </c>
      <c r="F1694" s="0" t="s">
        <v>4148</v>
      </c>
    </row>
    <row r="1695" customFormat="false" ht="12.8" hidden="false" customHeight="false" outlineLevel="0" collapsed="false">
      <c r="A1695" s="0" t="n">
        <v>4</v>
      </c>
      <c r="B1695" s="0" t="n">
        <v>15</v>
      </c>
      <c r="C1695" s="0" t="n">
        <v>1486</v>
      </c>
      <c r="D1695" s="0" t="s">
        <v>4107</v>
      </c>
      <c r="E1695" s="0" t="s">
        <v>3948</v>
      </c>
      <c r="F1695" s="0" t="s">
        <v>4121</v>
      </c>
    </row>
    <row r="1696" customFormat="false" ht="12.8" hidden="false" customHeight="false" outlineLevel="0" collapsed="false">
      <c r="A1696" s="0" t="n">
        <v>4</v>
      </c>
      <c r="B1696" s="0" t="n">
        <v>15</v>
      </c>
      <c r="C1696" s="0" t="n">
        <v>1506</v>
      </c>
      <c r="D1696" s="0" t="s">
        <v>4107</v>
      </c>
      <c r="E1696" s="0" t="s">
        <v>3948</v>
      </c>
      <c r="F1696" s="0" t="s">
        <v>4129</v>
      </c>
    </row>
    <row r="1697" customFormat="false" ht="12.8" hidden="false" customHeight="false" outlineLevel="0" collapsed="false">
      <c r="A1697" s="0" t="n">
        <v>4</v>
      </c>
      <c r="B1697" s="0" t="n">
        <v>15</v>
      </c>
      <c r="C1697" s="0" t="n">
        <v>1553</v>
      </c>
      <c r="D1697" s="0" t="s">
        <v>4107</v>
      </c>
      <c r="E1697" s="0" t="s">
        <v>3948</v>
      </c>
      <c r="F1697" s="0" t="s">
        <v>4125</v>
      </c>
    </row>
    <row r="1698" customFormat="false" ht="12.8" hidden="false" customHeight="false" outlineLevel="0" collapsed="false">
      <c r="A1698" s="0" t="n">
        <v>4</v>
      </c>
      <c r="B1698" s="0" t="n">
        <v>15</v>
      </c>
      <c r="C1698" s="0" t="n">
        <v>1555</v>
      </c>
      <c r="D1698" s="0" t="s">
        <v>4107</v>
      </c>
      <c r="E1698" s="0" t="s">
        <v>3948</v>
      </c>
      <c r="F1698" s="0" t="s">
        <v>4143</v>
      </c>
    </row>
    <row r="1699" customFormat="false" ht="12.8" hidden="false" customHeight="false" outlineLevel="0" collapsed="false">
      <c r="A1699" s="0" t="n">
        <v>4</v>
      </c>
      <c r="B1699" s="0" t="n">
        <v>15</v>
      </c>
      <c r="C1699" s="0" t="n">
        <v>1574</v>
      </c>
      <c r="D1699" s="0" t="s">
        <v>4107</v>
      </c>
      <c r="E1699" s="0" t="s">
        <v>3948</v>
      </c>
      <c r="F1699" s="0" t="s">
        <v>4108</v>
      </c>
    </row>
    <row r="1700" customFormat="false" ht="12.8" hidden="false" customHeight="false" outlineLevel="0" collapsed="false">
      <c r="A1700" s="0" t="n">
        <v>4</v>
      </c>
      <c r="B1700" s="0" t="n">
        <v>15</v>
      </c>
      <c r="C1700" s="0" t="n">
        <v>1575</v>
      </c>
      <c r="D1700" s="0" t="s">
        <v>4107</v>
      </c>
      <c r="E1700" s="0" t="s">
        <v>3948</v>
      </c>
      <c r="F1700" s="0" t="s">
        <v>4109</v>
      </c>
    </row>
    <row r="1701" customFormat="false" ht="12.8" hidden="false" customHeight="false" outlineLevel="0" collapsed="false">
      <c r="A1701" s="0" t="n">
        <v>4</v>
      </c>
      <c r="B1701" s="0" t="n">
        <v>15</v>
      </c>
      <c r="C1701" s="0" t="n">
        <v>1576</v>
      </c>
      <c r="D1701" s="0" t="s">
        <v>4107</v>
      </c>
      <c r="E1701" s="0" t="s">
        <v>3948</v>
      </c>
      <c r="F1701" s="0" t="s">
        <v>4039</v>
      </c>
    </row>
    <row r="1702" customFormat="false" ht="12.8" hidden="false" customHeight="false" outlineLevel="0" collapsed="false">
      <c r="A1702" s="0" t="n">
        <v>4</v>
      </c>
      <c r="B1702" s="0" t="n">
        <v>15</v>
      </c>
      <c r="C1702" s="0" t="n">
        <v>1577</v>
      </c>
      <c r="D1702" s="0" t="s">
        <v>4107</v>
      </c>
      <c r="E1702" s="0" t="s">
        <v>3948</v>
      </c>
      <c r="F1702" s="0" t="s">
        <v>4110</v>
      </c>
    </row>
    <row r="1703" customFormat="false" ht="12.8" hidden="false" customHeight="false" outlineLevel="0" collapsed="false">
      <c r="A1703" s="0" t="n">
        <v>4</v>
      </c>
      <c r="B1703" s="0" t="n">
        <v>15</v>
      </c>
      <c r="C1703" s="0" t="n">
        <v>1578</v>
      </c>
      <c r="D1703" s="0" t="s">
        <v>4107</v>
      </c>
      <c r="E1703" s="0" t="s">
        <v>3948</v>
      </c>
      <c r="F1703" s="0" t="s">
        <v>4112</v>
      </c>
    </row>
    <row r="1704" customFormat="false" ht="12.8" hidden="false" customHeight="false" outlineLevel="0" collapsed="false">
      <c r="A1704" s="0" t="n">
        <v>4</v>
      </c>
      <c r="B1704" s="0" t="n">
        <v>15</v>
      </c>
      <c r="C1704" s="0" t="n">
        <v>1579</v>
      </c>
      <c r="D1704" s="0" t="s">
        <v>4107</v>
      </c>
      <c r="E1704" s="0" t="s">
        <v>3948</v>
      </c>
      <c r="F1704" s="0" t="s">
        <v>4113</v>
      </c>
    </row>
    <row r="1705" customFormat="false" ht="12.8" hidden="false" customHeight="false" outlineLevel="0" collapsed="false">
      <c r="A1705" s="0" t="n">
        <v>4</v>
      </c>
      <c r="B1705" s="0" t="n">
        <v>15</v>
      </c>
      <c r="C1705" s="0" t="n">
        <v>1580</v>
      </c>
      <c r="D1705" s="0" t="s">
        <v>4107</v>
      </c>
      <c r="E1705" s="0" t="s">
        <v>3948</v>
      </c>
      <c r="F1705" s="0" t="s">
        <v>4114</v>
      </c>
    </row>
    <row r="1706" customFormat="false" ht="12.8" hidden="false" customHeight="false" outlineLevel="0" collapsed="false">
      <c r="A1706" s="0" t="n">
        <v>4</v>
      </c>
      <c r="B1706" s="0" t="n">
        <v>15</v>
      </c>
      <c r="C1706" s="0" t="n">
        <v>1581</v>
      </c>
      <c r="D1706" s="0" t="s">
        <v>4107</v>
      </c>
      <c r="E1706" s="0" t="s">
        <v>3948</v>
      </c>
      <c r="F1706" s="0" t="s">
        <v>4115</v>
      </c>
    </row>
    <row r="1707" customFormat="false" ht="12.8" hidden="false" customHeight="false" outlineLevel="0" collapsed="false">
      <c r="A1707" s="0" t="n">
        <v>4</v>
      </c>
      <c r="B1707" s="0" t="n">
        <v>15</v>
      </c>
      <c r="C1707" s="0" t="n">
        <v>1582</v>
      </c>
      <c r="D1707" s="0" t="s">
        <v>4107</v>
      </c>
      <c r="E1707" s="0" t="s">
        <v>3948</v>
      </c>
      <c r="F1707" s="0" t="s">
        <v>4117</v>
      </c>
    </row>
    <row r="1708" customFormat="false" ht="12.8" hidden="false" customHeight="false" outlineLevel="0" collapsed="false">
      <c r="A1708" s="0" t="n">
        <v>4</v>
      </c>
      <c r="B1708" s="0" t="n">
        <v>15</v>
      </c>
      <c r="C1708" s="0" t="n">
        <v>1583</v>
      </c>
      <c r="D1708" s="0" t="s">
        <v>4107</v>
      </c>
      <c r="E1708" s="0" t="s">
        <v>3948</v>
      </c>
      <c r="F1708" s="0" t="s">
        <v>4118</v>
      </c>
    </row>
    <row r="1709" customFormat="false" ht="12.8" hidden="false" customHeight="false" outlineLevel="0" collapsed="false">
      <c r="A1709" s="0" t="n">
        <v>4</v>
      </c>
      <c r="B1709" s="0" t="n">
        <v>15</v>
      </c>
      <c r="C1709" s="0" t="n">
        <v>1584</v>
      </c>
      <c r="D1709" s="0" t="s">
        <v>4107</v>
      </c>
      <c r="E1709" s="0" t="s">
        <v>3948</v>
      </c>
      <c r="F1709" s="0" t="s">
        <v>4119</v>
      </c>
    </row>
    <row r="1710" customFormat="false" ht="12.8" hidden="false" customHeight="false" outlineLevel="0" collapsed="false">
      <c r="A1710" s="0" t="n">
        <v>4</v>
      </c>
      <c r="B1710" s="0" t="n">
        <v>15</v>
      </c>
      <c r="C1710" s="0" t="n">
        <v>1585</v>
      </c>
      <c r="D1710" s="0" t="s">
        <v>4107</v>
      </c>
      <c r="E1710" s="0" t="s">
        <v>3948</v>
      </c>
      <c r="F1710" s="0" t="s">
        <v>4120</v>
      </c>
    </row>
    <row r="1711" customFormat="false" ht="12.8" hidden="false" customHeight="false" outlineLevel="0" collapsed="false">
      <c r="A1711" s="0" t="n">
        <v>4</v>
      </c>
      <c r="B1711" s="0" t="n">
        <v>15</v>
      </c>
      <c r="C1711" s="0" t="n">
        <v>1586</v>
      </c>
      <c r="D1711" s="0" t="s">
        <v>4107</v>
      </c>
      <c r="E1711" s="0" t="s">
        <v>3948</v>
      </c>
      <c r="F1711" s="0" t="s">
        <v>4122</v>
      </c>
    </row>
    <row r="1712" customFormat="false" ht="12.8" hidden="false" customHeight="false" outlineLevel="0" collapsed="false">
      <c r="A1712" s="0" t="n">
        <v>4</v>
      </c>
      <c r="B1712" s="0" t="n">
        <v>15</v>
      </c>
      <c r="C1712" s="0" t="n">
        <v>1587</v>
      </c>
      <c r="D1712" s="0" t="s">
        <v>4107</v>
      </c>
      <c r="E1712" s="0" t="s">
        <v>3948</v>
      </c>
      <c r="F1712" s="0" t="s">
        <v>4123</v>
      </c>
    </row>
    <row r="1713" customFormat="false" ht="12.8" hidden="false" customHeight="false" outlineLevel="0" collapsed="false">
      <c r="A1713" s="0" t="n">
        <v>4</v>
      </c>
      <c r="B1713" s="0" t="n">
        <v>15</v>
      </c>
      <c r="C1713" s="0" t="n">
        <v>1588</v>
      </c>
      <c r="D1713" s="0" t="s">
        <v>4107</v>
      </c>
      <c r="E1713" s="0" t="s">
        <v>3948</v>
      </c>
      <c r="F1713" s="0" t="s">
        <v>4124</v>
      </c>
    </row>
    <row r="1714" customFormat="false" ht="12.8" hidden="false" customHeight="false" outlineLevel="0" collapsed="false">
      <c r="A1714" s="0" t="n">
        <v>4</v>
      </c>
      <c r="B1714" s="0" t="n">
        <v>15</v>
      </c>
      <c r="C1714" s="0" t="n">
        <v>1589</v>
      </c>
      <c r="D1714" s="0" t="s">
        <v>4107</v>
      </c>
      <c r="E1714" s="0" t="s">
        <v>3948</v>
      </c>
      <c r="F1714" s="0" t="s">
        <v>4126</v>
      </c>
    </row>
    <row r="1715" customFormat="false" ht="12.8" hidden="false" customHeight="false" outlineLevel="0" collapsed="false">
      <c r="A1715" s="0" t="n">
        <v>4</v>
      </c>
      <c r="B1715" s="0" t="n">
        <v>15</v>
      </c>
      <c r="C1715" s="0" t="n">
        <v>1590</v>
      </c>
      <c r="D1715" s="0" t="s">
        <v>4107</v>
      </c>
      <c r="E1715" s="0" t="s">
        <v>3948</v>
      </c>
      <c r="F1715" s="0" t="s">
        <v>4127</v>
      </c>
    </row>
    <row r="1716" customFormat="false" ht="12.8" hidden="false" customHeight="false" outlineLevel="0" collapsed="false">
      <c r="A1716" s="0" t="n">
        <v>4</v>
      </c>
      <c r="B1716" s="0" t="n">
        <v>15</v>
      </c>
      <c r="C1716" s="0" t="n">
        <v>1591</v>
      </c>
      <c r="D1716" s="0" t="s">
        <v>4107</v>
      </c>
      <c r="E1716" s="0" t="s">
        <v>3948</v>
      </c>
      <c r="F1716" s="0" t="s">
        <v>4128</v>
      </c>
    </row>
    <row r="1717" customFormat="false" ht="12.8" hidden="false" customHeight="false" outlineLevel="0" collapsed="false">
      <c r="A1717" s="0" t="n">
        <v>4</v>
      </c>
      <c r="B1717" s="0" t="n">
        <v>15</v>
      </c>
      <c r="C1717" s="0" t="n">
        <v>1592</v>
      </c>
      <c r="D1717" s="0" t="s">
        <v>4107</v>
      </c>
      <c r="E1717" s="0" t="s">
        <v>3948</v>
      </c>
      <c r="F1717" s="0" t="s">
        <v>4130</v>
      </c>
    </row>
    <row r="1718" customFormat="false" ht="12.8" hidden="false" customHeight="false" outlineLevel="0" collapsed="false">
      <c r="A1718" s="0" t="n">
        <v>4</v>
      </c>
      <c r="B1718" s="0" t="n">
        <v>15</v>
      </c>
      <c r="C1718" s="0" t="n">
        <v>1593</v>
      </c>
      <c r="D1718" s="0" t="s">
        <v>4107</v>
      </c>
      <c r="E1718" s="0" t="s">
        <v>3948</v>
      </c>
      <c r="F1718" s="0" t="s">
        <v>4086</v>
      </c>
    </row>
    <row r="1719" customFormat="false" ht="12.8" hidden="false" customHeight="false" outlineLevel="0" collapsed="false">
      <c r="A1719" s="0" t="n">
        <v>4</v>
      </c>
      <c r="B1719" s="0" t="n">
        <v>15</v>
      </c>
      <c r="C1719" s="0" t="n">
        <v>1594</v>
      </c>
      <c r="D1719" s="0" t="s">
        <v>4107</v>
      </c>
      <c r="E1719" s="0" t="s">
        <v>3948</v>
      </c>
      <c r="F1719" s="0" t="s">
        <v>4132</v>
      </c>
    </row>
    <row r="1720" customFormat="false" ht="12.8" hidden="false" customHeight="false" outlineLevel="0" collapsed="false">
      <c r="A1720" s="0" t="n">
        <v>4</v>
      </c>
      <c r="B1720" s="0" t="n">
        <v>15</v>
      </c>
      <c r="C1720" s="0" t="n">
        <v>1595</v>
      </c>
      <c r="D1720" s="0" t="s">
        <v>4107</v>
      </c>
      <c r="E1720" s="0" t="s">
        <v>3948</v>
      </c>
      <c r="F1720" s="0" t="s">
        <v>4133</v>
      </c>
    </row>
    <row r="1721" customFormat="false" ht="12.8" hidden="false" customHeight="false" outlineLevel="0" collapsed="false">
      <c r="A1721" s="0" t="n">
        <v>4</v>
      </c>
      <c r="B1721" s="0" t="n">
        <v>15</v>
      </c>
      <c r="C1721" s="0" t="n">
        <v>1596</v>
      </c>
      <c r="D1721" s="0" t="s">
        <v>4107</v>
      </c>
      <c r="E1721" s="0" t="s">
        <v>3948</v>
      </c>
      <c r="F1721" s="0" t="s">
        <v>4134</v>
      </c>
    </row>
    <row r="1722" customFormat="false" ht="12.8" hidden="false" customHeight="false" outlineLevel="0" collapsed="false">
      <c r="A1722" s="0" t="n">
        <v>4</v>
      </c>
      <c r="B1722" s="0" t="n">
        <v>15</v>
      </c>
      <c r="C1722" s="0" t="n">
        <v>1597</v>
      </c>
      <c r="D1722" s="0" t="s">
        <v>4107</v>
      </c>
      <c r="E1722" s="0" t="s">
        <v>3948</v>
      </c>
      <c r="F1722" s="0" t="s">
        <v>4135</v>
      </c>
    </row>
    <row r="1723" customFormat="false" ht="12.8" hidden="false" customHeight="false" outlineLevel="0" collapsed="false">
      <c r="A1723" s="0" t="n">
        <v>4</v>
      </c>
      <c r="B1723" s="0" t="n">
        <v>15</v>
      </c>
      <c r="C1723" s="0" t="n">
        <v>1598</v>
      </c>
      <c r="D1723" s="0" t="s">
        <v>4107</v>
      </c>
      <c r="E1723" s="0" t="s">
        <v>3948</v>
      </c>
      <c r="F1723" s="0" t="s">
        <v>4136</v>
      </c>
    </row>
    <row r="1724" customFormat="false" ht="12.8" hidden="false" customHeight="false" outlineLevel="0" collapsed="false">
      <c r="A1724" s="0" t="n">
        <v>4</v>
      </c>
      <c r="B1724" s="0" t="n">
        <v>15</v>
      </c>
      <c r="C1724" s="0" t="n">
        <v>1599</v>
      </c>
      <c r="D1724" s="0" t="s">
        <v>4107</v>
      </c>
      <c r="E1724" s="0" t="s">
        <v>3948</v>
      </c>
      <c r="F1724" s="0" t="s">
        <v>4140</v>
      </c>
    </row>
    <row r="1725" customFormat="false" ht="12.8" hidden="false" customHeight="false" outlineLevel="0" collapsed="false">
      <c r="A1725" s="0" t="n">
        <v>4</v>
      </c>
      <c r="B1725" s="0" t="n">
        <v>15</v>
      </c>
      <c r="C1725" s="0" t="n">
        <v>1600</v>
      </c>
      <c r="D1725" s="0" t="s">
        <v>4107</v>
      </c>
      <c r="E1725" s="0" t="s">
        <v>3948</v>
      </c>
      <c r="F1725" s="0" t="s">
        <v>4141</v>
      </c>
    </row>
    <row r="1726" customFormat="false" ht="12.8" hidden="false" customHeight="false" outlineLevel="0" collapsed="false">
      <c r="A1726" s="0" t="n">
        <v>4</v>
      </c>
      <c r="B1726" s="0" t="n">
        <v>15</v>
      </c>
      <c r="C1726" s="0" t="n">
        <v>1601</v>
      </c>
      <c r="D1726" s="0" t="s">
        <v>4107</v>
      </c>
      <c r="E1726" s="0" t="s">
        <v>3948</v>
      </c>
      <c r="F1726" s="0" t="s">
        <v>4142</v>
      </c>
    </row>
    <row r="1727" customFormat="false" ht="12.8" hidden="false" customHeight="false" outlineLevel="0" collapsed="false">
      <c r="A1727" s="0" t="n">
        <v>4</v>
      </c>
      <c r="B1727" s="0" t="n">
        <v>15</v>
      </c>
      <c r="C1727" s="0" t="n">
        <v>1602</v>
      </c>
      <c r="D1727" s="0" t="s">
        <v>4107</v>
      </c>
      <c r="E1727" s="0" t="s">
        <v>3948</v>
      </c>
      <c r="F1727" s="0" t="s">
        <v>4144</v>
      </c>
    </row>
    <row r="1728" customFormat="false" ht="12.8" hidden="false" customHeight="false" outlineLevel="0" collapsed="false">
      <c r="A1728" s="0" t="n">
        <v>4</v>
      </c>
      <c r="B1728" s="0" t="n">
        <v>15</v>
      </c>
      <c r="C1728" s="0" t="n">
        <v>1618</v>
      </c>
      <c r="D1728" s="0" t="s">
        <v>4107</v>
      </c>
      <c r="E1728" s="0" t="s">
        <v>3948</v>
      </c>
      <c r="F1728" s="0" t="s">
        <v>4139</v>
      </c>
    </row>
    <row r="1729" customFormat="false" ht="12.8" hidden="false" customHeight="false" outlineLevel="0" collapsed="false">
      <c r="A1729" s="0" t="n">
        <v>4</v>
      </c>
      <c r="B1729" s="0" t="n">
        <v>15</v>
      </c>
      <c r="C1729" s="0" t="n">
        <v>1642</v>
      </c>
      <c r="D1729" s="0" t="s">
        <v>4107</v>
      </c>
      <c r="E1729" s="0" t="s">
        <v>3948</v>
      </c>
      <c r="F1729" s="0" t="s">
        <v>4111</v>
      </c>
    </row>
    <row r="1730" customFormat="false" ht="12.8" hidden="false" customHeight="false" outlineLevel="0" collapsed="false">
      <c r="A1730" s="0" t="n">
        <v>4</v>
      </c>
      <c r="B1730" s="0" t="n">
        <v>15</v>
      </c>
      <c r="C1730" s="0" t="n">
        <v>1643</v>
      </c>
      <c r="D1730" s="0" t="s">
        <v>4107</v>
      </c>
      <c r="E1730" s="0" t="s">
        <v>3948</v>
      </c>
      <c r="F1730" s="0" t="s">
        <v>4116</v>
      </c>
    </row>
    <row r="1731" customFormat="false" ht="12.8" hidden="false" customHeight="false" outlineLevel="0" collapsed="false">
      <c r="A1731" s="0" t="n">
        <v>4</v>
      </c>
      <c r="B1731" s="0" t="n">
        <v>15</v>
      </c>
      <c r="C1731" s="0" t="n">
        <v>1644</v>
      </c>
      <c r="D1731" s="0" t="s">
        <v>4107</v>
      </c>
      <c r="E1731" s="0" t="s">
        <v>3948</v>
      </c>
      <c r="F1731" s="0" t="s">
        <v>4121</v>
      </c>
    </row>
    <row r="1732" customFormat="false" ht="12.8" hidden="false" customHeight="false" outlineLevel="0" collapsed="false">
      <c r="A1732" s="0" t="n">
        <v>4</v>
      </c>
      <c r="B1732" s="0" t="n">
        <v>15</v>
      </c>
      <c r="C1732" s="0" t="n">
        <v>1645</v>
      </c>
      <c r="D1732" s="0" t="s">
        <v>4107</v>
      </c>
      <c r="E1732" s="0" t="s">
        <v>3948</v>
      </c>
      <c r="F1732" s="0" t="s">
        <v>4137</v>
      </c>
    </row>
    <row r="1733" customFormat="false" ht="12.8" hidden="false" customHeight="false" outlineLevel="0" collapsed="false">
      <c r="A1733" s="0" t="n">
        <v>4</v>
      </c>
      <c r="B1733" s="0" t="n">
        <v>15</v>
      </c>
      <c r="C1733" s="0" t="n">
        <v>1646</v>
      </c>
      <c r="D1733" s="0" t="s">
        <v>4107</v>
      </c>
      <c r="E1733" s="0" t="s">
        <v>3948</v>
      </c>
      <c r="F1733" s="0" t="s">
        <v>4138</v>
      </c>
    </row>
    <row r="1734" customFormat="false" ht="12.8" hidden="false" customHeight="false" outlineLevel="0" collapsed="false">
      <c r="A1734" s="0" t="n">
        <v>4</v>
      </c>
      <c r="B1734" s="0" t="n">
        <v>15</v>
      </c>
      <c r="C1734" s="0" t="n">
        <v>1647</v>
      </c>
      <c r="D1734" s="0" t="s">
        <v>4107</v>
      </c>
      <c r="E1734" s="0" t="s">
        <v>3948</v>
      </c>
      <c r="F1734" s="0" t="s">
        <v>4145</v>
      </c>
    </row>
    <row r="1735" customFormat="false" ht="12.8" hidden="false" customHeight="false" outlineLevel="0" collapsed="false">
      <c r="A1735" s="0" t="n">
        <v>4</v>
      </c>
      <c r="B1735" s="0" t="n">
        <v>15</v>
      </c>
      <c r="C1735" s="0" t="n">
        <v>1648</v>
      </c>
      <c r="D1735" s="0" t="s">
        <v>4107</v>
      </c>
      <c r="E1735" s="0" t="s">
        <v>3948</v>
      </c>
      <c r="F1735" s="0" t="s">
        <v>4146</v>
      </c>
    </row>
    <row r="1736" customFormat="false" ht="12.8" hidden="false" customHeight="false" outlineLevel="0" collapsed="false">
      <c r="A1736" s="0" t="n">
        <v>4</v>
      </c>
      <c r="B1736" s="0" t="n">
        <v>15</v>
      </c>
      <c r="C1736" s="0" t="n">
        <v>1649</v>
      </c>
      <c r="D1736" s="0" t="s">
        <v>4107</v>
      </c>
      <c r="E1736" s="0" t="s">
        <v>3948</v>
      </c>
      <c r="F1736" s="0" t="s">
        <v>4147</v>
      </c>
    </row>
    <row r="1737" customFormat="false" ht="12.8" hidden="false" customHeight="false" outlineLevel="0" collapsed="false">
      <c r="A1737" s="0" t="n">
        <v>4</v>
      </c>
      <c r="B1737" s="0" t="n">
        <v>15</v>
      </c>
      <c r="C1737" s="0" t="n">
        <v>1650</v>
      </c>
      <c r="D1737" s="0" t="s">
        <v>4107</v>
      </c>
      <c r="E1737" s="0" t="s">
        <v>3948</v>
      </c>
      <c r="F1737" s="0" t="s">
        <v>4150</v>
      </c>
    </row>
    <row r="1738" customFormat="false" ht="12.8" hidden="false" customHeight="false" outlineLevel="0" collapsed="false">
      <c r="A1738" s="0" t="n">
        <v>4</v>
      </c>
      <c r="B1738" s="0" t="n">
        <v>15</v>
      </c>
      <c r="C1738" s="0" t="n">
        <v>1652</v>
      </c>
      <c r="D1738" s="0" t="s">
        <v>4107</v>
      </c>
      <c r="E1738" s="0" t="s">
        <v>3948</v>
      </c>
      <c r="F1738" s="0" t="s">
        <v>4131</v>
      </c>
    </row>
    <row r="1739" customFormat="false" ht="12.8" hidden="false" customHeight="false" outlineLevel="0" collapsed="false">
      <c r="A1739" s="0" t="n">
        <v>4</v>
      </c>
      <c r="B1739" s="0" t="n">
        <v>15</v>
      </c>
      <c r="C1739" s="0" t="n">
        <v>1681</v>
      </c>
      <c r="D1739" s="0" t="s">
        <v>4107</v>
      </c>
      <c r="E1739" s="0" t="s">
        <v>3948</v>
      </c>
      <c r="F1739" s="0" t="s">
        <v>4129</v>
      </c>
    </row>
    <row r="1740" customFormat="false" ht="12.8" hidden="false" customHeight="false" outlineLevel="0" collapsed="false">
      <c r="A1740" s="0" t="n">
        <v>4</v>
      </c>
      <c r="B1740" s="0" t="n">
        <v>15</v>
      </c>
      <c r="C1740" s="0" t="n">
        <v>1691</v>
      </c>
      <c r="D1740" s="0" t="s">
        <v>4107</v>
      </c>
      <c r="E1740" s="0" t="s">
        <v>3948</v>
      </c>
      <c r="F1740" s="0" t="s">
        <v>4155</v>
      </c>
    </row>
    <row r="1741" customFormat="false" ht="12.8" hidden="false" customHeight="false" outlineLevel="0" collapsed="false">
      <c r="A1741" s="0" t="n">
        <v>4</v>
      </c>
      <c r="B1741" s="0" t="n">
        <v>15</v>
      </c>
      <c r="C1741" s="0" t="n">
        <v>1692</v>
      </c>
      <c r="D1741" s="0" t="s">
        <v>4107</v>
      </c>
      <c r="E1741" s="0" t="s">
        <v>3948</v>
      </c>
      <c r="F1741" s="0" t="s">
        <v>4155</v>
      </c>
    </row>
    <row r="1742" customFormat="false" ht="12.8" hidden="false" customHeight="false" outlineLevel="0" collapsed="false">
      <c r="A1742" s="0" t="n">
        <v>4</v>
      </c>
      <c r="B1742" s="0" t="n">
        <v>15</v>
      </c>
      <c r="C1742" s="0" t="n">
        <v>1693</v>
      </c>
      <c r="D1742" s="0" t="s">
        <v>4107</v>
      </c>
      <c r="E1742" s="0" t="s">
        <v>3948</v>
      </c>
      <c r="F1742" s="0" t="s">
        <v>4155</v>
      </c>
    </row>
    <row r="1743" customFormat="false" ht="12.8" hidden="false" customHeight="false" outlineLevel="0" collapsed="false">
      <c r="A1743" s="0" t="n">
        <v>4</v>
      </c>
      <c r="B1743" s="0" t="n">
        <v>15</v>
      </c>
      <c r="C1743" s="0" t="n">
        <v>1694</v>
      </c>
      <c r="D1743" s="0" t="s">
        <v>4107</v>
      </c>
      <c r="E1743" s="0" t="s">
        <v>3948</v>
      </c>
      <c r="F1743" s="0" t="s">
        <v>4155</v>
      </c>
    </row>
    <row r="1744" customFormat="false" ht="12.8" hidden="false" customHeight="false" outlineLevel="0" collapsed="false">
      <c r="A1744" s="0" t="n">
        <v>4</v>
      </c>
      <c r="B1744" s="0" t="n">
        <v>15</v>
      </c>
      <c r="C1744" s="0" t="n">
        <v>1695</v>
      </c>
      <c r="D1744" s="0" t="s">
        <v>4107</v>
      </c>
      <c r="E1744" s="0" t="s">
        <v>3948</v>
      </c>
      <c r="F1744" s="0" t="s">
        <v>4155</v>
      </c>
    </row>
    <row r="1745" customFormat="false" ht="12.8" hidden="false" customHeight="false" outlineLevel="0" collapsed="false">
      <c r="A1745" s="0" t="n">
        <v>4</v>
      </c>
      <c r="B1745" s="0" t="n">
        <v>15</v>
      </c>
      <c r="C1745" s="0" t="n">
        <v>1696</v>
      </c>
      <c r="D1745" s="0" t="s">
        <v>4107</v>
      </c>
      <c r="E1745" s="0" t="s">
        <v>3948</v>
      </c>
      <c r="F1745" s="0" t="s">
        <v>4155</v>
      </c>
    </row>
    <row r="1746" customFormat="false" ht="12.8" hidden="false" customHeight="false" outlineLevel="0" collapsed="false">
      <c r="A1746" s="0" t="n">
        <v>4</v>
      </c>
      <c r="B1746" s="0" t="n">
        <v>15</v>
      </c>
      <c r="C1746" s="0" t="n">
        <v>1697</v>
      </c>
      <c r="D1746" s="0" t="s">
        <v>4107</v>
      </c>
      <c r="E1746" s="0" t="s">
        <v>3948</v>
      </c>
      <c r="F1746" s="0" t="s">
        <v>4155</v>
      </c>
    </row>
    <row r="1747" customFormat="false" ht="12.8" hidden="false" customHeight="false" outlineLevel="0" collapsed="false">
      <c r="A1747" s="0" t="n">
        <v>4</v>
      </c>
      <c r="B1747" s="0" t="n">
        <v>15</v>
      </c>
      <c r="C1747" s="0" t="n">
        <v>1698</v>
      </c>
      <c r="D1747" s="0" t="s">
        <v>4107</v>
      </c>
      <c r="E1747" s="0" t="s">
        <v>3948</v>
      </c>
      <c r="F1747" s="0" t="s">
        <v>4155</v>
      </c>
    </row>
    <row r="1748" customFormat="false" ht="12.8" hidden="false" customHeight="false" outlineLevel="0" collapsed="false">
      <c r="A1748" s="0" t="n">
        <v>4</v>
      </c>
      <c r="B1748" s="0" t="n">
        <v>15</v>
      </c>
      <c r="C1748" s="0" t="n">
        <v>1699</v>
      </c>
      <c r="D1748" s="0" t="s">
        <v>4107</v>
      </c>
      <c r="E1748" s="0" t="s">
        <v>3948</v>
      </c>
      <c r="F1748" s="0" t="s">
        <v>4155</v>
      </c>
    </row>
    <row r="1749" customFormat="false" ht="12.8" hidden="false" customHeight="false" outlineLevel="0" collapsed="false">
      <c r="A1749" s="0" t="n">
        <v>4</v>
      </c>
      <c r="B1749" s="0" t="n">
        <v>15</v>
      </c>
      <c r="C1749" s="0" t="n">
        <v>1700</v>
      </c>
      <c r="D1749" s="0" t="s">
        <v>4107</v>
      </c>
      <c r="E1749" s="0" t="s">
        <v>3948</v>
      </c>
      <c r="F1749" s="0" t="s">
        <v>4155</v>
      </c>
    </row>
    <row r="1750" customFormat="false" ht="12.8" hidden="false" customHeight="false" outlineLevel="0" collapsed="false">
      <c r="A1750" s="0" t="n">
        <v>4</v>
      </c>
      <c r="B1750" s="0" t="n">
        <v>15</v>
      </c>
      <c r="C1750" s="0" t="n">
        <v>1701</v>
      </c>
      <c r="D1750" s="0" t="s">
        <v>4107</v>
      </c>
      <c r="E1750" s="0" t="s">
        <v>3948</v>
      </c>
      <c r="F1750" s="0" t="s">
        <v>4155</v>
      </c>
    </row>
    <row r="1751" customFormat="false" ht="12.8" hidden="false" customHeight="false" outlineLevel="0" collapsed="false">
      <c r="A1751" s="0" t="n">
        <v>4</v>
      </c>
      <c r="B1751" s="0" t="n">
        <v>15</v>
      </c>
      <c r="C1751" s="0" t="n">
        <v>1702</v>
      </c>
      <c r="D1751" s="0" t="s">
        <v>4107</v>
      </c>
      <c r="E1751" s="0" t="s">
        <v>3948</v>
      </c>
      <c r="F1751" s="0" t="s">
        <v>4155</v>
      </c>
    </row>
    <row r="1752" customFormat="false" ht="12.8" hidden="false" customHeight="false" outlineLevel="0" collapsed="false">
      <c r="A1752" s="0" t="n">
        <v>4</v>
      </c>
      <c r="B1752" s="0" t="n">
        <v>15</v>
      </c>
      <c r="C1752" s="0" t="n">
        <v>1762</v>
      </c>
      <c r="D1752" s="0" t="s">
        <v>4107</v>
      </c>
      <c r="E1752" s="0" t="s">
        <v>3948</v>
      </c>
      <c r="F1752" s="0" t="s">
        <v>4156</v>
      </c>
    </row>
    <row r="1753" customFormat="false" ht="12.8" hidden="false" customHeight="false" outlineLevel="0" collapsed="false">
      <c r="A1753" s="0" t="n">
        <v>4</v>
      </c>
      <c r="B1753" s="0" t="n">
        <v>15</v>
      </c>
      <c r="C1753" s="0" t="n">
        <v>1763</v>
      </c>
      <c r="D1753" s="0" t="s">
        <v>4107</v>
      </c>
      <c r="E1753" s="0" t="s">
        <v>3948</v>
      </c>
      <c r="F1753" s="0" t="s">
        <v>4156</v>
      </c>
    </row>
    <row r="1754" customFormat="false" ht="12.8" hidden="false" customHeight="false" outlineLevel="0" collapsed="false">
      <c r="A1754" s="0" t="n">
        <v>4</v>
      </c>
      <c r="B1754" s="0" t="n">
        <v>15</v>
      </c>
      <c r="C1754" s="0" t="n">
        <v>1764</v>
      </c>
      <c r="D1754" s="0" t="s">
        <v>4107</v>
      </c>
      <c r="E1754" s="0" t="s">
        <v>3948</v>
      </c>
      <c r="F1754" s="0" t="s">
        <v>4156</v>
      </c>
    </row>
    <row r="1755" customFormat="false" ht="12.8" hidden="false" customHeight="false" outlineLevel="0" collapsed="false">
      <c r="A1755" s="0" t="n">
        <v>4</v>
      </c>
      <c r="B1755" s="0" t="n">
        <v>15</v>
      </c>
      <c r="C1755" s="0" t="n">
        <v>1765</v>
      </c>
      <c r="D1755" s="0" t="s">
        <v>4107</v>
      </c>
      <c r="E1755" s="0" t="s">
        <v>3948</v>
      </c>
      <c r="F1755" s="0" t="s">
        <v>4156</v>
      </c>
    </row>
    <row r="1756" customFormat="false" ht="12.8" hidden="false" customHeight="false" outlineLevel="0" collapsed="false">
      <c r="A1756" s="0" t="n">
        <v>4</v>
      </c>
      <c r="B1756" s="0" t="n">
        <v>15</v>
      </c>
      <c r="C1756" s="0" t="n">
        <v>1766</v>
      </c>
      <c r="D1756" s="0" t="s">
        <v>4107</v>
      </c>
      <c r="E1756" s="0" t="s">
        <v>3948</v>
      </c>
      <c r="F1756" s="0" t="s">
        <v>4156</v>
      </c>
    </row>
    <row r="1757" customFormat="false" ht="12.8" hidden="false" customHeight="false" outlineLevel="0" collapsed="false">
      <c r="A1757" s="0" t="n">
        <v>4</v>
      </c>
      <c r="B1757" s="0" t="n">
        <v>15</v>
      </c>
      <c r="C1757" s="0" t="n">
        <v>1767</v>
      </c>
      <c r="D1757" s="0" t="s">
        <v>4107</v>
      </c>
      <c r="E1757" s="0" t="s">
        <v>3948</v>
      </c>
      <c r="F1757" s="0" t="s">
        <v>4156</v>
      </c>
    </row>
    <row r="1758" customFormat="false" ht="12.8" hidden="false" customHeight="false" outlineLevel="0" collapsed="false">
      <c r="A1758" s="0" t="n">
        <v>4</v>
      </c>
      <c r="B1758" s="0" t="n">
        <v>15</v>
      </c>
      <c r="C1758" s="0" t="n">
        <v>1768</v>
      </c>
      <c r="D1758" s="0" t="s">
        <v>4107</v>
      </c>
      <c r="E1758" s="0" t="s">
        <v>3948</v>
      </c>
      <c r="F1758" s="0" t="s">
        <v>4156</v>
      </c>
    </row>
    <row r="1759" customFormat="false" ht="12.8" hidden="false" customHeight="false" outlineLevel="0" collapsed="false">
      <c r="A1759" s="0" t="n">
        <v>4</v>
      </c>
      <c r="B1759" s="0" t="n">
        <v>15</v>
      </c>
      <c r="C1759" s="0" t="n">
        <v>1769</v>
      </c>
      <c r="D1759" s="0" t="s">
        <v>4107</v>
      </c>
      <c r="E1759" s="0" t="s">
        <v>3948</v>
      </c>
      <c r="F1759" s="0" t="s">
        <v>4156</v>
      </c>
    </row>
    <row r="1760" customFormat="false" ht="12.8" hidden="false" customHeight="false" outlineLevel="0" collapsed="false">
      <c r="A1760" s="0" t="n">
        <v>4</v>
      </c>
      <c r="B1760" s="0" t="n">
        <v>15</v>
      </c>
      <c r="C1760" s="0" t="n">
        <v>1770</v>
      </c>
      <c r="D1760" s="0" t="s">
        <v>4107</v>
      </c>
      <c r="E1760" s="0" t="s">
        <v>3948</v>
      </c>
      <c r="F1760" s="0" t="s">
        <v>4156</v>
      </c>
    </row>
    <row r="1761" customFormat="false" ht="12.8" hidden="false" customHeight="false" outlineLevel="0" collapsed="false">
      <c r="A1761" s="0" t="n">
        <v>4</v>
      </c>
      <c r="B1761" s="0" t="n">
        <v>15</v>
      </c>
      <c r="C1761" s="0" t="n">
        <v>1771</v>
      </c>
      <c r="D1761" s="0" t="s">
        <v>4107</v>
      </c>
      <c r="E1761" s="0" t="s">
        <v>3948</v>
      </c>
      <c r="F1761" s="0" t="s">
        <v>4156</v>
      </c>
    </row>
    <row r="1762" customFormat="false" ht="12.8" hidden="false" customHeight="false" outlineLevel="0" collapsed="false">
      <c r="A1762" s="0" t="n">
        <v>4</v>
      </c>
      <c r="B1762" s="0" t="n">
        <v>15</v>
      </c>
      <c r="C1762" s="0" t="n">
        <v>1772</v>
      </c>
      <c r="D1762" s="0" t="s">
        <v>4107</v>
      </c>
      <c r="E1762" s="0" t="s">
        <v>3948</v>
      </c>
      <c r="F1762" s="0" t="s">
        <v>4156</v>
      </c>
    </row>
    <row r="1763" customFormat="false" ht="12.8" hidden="false" customHeight="false" outlineLevel="0" collapsed="false">
      <c r="A1763" s="0" t="n">
        <v>4</v>
      </c>
      <c r="B1763" s="0" t="n">
        <v>15</v>
      </c>
      <c r="C1763" s="0" t="n">
        <v>1773</v>
      </c>
      <c r="D1763" s="0" t="s">
        <v>4107</v>
      </c>
      <c r="E1763" s="0" t="s">
        <v>3948</v>
      </c>
      <c r="F1763" s="0" t="s">
        <v>4156</v>
      </c>
    </row>
    <row r="1764" customFormat="false" ht="12.8" hidden="false" customHeight="false" outlineLevel="0" collapsed="false">
      <c r="A1764" s="0" t="n">
        <v>4</v>
      </c>
      <c r="B1764" s="0" t="n">
        <v>15</v>
      </c>
      <c r="C1764" s="0" t="n">
        <v>1775</v>
      </c>
      <c r="D1764" s="0" t="s">
        <v>4107</v>
      </c>
      <c r="E1764" s="0" t="s">
        <v>3948</v>
      </c>
      <c r="F1764" s="0" t="s">
        <v>4157</v>
      </c>
    </row>
    <row r="1765" customFormat="false" ht="12.8" hidden="false" customHeight="false" outlineLevel="0" collapsed="false">
      <c r="A1765" s="0" t="n">
        <v>4</v>
      </c>
      <c r="B1765" s="0" t="n">
        <v>15</v>
      </c>
      <c r="C1765" s="0" t="n">
        <v>1776</v>
      </c>
      <c r="D1765" s="0" t="s">
        <v>4107</v>
      </c>
      <c r="E1765" s="0" t="s">
        <v>3948</v>
      </c>
      <c r="F1765" s="0" t="s">
        <v>4157</v>
      </c>
    </row>
    <row r="1766" customFormat="false" ht="12.8" hidden="false" customHeight="false" outlineLevel="0" collapsed="false">
      <c r="A1766" s="0" t="n">
        <v>4</v>
      </c>
      <c r="B1766" s="0" t="n">
        <v>15</v>
      </c>
      <c r="C1766" s="0" t="n">
        <v>1777</v>
      </c>
      <c r="D1766" s="0" t="s">
        <v>4107</v>
      </c>
      <c r="E1766" s="0" t="s">
        <v>3948</v>
      </c>
      <c r="F1766" s="0" t="s">
        <v>4157</v>
      </c>
    </row>
    <row r="1767" customFormat="false" ht="12.8" hidden="false" customHeight="false" outlineLevel="0" collapsed="false">
      <c r="A1767" s="0" t="n">
        <v>4</v>
      </c>
      <c r="B1767" s="0" t="n">
        <v>15</v>
      </c>
      <c r="C1767" s="0" t="n">
        <v>1778</v>
      </c>
      <c r="D1767" s="0" t="s">
        <v>4107</v>
      </c>
      <c r="E1767" s="0" t="s">
        <v>3948</v>
      </c>
      <c r="F1767" s="0" t="s">
        <v>4157</v>
      </c>
    </row>
    <row r="1768" customFormat="false" ht="12.8" hidden="false" customHeight="false" outlineLevel="0" collapsed="false">
      <c r="A1768" s="0" t="n">
        <v>4</v>
      </c>
      <c r="B1768" s="0" t="n">
        <v>15</v>
      </c>
      <c r="C1768" s="0" t="n">
        <v>1779</v>
      </c>
      <c r="D1768" s="0" t="s">
        <v>4107</v>
      </c>
      <c r="E1768" s="0" t="s">
        <v>3948</v>
      </c>
      <c r="F1768" s="0" t="s">
        <v>4157</v>
      </c>
    </row>
    <row r="1769" customFormat="false" ht="12.8" hidden="false" customHeight="false" outlineLevel="0" collapsed="false">
      <c r="A1769" s="0" t="n">
        <v>4</v>
      </c>
      <c r="B1769" s="0" t="n">
        <v>15</v>
      </c>
      <c r="C1769" s="0" t="n">
        <v>1780</v>
      </c>
      <c r="D1769" s="0" t="s">
        <v>4107</v>
      </c>
      <c r="E1769" s="0" t="s">
        <v>3948</v>
      </c>
      <c r="F1769" s="0" t="s">
        <v>4157</v>
      </c>
    </row>
    <row r="1770" customFormat="false" ht="12.8" hidden="false" customHeight="false" outlineLevel="0" collapsed="false">
      <c r="A1770" s="0" t="n">
        <v>4</v>
      </c>
      <c r="B1770" s="0" t="n">
        <v>15</v>
      </c>
      <c r="C1770" s="0" t="n">
        <v>1781</v>
      </c>
      <c r="D1770" s="0" t="s">
        <v>4107</v>
      </c>
      <c r="E1770" s="0" t="s">
        <v>3948</v>
      </c>
      <c r="F1770" s="0" t="s">
        <v>4157</v>
      </c>
    </row>
    <row r="1771" customFormat="false" ht="12.8" hidden="false" customHeight="false" outlineLevel="0" collapsed="false">
      <c r="A1771" s="0" t="n">
        <v>4</v>
      </c>
      <c r="B1771" s="0" t="n">
        <v>15</v>
      </c>
      <c r="C1771" s="0" t="n">
        <v>1782</v>
      </c>
      <c r="D1771" s="0" t="s">
        <v>4107</v>
      </c>
      <c r="E1771" s="0" t="s">
        <v>3948</v>
      </c>
      <c r="F1771" s="0" t="s">
        <v>4157</v>
      </c>
    </row>
    <row r="1772" customFormat="false" ht="12.8" hidden="false" customHeight="false" outlineLevel="0" collapsed="false">
      <c r="A1772" s="0" t="n">
        <v>4</v>
      </c>
      <c r="B1772" s="0" t="n">
        <v>15</v>
      </c>
      <c r="C1772" s="0" t="n">
        <v>1783</v>
      </c>
      <c r="D1772" s="0" t="s">
        <v>4107</v>
      </c>
      <c r="E1772" s="0" t="s">
        <v>3948</v>
      </c>
      <c r="F1772" s="0" t="s">
        <v>4157</v>
      </c>
    </row>
    <row r="1773" customFormat="false" ht="12.8" hidden="false" customHeight="false" outlineLevel="0" collapsed="false">
      <c r="A1773" s="0" t="n">
        <v>4</v>
      </c>
      <c r="B1773" s="0" t="n">
        <v>15</v>
      </c>
      <c r="C1773" s="0" t="n">
        <v>1784</v>
      </c>
      <c r="D1773" s="0" t="s">
        <v>4107</v>
      </c>
      <c r="E1773" s="0" t="s">
        <v>3948</v>
      </c>
      <c r="F1773" s="0" t="s">
        <v>4157</v>
      </c>
    </row>
    <row r="1774" customFormat="false" ht="12.8" hidden="false" customHeight="false" outlineLevel="0" collapsed="false">
      <c r="A1774" s="0" t="n">
        <v>4</v>
      </c>
      <c r="B1774" s="0" t="n">
        <v>15</v>
      </c>
      <c r="C1774" s="0" t="n">
        <v>1864</v>
      </c>
      <c r="D1774" s="0" t="s">
        <v>4107</v>
      </c>
      <c r="E1774" s="0" t="s">
        <v>3948</v>
      </c>
      <c r="F1774" s="0" t="s">
        <v>4147</v>
      </c>
    </row>
    <row r="1775" customFormat="false" ht="12.8" hidden="false" customHeight="false" outlineLevel="0" collapsed="false">
      <c r="A1775" s="0" t="n">
        <v>4</v>
      </c>
      <c r="B1775" s="0" t="n">
        <v>15</v>
      </c>
      <c r="C1775" s="0" t="n">
        <v>1877</v>
      </c>
      <c r="D1775" s="0" t="s">
        <v>4107</v>
      </c>
      <c r="E1775" s="0" t="s">
        <v>3948</v>
      </c>
      <c r="F1775" s="0" t="s">
        <v>4157</v>
      </c>
    </row>
    <row r="1776" customFormat="false" ht="12.8" hidden="false" customHeight="false" outlineLevel="0" collapsed="false">
      <c r="A1776" s="0" t="n">
        <v>4</v>
      </c>
      <c r="B1776" s="0" t="n">
        <v>15</v>
      </c>
      <c r="C1776" s="0" t="n">
        <v>1878</v>
      </c>
      <c r="D1776" s="0" t="s">
        <v>4107</v>
      </c>
      <c r="E1776" s="0" t="s">
        <v>3948</v>
      </c>
      <c r="F1776" s="0" t="s">
        <v>4108</v>
      </c>
    </row>
    <row r="1777" customFormat="false" ht="12.8" hidden="false" customHeight="false" outlineLevel="0" collapsed="false">
      <c r="A1777" s="0" t="n">
        <v>4</v>
      </c>
      <c r="B1777" s="0" t="n">
        <v>15</v>
      </c>
      <c r="C1777" s="0" t="n">
        <v>1879</v>
      </c>
      <c r="D1777" s="0" t="s">
        <v>4107</v>
      </c>
      <c r="E1777" s="0" t="s">
        <v>3948</v>
      </c>
      <c r="F1777" s="0" t="s">
        <v>4109</v>
      </c>
    </row>
    <row r="1778" customFormat="false" ht="12.8" hidden="false" customHeight="false" outlineLevel="0" collapsed="false">
      <c r="A1778" s="0" t="n">
        <v>4</v>
      </c>
      <c r="B1778" s="0" t="n">
        <v>15</v>
      </c>
      <c r="C1778" s="0" t="n">
        <v>1885</v>
      </c>
      <c r="D1778" s="0" t="s">
        <v>4107</v>
      </c>
      <c r="E1778" s="0" t="s">
        <v>3948</v>
      </c>
      <c r="F1778" s="0" t="s">
        <v>4127</v>
      </c>
    </row>
    <row r="1779" customFormat="false" ht="12.8" hidden="false" customHeight="false" outlineLevel="0" collapsed="false">
      <c r="A1779" s="0" t="n">
        <v>4</v>
      </c>
      <c r="B1779" s="0" t="n">
        <v>15</v>
      </c>
      <c r="C1779" s="0" t="n">
        <v>1886</v>
      </c>
      <c r="D1779" s="0" t="s">
        <v>4107</v>
      </c>
      <c r="E1779" s="0" t="s">
        <v>3948</v>
      </c>
      <c r="F1779" s="0" t="s">
        <v>4126</v>
      </c>
    </row>
    <row r="1780" customFormat="false" ht="12.8" hidden="false" customHeight="false" outlineLevel="0" collapsed="false">
      <c r="A1780" s="0" t="n">
        <v>4</v>
      </c>
      <c r="B1780" s="0" t="n">
        <v>15</v>
      </c>
      <c r="C1780" s="0" t="n">
        <v>1887</v>
      </c>
      <c r="D1780" s="0" t="s">
        <v>4107</v>
      </c>
      <c r="E1780" s="0" t="s">
        <v>3948</v>
      </c>
      <c r="F1780" s="0" t="s">
        <v>4124</v>
      </c>
    </row>
    <row r="1781" customFormat="false" ht="12.8" hidden="false" customHeight="false" outlineLevel="0" collapsed="false">
      <c r="A1781" s="0" t="n">
        <v>4</v>
      </c>
      <c r="B1781" s="0" t="n">
        <v>15</v>
      </c>
      <c r="C1781" s="0" t="n">
        <v>1888</v>
      </c>
      <c r="D1781" s="0" t="s">
        <v>4107</v>
      </c>
      <c r="E1781" s="0" t="s">
        <v>3948</v>
      </c>
      <c r="F1781" s="0" t="s">
        <v>4123</v>
      </c>
    </row>
    <row r="1782" customFormat="false" ht="12.8" hidden="false" customHeight="false" outlineLevel="0" collapsed="false">
      <c r="A1782" s="0" t="n">
        <v>4</v>
      </c>
      <c r="B1782" s="0" t="n">
        <v>15</v>
      </c>
      <c r="C1782" s="0" t="n">
        <v>1889</v>
      </c>
      <c r="D1782" s="0" t="s">
        <v>4107</v>
      </c>
      <c r="E1782" s="0" t="s">
        <v>3948</v>
      </c>
      <c r="F1782" s="0" t="s">
        <v>4122</v>
      </c>
    </row>
    <row r="1783" customFormat="false" ht="12.8" hidden="false" customHeight="false" outlineLevel="0" collapsed="false">
      <c r="A1783" s="0" t="n">
        <v>4</v>
      </c>
      <c r="B1783" s="0" t="n">
        <v>15</v>
      </c>
      <c r="C1783" s="0" t="n">
        <v>1898</v>
      </c>
      <c r="D1783" s="0" t="s">
        <v>4107</v>
      </c>
      <c r="E1783" s="0" t="s">
        <v>3948</v>
      </c>
      <c r="F1783" s="0" t="s">
        <v>4112</v>
      </c>
    </row>
    <row r="1784" customFormat="false" ht="12.8" hidden="false" customHeight="false" outlineLevel="0" collapsed="false">
      <c r="A1784" s="0" t="n">
        <v>4</v>
      </c>
      <c r="B1784" s="0" t="n">
        <v>15</v>
      </c>
      <c r="C1784" s="0" t="n">
        <v>1899</v>
      </c>
      <c r="D1784" s="0" t="s">
        <v>4107</v>
      </c>
      <c r="E1784" s="0" t="s">
        <v>3948</v>
      </c>
      <c r="F1784" s="0" t="s">
        <v>4119</v>
      </c>
    </row>
    <row r="1785" customFormat="false" ht="12.8" hidden="false" customHeight="false" outlineLevel="0" collapsed="false">
      <c r="A1785" s="0" t="n">
        <v>4</v>
      </c>
      <c r="B1785" s="0" t="n">
        <v>15</v>
      </c>
      <c r="C1785" s="0" t="n">
        <v>1900</v>
      </c>
      <c r="D1785" s="0" t="s">
        <v>4107</v>
      </c>
      <c r="E1785" s="0" t="s">
        <v>3948</v>
      </c>
      <c r="F1785" s="0" t="s">
        <v>4120</v>
      </c>
    </row>
    <row r="1786" customFormat="false" ht="12.8" hidden="false" customHeight="false" outlineLevel="0" collapsed="false">
      <c r="A1786" s="0" t="n">
        <v>4</v>
      </c>
      <c r="B1786" s="0" t="n">
        <v>15</v>
      </c>
      <c r="C1786" s="0" t="n">
        <v>1901</v>
      </c>
      <c r="D1786" s="0" t="s">
        <v>4107</v>
      </c>
      <c r="E1786" s="0" t="s">
        <v>3948</v>
      </c>
      <c r="F1786" s="0" t="s">
        <v>4144</v>
      </c>
    </row>
    <row r="1787" customFormat="false" ht="12.8" hidden="false" customHeight="false" outlineLevel="0" collapsed="false">
      <c r="A1787" s="0" t="n">
        <v>4</v>
      </c>
      <c r="B1787" s="0" t="n">
        <v>15</v>
      </c>
      <c r="C1787" s="0" t="n">
        <v>1910</v>
      </c>
      <c r="D1787" s="0" t="s">
        <v>4107</v>
      </c>
      <c r="E1787" s="0" t="s">
        <v>3948</v>
      </c>
      <c r="F1787" s="0" t="s">
        <v>4142</v>
      </c>
    </row>
    <row r="1788" customFormat="false" ht="12.8" hidden="false" customHeight="false" outlineLevel="0" collapsed="false">
      <c r="A1788" s="0" t="n">
        <v>4</v>
      </c>
      <c r="B1788" s="0" t="n">
        <v>15</v>
      </c>
      <c r="C1788" s="0" t="n">
        <v>1911</v>
      </c>
      <c r="D1788" s="0" t="s">
        <v>4107</v>
      </c>
      <c r="E1788" s="0" t="s">
        <v>3948</v>
      </c>
      <c r="F1788" s="0" t="s">
        <v>4141</v>
      </c>
    </row>
    <row r="1789" customFormat="false" ht="12.8" hidden="false" customHeight="false" outlineLevel="0" collapsed="false">
      <c r="A1789" s="0" t="n">
        <v>4</v>
      </c>
      <c r="B1789" s="0" t="n">
        <v>15</v>
      </c>
      <c r="C1789" s="0" t="n">
        <v>1912</v>
      </c>
      <c r="D1789" s="0" t="s">
        <v>4107</v>
      </c>
      <c r="E1789" s="0" t="s">
        <v>3948</v>
      </c>
      <c r="F1789" s="0" t="s">
        <v>4140</v>
      </c>
    </row>
    <row r="1790" customFormat="false" ht="12.8" hidden="false" customHeight="false" outlineLevel="0" collapsed="false">
      <c r="A1790" s="0" t="n">
        <v>4</v>
      </c>
      <c r="B1790" s="0" t="n">
        <v>15</v>
      </c>
      <c r="C1790" s="0" t="n">
        <v>1913</v>
      </c>
      <c r="D1790" s="0" t="s">
        <v>4107</v>
      </c>
      <c r="E1790" s="0" t="s">
        <v>3948</v>
      </c>
      <c r="F1790" s="0" t="s">
        <v>4136</v>
      </c>
    </row>
    <row r="1791" customFormat="false" ht="12.8" hidden="false" customHeight="false" outlineLevel="0" collapsed="false">
      <c r="A1791" s="0" t="n">
        <v>4</v>
      </c>
      <c r="B1791" s="0" t="n">
        <v>15</v>
      </c>
      <c r="C1791" s="0" t="n">
        <v>1914</v>
      </c>
      <c r="D1791" s="0" t="s">
        <v>4107</v>
      </c>
      <c r="E1791" s="0" t="s">
        <v>3948</v>
      </c>
      <c r="F1791" s="0" t="s">
        <v>4135</v>
      </c>
    </row>
    <row r="1792" customFormat="false" ht="12.8" hidden="false" customHeight="false" outlineLevel="0" collapsed="false">
      <c r="A1792" s="0" t="n">
        <v>4</v>
      </c>
      <c r="B1792" s="0" t="n">
        <v>15</v>
      </c>
      <c r="C1792" s="0" t="n">
        <v>1915</v>
      </c>
      <c r="D1792" s="0" t="s">
        <v>4107</v>
      </c>
      <c r="E1792" s="0" t="s">
        <v>3948</v>
      </c>
      <c r="F1792" s="0" t="s">
        <v>4134</v>
      </c>
    </row>
    <row r="1793" customFormat="false" ht="12.8" hidden="false" customHeight="false" outlineLevel="0" collapsed="false">
      <c r="A1793" s="0" t="n">
        <v>4</v>
      </c>
      <c r="B1793" s="0" t="n">
        <v>15</v>
      </c>
      <c r="C1793" s="0" t="n">
        <v>1916</v>
      </c>
      <c r="D1793" s="0" t="s">
        <v>4107</v>
      </c>
      <c r="E1793" s="0" t="s">
        <v>3948</v>
      </c>
      <c r="F1793" s="0" t="s">
        <v>4133</v>
      </c>
    </row>
    <row r="1794" customFormat="false" ht="12.8" hidden="false" customHeight="false" outlineLevel="0" collapsed="false">
      <c r="A1794" s="0" t="n">
        <v>4</v>
      </c>
      <c r="B1794" s="0" t="n">
        <v>15</v>
      </c>
      <c r="C1794" s="0" t="n">
        <v>1917</v>
      </c>
      <c r="D1794" s="0" t="s">
        <v>4107</v>
      </c>
      <c r="E1794" s="0" t="s">
        <v>3948</v>
      </c>
      <c r="F1794" s="0" t="s">
        <v>4132</v>
      </c>
    </row>
    <row r="1795" customFormat="false" ht="12.8" hidden="false" customHeight="false" outlineLevel="0" collapsed="false">
      <c r="A1795" s="0" t="n">
        <v>4</v>
      </c>
      <c r="B1795" s="0" t="n">
        <v>15</v>
      </c>
      <c r="C1795" s="0" t="n">
        <v>1918</v>
      </c>
      <c r="D1795" s="0" t="s">
        <v>4107</v>
      </c>
      <c r="E1795" s="0" t="s">
        <v>3948</v>
      </c>
      <c r="F1795" s="0" t="s">
        <v>4130</v>
      </c>
    </row>
    <row r="1796" customFormat="false" ht="12.8" hidden="false" customHeight="false" outlineLevel="0" collapsed="false">
      <c r="A1796" s="0" t="n">
        <v>4</v>
      </c>
      <c r="B1796" s="0" t="n">
        <v>15</v>
      </c>
      <c r="C1796" s="0" t="n">
        <v>1919</v>
      </c>
      <c r="D1796" s="0" t="s">
        <v>4107</v>
      </c>
      <c r="E1796" s="0" t="s">
        <v>3948</v>
      </c>
      <c r="F1796" s="0" t="s">
        <v>4128</v>
      </c>
    </row>
    <row r="1797" customFormat="false" ht="12.8" hidden="false" customHeight="false" outlineLevel="0" collapsed="false">
      <c r="A1797" s="0" t="n">
        <v>4</v>
      </c>
      <c r="B1797" s="0" t="n">
        <v>15</v>
      </c>
      <c r="C1797" s="0" t="n">
        <v>1933</v>
      </c>
      <c r="D1797" s="0" t="s">
        <v>4107</v>
      </c>
      <c r="E1797" s="0" t="s">
        <v>3948</v>
      </c>
      <c r="F1797" s="0" t="s">
        <v>4115</v>
      </c>
    </row>
    <row r="1798" customFormat="false" ht="12.8" hidden="false" customHeight="false" outlineLevel="0" collapsed="false">
      <c r="A1798" s="0" t="n">
        <v>4</v>
      </c>
      <c r="B1798" s="0" t="n">
        <v>15</v>
      </c>
      <c r="C1798" s="0" t="n">
        <v>1947</v>
      </c>
      <c r="D1798" s="0" t="s">
        <v>4107</v>
      </c>
      <c r="E1798" s="0" t="s">
        <v>3948</v>
      </c>
      <c r="F1798" s="0" t="s">
        <v>4139</v>
      </c>
    </row>
    <row r="1799" customFormat="false" ht="12.8" hidden="false" customHeight="false" outlineLevel="0" collapsed="false">
      <c r="A1799" s="0" t="n">
        <v>4</v>
      </c>
      <c r="B1799" s="0" t="n">
        <v>15</v>
      </c>
      <c r="C1799" s="0" t="n">
        <v>1948</v>
      </c>
      <c r="D1799" s="0" t="s">
        <v>4107</v>
      </c>
      <c r="E1799" s="0" t="s">
        <v>3948</v>
      </c>
      <c r="F1799" s="0" t="s">
        <v>4125</v>
      </c>
    </row>
    <row r="1800" customFormat="false" ht="12.8" hidden="false" customHeight="false" outlineLevel="0" collapsed="false">
      <c r="A1800" s="0" t="n">
        <v>4</v>
      </c>
      <c r="B1800" s="0" t="n">
        <v>15</v>
      </c>
      <c r="C1800" s="0" t="n">
        <v>1949</v>
      </c>
      <c r="D1800" s="0" t="s">
        <v>4107</v>
      </c>
      <c r="E1800" s="0" t="s">
        <v>3948</v>
      </c>
      <c r="F1800" s="0" t="s">
        <v>4143</v>
      </c>
    </row>
    <row r="1801" customFormat="false" ht="12.8" hidden="false" customHeight="false" outlineLevel="0" collapsed="false">
      <c r="A1801" s="0" t="n">
        <v>4</v>
      </c>
      <c r="B1801" s="0" t="n">
        <v>15</v>
      </c>
      <c r="C1801" s="0" t="n">
        <v>1951</v>
      </c>
      <c r="D1801" s="0" t="s">
        <v>4107</v>
      </c>
      <c r="E1801" s="0" t="s">
        <v>3948</v>
      </c>
      <c r="F1801" s="0" t="s">
        <v>4113</v>
      </c>
    </row>
    <row r="1802" customFormat="false" ht="12.8" hidden="false" customHeight="false" outlineLevel="0" collapsed="false">
      <c r="A1802" s="0" t="n">
        <v>4</v>
      </c>
      <c r="B1802" s="0" t="n">
        <v>15</v>
      </c>
      <c r="C1802" s="0" t="n">
        <v>1958</v>
      </c>
      <c r="D1802" s="0" t="s">
        <v>4107</v>
      </c>
      <c r="E1802" s="0" t="s">
        <v>3948</v>
      </c>
      <c r="F1802" s="0" t="s">
        <v>4111</v>
      </c>
    </row>
    <row r="1803" customFormat="false" ht="12.8" hidden="false" customHeight="false" outlineLevel="0" collapsed="false">
      <c r="A1803" s="0" t="n">
        <v>4</v>
      </c>
      <c r="B1803" s="0" t="n">
        <v>15</v>
      </c>
      <c r="C1803" s="0" t="n">
        <v>1959</v>
      </c>
      <c r="D1803" s="0" t="s">
        <v>4107</v>
      </c>
      <c r="E1803" s="0" t="s">
        <v>3948</v>
      </c>
      <c r="F1803" s="0" t="s">
        <v>4116</v>
      </c>
    </row>
    <row r="1804" customFormat="false" ht="12.8" hidden="false" customHeight="false" outlineLevel="0" collapsed="false">
      <c r="A1804" s="0" t="n">
        <v>4</v>
      </c>
      <c r="B1804" s="0" t="n">
        <v>15</v>
      </c>
      <c r="C1804" s="0" t="n">
        <v>1960</v>
      </c>
      <c r="D1804" s="0" t="s">
        <v>4107</v>
      </c>
      <c r="E1804" s="0" t="s">
        <v>3948</v>
      </c>
      <c r="F1804" s="0" t="s">
        <v>4121</v>
      </c>
    </row>
    <row r="1805" customFormat="false" ht="12.8" hidden="false" customHeight="false" outlineLevel="0" collapsed="false">
      <c r="A1805" s="0" t="n">
        <v>4</v>
      </c>
      <c r="B1805" s="0" t="n">
        <v>15</v>
      </c>
      <c r="C1805" s="0" t="n">
        <v>1961</v>
      </c>
      <c r="D1805" s="0" t="s">
        <v>4107</v>
      </c>
      <c r="E1805" s="0" t="s">
        <v>3948</v>
      </c>
      <c r="F1805" s="0" t="s">
        <v>4137</v>
      </c>
    </row>
    <row r="1806" customFormat="false" ht="12.8" hidden="false" customHeight="false" outlineLevel="0" collapsed="false">
      <c r="A1806" s="0" t="n">
        <v>4</v>
      </c>
      <c r="B1806" s="0" t="n">
        <v>15</v>
      </c>
      <c r="C1806" s="0" t="n">
        <v>1962</v>
      </c>
      <c r="D1806" s="0" t="s">
        <v>4107</v>
      </c>
      <c r="E1806" s="0" t="s">
        <v>3948</v>
      </c>
      <c r="F1806" s="0" t="s">
        <v>4138</v>
      </c>
    </row>
    <row r="1807" customFormat="false" ht="12.8" hidden="false" customHeight="false" outlineLevel="0" collapsed="false">
      <c r="A1807" s="0" t="n">
        <v>4</v>
      </c>
      <c r="B1807" s="0" t="n">
        <v>15</v>
      </c>
      <c r="C1807" s="0" t="n">
        <v>1963</v>
      </c>
      <c r="D1807" s="0" t="s">
        <v>4107</v>
      </c>
      <c r="E1807" s="0" t="s">
        <v>3948</v>
      </c>
      <c r="F1807" s="0" t="s">
        <v>4145</v>
      </c>
    </row>
    <row r="1808" customFormat="false" ht="12.8" hidden="false" customHeight="false" outlineLevel="0" collapsed="false">
      <c r="A1808" s="0" t="n">
        <v>4</v>
      </c>
      <c r="B1808" s="0" t="n">
        <v>15</v>
      </c>
      <c r="C1808" s="0" t="n">
        <v>1964</v>
      </c>
      <c r="D1808" s="0" t="s">
        <v>4107</v>
      </c>
      <c r="E1808" s="0" t="s">
        <v>3948</v>
      </c>
      <c r="F1808" s="0" t="s">
        <v>4146</v>
      </c>
    </row>
    <row r="1809" customFormat="false" ht="12.8" hidden="false" customHeight="false" outlineLevel="0" collapsed="false">
      <c r="A1809" s="0" t="n">
        <v>4</v>
      </c>
      <c r="B1809" s="0" t="n">
        <v>15</v>
      </c>
      <c r="C1809" s="0" t="n">
        <v>1965</v>
      </c>
      <c r="D1809" s="0" t="s">
        <v>4107</v>
      </c>
      <c r="E1809" s="0" t="s">
        <v>3948</v>
      </c>
      <c r="F1809" s="0" t="s">
        <v>4150</v>
      </c>
    </row>
    <row r="1810" customFormat="false" ht="12.8" hidden="false" customHeight="false" outlineLevel="0" collapsed="false">
      <c r="A1810" s="0" t="n">
        <v>4</v>
      </c>
      <c r="B1810" s="0" t="n">
        <v>15</v>
      </c>
      <c r="C1810" s="0" t="n">
        <v>1967</v>
      </c>
      <c r="D1810" s="0" t="s">
        <v>4107</v>
      </c>
      <c r="E1810" s="0" t="s">
        <v>3948</v>
      </c>
      <c r="F1810" s="0" t="s">
        <v>4131</v>
      </c>
    </row>
    <row r="1811" customFormat="false" ht="12.8" hidden="false" customHeight="false" outlineLevel="0" collapsed="false">
      <c r="A1811" s="0" t="n">
        <v>4</v>
      </c>
      <c r="B1811" s="0" t="n">
        <v>15</v>
      </c>
      <c r="C1811" s="0" t="n">
        <v>1983</v>
      </c>
      <c r="D1811" s="0" t="s">
        <v>4107</v>
      </c>
      <c r="E1811" s="0" t="s">
        <v>3948</v>
      </c>
      <c r="F1811" s="0" t="s">
        <v>4039</v>
      </c>
    </row>
    <row r="1812" customFormat="false" ht="12.8" hidden="false" customHeight="false" outlineLevel="0" collapsed="false">
      <c r="A1812" s="0" t="n">
        <v>4</v>
      </c>
      <c r="B1812" s="0" t="n">
        <v>15</v>
      </c>
      <c r="C1812" s="0" t="n">
        <v>1988</v>
      </c>
      <c r="D1812" s="0" t="s">
        <v>4107</v>
      </c>
      <c r="E1812" s="0" t="s">
        <v>3948</v>
      </c>
      <c r="F1812" s="0" t="s">
        <v>4129</v>
      </c>
    </row>
    <row r="1813" customFormat="false" ht="12.8" hidden="false" customHeight="false" outlineLevel="0" collapsed="false">
      <c r="A1813" s="0" t="n">
        <v>4</v>
      </c>
      <c r="B1813" s="0" t="n">
        <v>15</v>
      </c>
      <c r="C1813" s="0" t="n">
        <v>1990</v>
      </c>
      <c r="D1813" s="0" t="s">
        <v>4107</v>
      </c>
      <c r="E1813" s="0" t="s">
        <v>3948</v>
      </c>
      <c r="F1813" s="0" t="s">
        <v>4114</v>
      </c>
    </row>
    <row r="1814" customFormat="false" ht="12.8" hidden="false" customHeight="false" outlineLevel="0" collapsed="false">
      <c r="A1814" s="0" t="n">
        <v>4</v>
      </c>
      <c r="B1814" s="0" t="n">
        <v>15</v>
      </c>
      <c r="C1814" s="0" t="n">
        <v>1995</v>
      </c>
      <c r="D1814" s="0" t="s">
        <v>4107</v>
      </c>
      <c r="E1814" s="0" t="s">
        <v>3948</v>
      </c>
      <c r="F1814" s="0" t="s">
        <v>4155</v>
      </c>
    </row>
    <row r="1815" customFormat="false" ht="12.8" hidden="false" customHeight="false" outlineLevel="0" collapsed="false">
      <c r="A1815" s="0" t="n">
        <v>4</v>
      </c>
      <c r="B1815" s="0" t="n">
        <v>15</v>
      </c>
      <c r="C1815" s="0" t="n">
        <v>2007</v>
      </c>
      <c r="D1815" s="0" t="s">
        <v>4107</v>
      </c>
      <c r="E1815" s="0" t="s">
        <v>3948</v>
      </c>
      <c r="F1815" s="0" t="s">
        <v>4147</v>
      </c>
    </row>
    <row r="1816" customFormat="false" ht="12.8" hidden="false" customHeight="false" outlineLevel="0" collapsed="false">
      <c r="A1816" s="0" t="n">
        <v>4</v>
      </c>
      <c r="B1816" s="0" t="n">
        <v>15</v>
      </c>
      <c r="C1816" s="0" t="n">
        <v>2008</v>
      </c>
      <c r="D1816" s="0" t="s">
        <v>4107</v>
      </c>
      <c r="E1816" s="0" t="s">
        <v>3948</v>
      </c>
      <c r="F1816" s="0" t="s">
        <v>4110</v>
      </c>
    </row>
    <row r="1817" customFormat="false" ht="12.8" hidden="false" customHeight="false" outlineLevel="0" collapsed="false">
      <c r="A1817" s="0" t="n">
        <v>4</v>
      </c>
      <c r="B1817" s="0" t="n">
        <v>15</v>
      </c>
      <c r="C1817" s="0" t="n">
        <v>2015</v>
      </c>
      <c r="D1817" s="0" t="s">
        <v>4107</v>
      </c>
      <c r="E1817" s="0" t="s">
        <v>3948</v>
      </c>
      <c r="F1817" s="0" t="s">
        <v>4156</v>
      </c>
    </row>
    <row r="1818" customFormat="false" ht="12.8" hidden="false" customHeight="false" outlineLevel="0" collapsed="false">
      <c r="A1818" s="0" t="n">
        <v>4</v>
      </c>
      <c r="B1818" s="0" t="n">
        <v>15</v>
      </c>
      <c r="C1818" s="0" t="n">
        <v>2016</v>
      </c>
      <c r="D1818" s="0" t="s">
        <v>4107</v>
      </c>
      <c r="E1818" s="0" t="s">
        <v>3948</v>
      </c>
      <c r="F1818" s="0" t="s">
        <v>4117</v>
      </c>
    </row>
    <row r="1819" customFormat="false" ht="12.8" hidden="false" customHeight="false" outlineLevel="0" collapsed="false">
      <c r="A1819" s="0" t="n">
        <v>4</v>
      </c>
      <c r="B1819" s="0" t="n">
        <v>15</v>
      </c>
      <c r="C1819" s="0" t="n">
        <v>2017</v>
      </c>
      <c r="D1819" s="0" t="s">
        <v>4107</v>
      </c>
      <c r="E1819" s="0" t="s">
        <v>3948</v>
      </c>
      <c r="F1819" s="0" t="s">
        <v>4118</v>
      </c>
    </row>
    <row r="1820" customFormat="false" ht="12.8" hidden="false" customHeight="false" outlineLevel="0" collapsed="false">
      <c r="A1820" s="0" t="n">
        <v>4</v>
      </c>
      <c r="B1820" s="0" t="n">
        <v>15</v>
      </c>
      <c r="C1820" s="0" t="n">
        <v>2018</v>
      </c>
      <c r="D1820" s="0" t="s">
        <v>4107</v>
      </c>
      <c r="E1820" s="0" t="s">
        <v>3948</v>
      </c>
      <c r="F1820" s="0" t="s">
        <v>4086</v>
      </c>
    </row>
    <row r="1821" customFormat="false" ht="12.8" hidden="false" customHeight="false" outlineLevel="0" collapsed="false">
      <c r="A1821" s="0" t="n">
        <v>4</v>
      </c>
      <c r="B1821" s="0" t="n">
        <v>15</v>
      </c>
      <c r="C1821" s="0" t="n">
        <v>2257</v>
      </c>
      <c r="D1821" s="0" t="s">
        <v>4107</v>
      </c>
      <c r="E1821" s="0" t="s">
        <v>3948</v>
      </c>
      <c r="F1821" s="0" t="s">
        <v>4108</v>
      </c>
    </row>
    <row r="1822" customFormat="false" ht="12.8" hidden="false" customHeight="false" outlineLevel="0" collapsed="false">
      <c r="A1822" s="0" t="n">
        <v>4</v>
      </c>
      <c r="B1822" s="0" t="n">
        <v>15</v>
      </c>
      <c r="C1822" s="0" t="n">
        <v>2258</v>
      </c>
      <c r="D1822" s="0" t="s">
        <v>4107</v>
      </c>
      <c r="E1822" s="0" t="s">
        <v>3948</v>
      </c>
      <c r="F1822" s="0" t="s">
        <v>4109</v>
      </c>
    </row>
    <row r="1823" customFormat="false" ht="12.8" hidden="false" customHeight="false" outlineLevel="0" collapsed="false">
      <c r="A1823" s="0" t="n">
        <v>4</v>
      </c>
      <c r="B1823" s="0" t="n">
        <v>15</v>
      </c>
      <c r="C1823" s="0" t="n">
        <v>2259</v>
      </c>
      <c r="D1823" s="0" t="s">
        <v>4107</v>
      </c>
      <c r="E1823" s="0" t="s">
        <v>3948</v>
      </c>
      <c r="F1823" s="0" t="s">
        <v>4039</v>
      </c>
    </row>
    <row r="1824" customFormat="false" ht="12.8" hidden="false" customHeight="false" outlineLevel="0" collapsed="false">
      <c r="A1824" s="0" t="n">
        <v>4</v>
      </c>
      <c r="B1824" s="0" t="n">
        <v>15</v>
      </c>
      <c r="C1824" s="0" t="n">
        <v>2260</v>
      </c>
      <c r="D1824" s="0" t="s">
        <v>4107</v>
      </c>
      <c r="E1824" s="0" t="s">
        <v>3948</v>
      </c>
      <c r="F1824" s="0" t="s">
        <v>4110</v>
      </c>
    </row>
    <row r="1825" customFormat="false" ht="12.8" hidden="false" customHeight="false" outlineLevel="0" collapsed="false">
      <c r="A1825" s="0" t="n">
        <v>4</v>
      </c>
      <c r="B1825" s="0" t="n">
        <v>15</v>
      </c>
      <c r="C1825" s="0" t="n">
        <v>2261</v>
      </c>
      <c r="D1825" s="0" t="s">
        <v>4107</v>
      </c>
      <c r="E1825" s="0" t="s">
        <v>3948</v>
      </c>
      <c r="F1825" s="0" t="s">
        <v>4111</v>
      </c>
    </row>
    <row r="1826" customFormat="false" ht="12.8" hidden="false" customHeight="false" outlineLevel="0" collapsed="false">
      <c r="A1826" s="0" t="n">
        <v>4</v>
      </c>
      <c r="B1826" s="0" t="n">
        <v>15</v>
      </c>
      <c r="C1826" s="0" t="n">
        <v>2262</v>
      </c>
      <c r="D1826" s="0" t="s">
        <v>4107</v>
      </c>
      <c r="E1826" s="0" t="s">
        <v>3948</v>
      </c>
      <c r="F1826" s="0" t="s">
        <v>4112</v>
      </c>
    </row>
    <row r="1827" customFormat="false" ht="12.8" hidden="false" customHeight="false" outlineLevel="0" collapsed="false">
      <c r="A1827" s="0" t="n">
        <v>4</v>
      </c>
      <c r="B1827" s="0" t="n">
        <v>15</v>
      </c>
      <c r="C1827" s="0" t="n">
        <v>2263</v>
      </c>
      <c r="D1827" s="0" t="s">
        <v>4107</v>
      </c>
      <c r="E1827" s="0" t="s">
        <v>3948</v>
      </c>
      <c r="F1827" s="0" t="s">
        <v>4113</v>
      </c>
    </row>
    <row r="1828" customFormat="false" ht="12.8" hidden="false" customHeight="false" outlineLevel="0" collapsed="false">
      <c r="A1828" s="0" t="n">
        <v>4</v>
      </c>
      <c r="B1828" s="0" t="n">
        <v>15</v>
      </c>
      <c r="C1828" s="0" t="n">
        <v>2264</v>
      </c>
      <c r="D1828" s="0" t="s">
        <v>4107</v>
      </c>
      <c r="E1828" s="0" t="s">
        <v>3948</v>
      </c>
      <c r="F1828" s="0" t="s">
        <v>4114</v>
      </c>
    </row>
    <row r="1829" customFormat="false" ht="12.8" hidden="false" customHeight="false" outlineLevel="0" collapsed="false">
      <c r="A1829" s="0" t="n">
        <v>4</v>
      </c>
      <c r="B1829" s="0" t="n">
        <v>15</v>
      </c>
      <c r="C1829" s="0" t="n">
        <v>2265</v>
      </c>
      <c r="D1829" s="0" t="s">
        <v>4107</v>
      </c>
      <c r="E1829" s="0" t="s">
        <v>3948</v>
      </c>
      <c r="F1829" s="0" t="s">
        <v>4115</v>
      </c>
    </row>
    <row r="1830" customFormat="false" ht="12.8" hidden="false" customHeight="false" outlineLevel="0" collapsed="false">
      <c r="A1830" s="0" t="n">
        <v>4</v>
      </c>
      <c r="B1830" s="0" t="n">
        <v>15</v>
      </c>
      <c r="C1830" s="0" t="n">
        <v>2266</v>
      </c>
      <c r="D1830" s="0" t="s">
        <v>4107</v>
      </c>
      <c r="E1830" s="0" t="s">
        <v>3948</v>
      </c>
      <c r="F1830" s="0" t="s">
        <v>4116</v>
      </c>
    </row>
    <row r="1831" customFormat="false" ht="12.8" hidden="false" customHeight="false" outlineLevel="0" collapsed="false">
      <c r="A1831" s="0" t="n">
        <v>4</v>
      </c>
      <c r="B1831" s="0" t="n">
        <v>15</v>
      </c>
      <c r="C1831" s="0" t="n">
        <v>2267</v>
      </c>
      <c r="D1831" s="0" t="s">
        <v>4107</v>
      </c>
      <c r="E1831" s="0" t="s">
        <v>3948</v>
      </c>
      <c r="F1831" s="0" t="s">
        <v>4117</v>
      </c>
    </row>
    <row r="1832" customFormat="false" ht="12.8" hidden="false" customHeight="false" outlineLevel="0" collapsed="false">
      <c r="A1832" s="0" t="n">
        <v>4</v>
      </c>
      <c r="B1832" s="0" t="n">
        <v>15</v>
      </c>
      <c r="C1832" s="0" t="n">
        <v>2268</v>
      </c>
      <c r="D1832" s="0" t="s">
        <v>4107</v>
      </c>
      <c r="E1832" s="0" t="s">
        <v>3948</v>
      </c>
      <c r="F1832" s="0" t="s">
        <v>4118</v>
      </c>
    </row>
    <row r="1833" customFormat="false" ht="12.8" hidden="false" customHeight="false" outlineLevel="0" collapsed="false">
      <c r="A1833" s="0" t="n">
        <v>4</v>
      </c>
      <c r="B1833" s="0" t="n">
        <v>15</v>
      </c>
      <c r="C1833" s="0" t="n">
        <v>2269</v>
      </c>
      <c r="D1833" s="0" t="s">
        <v>4107</v>
      </c>
      <c r="E1833" s="0" t="s">
        <v>3948</v>
      </c>
      <c r="F1833" s="0" t="s">
        <v>4119</v>
      </c>
    </row>
    <row r="1834" customFormat="false" ht="12.8" hidden="false" customHeight="false" outlineLevel="0" collapsed="false">
      <c r="A1834" s="0" t="n">
        <v>4</v>
      </c>
      <c r="B1834" s="0" t="n">
        <v>15</v>
      </c>
      <c r="C1834" s="0" t="n">
        <v>2270</v>
      </c>
      <c r="D1834" s="0" t="s">
        <v>4107</v>
      </c>
      <c r="E1834" s="0" t="s">
        <v>3948</v>
      </c>
      <c r="F1834" s="0" t="s">
        <v>4120</v>
      </c>
    </row>
    <row r="1835" customFormat="false" ht="12.8" hidden="false" customHeight="false" outlineLevel="0" collapsed="false">
      <c r="A1835" s="0" t="n">
        <v>4</v>
      </c>
      <c r="B1835" s="0" t="n">
        <v>15</v>
      </c>
      <c r="C1835" s="0" t="n">
        <v>2271</v>
      </c>
      <c r="D1835" s="0" t="s">
        <v>4107</v>
      </c>
      <c r="E1835" s="0" t="s">
        <v>3948</v>
      </c>
      <c r="F1835" s="0" t="s">
        <v>4121</v>
      </c>
    </row>
    <row r="1836" customFormat="false" ht="12.8" hidden="false" customHeight="false" outlineLevel="0" collapsed="false">
      <c r="A1836" s="0" t="n">
        <v>4</v>
      </c>
      <c r="B1836" s="0" t="n">
        <v>15</v>
      </c>
      <c r="C1836" s="0" t="n">
        <v>2272</v>
      </c>
      <c r="D1836" s="0" t="s">
        <v>4107</v>
      </c>
      <c r="E1836" s="0" t="s">
        <v>3948</v>
      </c>
      <c r="F1836" s="0" t="s">
        <v>4150</v>
      </c>
    </row>
    <row r="1837" customFormat="false" ht="12.8" hidden="false" customHeight="false" outlineLevel="0" collapsed="false">
      <c r="A1837" s="0" t="n">
        <v>4</v>
      </c>
      <c r="B1837" s="0" t="n">
        <v>15</v>
      </c>
      <c r="C1837" s="0" t="n">
        <v>2273</v>
      </c>
      <c r="D1837" s="0" t="s">
        <v>4107</v>
      </c>
      <c r="E1837" s="0" t="s">
        <v>3948</v>
      </c>
      <c r="F1837" s="0" t="s">
        <v>4157</v>
      </c>
    </row>
    <row r="1838" customFormat="false" ht="12.8" hidden="false" customHeight="false" outlineLevel="0" collapsed="false">
      <c r="A1838" s="0" t="n">
        <v>4</v>
      </c>
      <c r="B1838" s="0" t="n">
        <v>15</v>
      </c>
      <c r="C1838" s="0" t="n">
        <v>2274</v>
      </c>
      <c r="D1838" s="0" t="s">
        <v>4107</v>
      </c>
      <c r="E1838" s="0" t="s">
        <v>3948</v>
      </c>
      <c r="F1838" s="0" t="s">
        <v>4122</v>
      </c>
    </row>
    <row r="1839" customFormat="false" ht="12.8" hidden="false" customHeight="false" outlineLevel="0" collapsed="false">
      <c r="A1839" s="0" t="n">
        <v>4</v>
      </c>
      <c r="B1839" s="0" t="n">
        <v>15</v>
      </c>
      <c r="C1839" s="0" t="n">
        <v>2275</v>
      </c>
      <c r="D1839" s="0" t="s">
        <v>4107</v>
      </c>
      <c r="E1839" s="0" t="s">
        <v>3948</v>
      </c>
      <c r="F1839" s="0" t="s">
        <v>4123</v>
      </c>
    </row>
    <row r="1840" customFormat="false" ht="12.8" hidden="false" customHeight="false" outlineLevel="0" collapsed="false">
      <c r="A1840" s="0" t="n">
        <v>4</v>
      </c>
      <c r="B1840" s="0" t="n">
        <v>15</v>
      </c>
      <c r="C1840" s="0" t="n">
        <v>2276</v>
      </c>
      <c r="D1840" s="0" t="s">
        <v>4107</v>
      </c>
      <c r="E1840" s="0" t="s">
        <v>3948</v>
      </c>
      <c r="F1840" s="0" t="s">
        <v>4124</v>
      </c>
    </row>
    <row r="1841" customFormat="false" ht="12.8" hidden="false" customHeight="false" outlineLevel="0" collapsed="false">
      <c r="A1841" s="0" t="n">
        <v>4</v>
      </c>
      <c r="B1841" s="0" t="n">
        <v>15</v>
      </c>
      <c r="C1841" s="0" t="n">
        <v>2277</v>
      </c>
      <c r="D1841" s="0" t="s">
        <v>4107</v>
      </c>
      <c r="E1841" s="0" t="s">
        <v>3948</v>
      </c>
      <c r="F1841" s="0" t="s">
        <v>4125</v>
      </c>
    </row>
    <row r="1842" customFormat="false" ht="12.8" hidden="false" customHeight="false" outlineLevel="0" collapsed="false">
      <c r="A1842" s="0" t="n">
        <v>4</v>
      </c>
      <c r="B1842" s="0" t="n">
        <v>15</v>
      </c>
      <c r="C1842" s="0" t="n">
        <v>2278</v>
      </c>
      <c r="D1842" s="0" t="s">
        <v>4107</v>
      </c>
      <c r="E1842" s="0" t="s">
        <v>3948</v>
      </c>
      <c r="F1842" s="0" t="s">
        <v>4126</v>
      </c>
    </row>
    <row r="1843" customFormat="false" ht="12.8" hidden="false" customHeight="false" outlineLevel="0" collapsed="false">
      <c r="A1843" s="0" t="n">
        <v>4</v>
      </c>
      <c r="B1843" s="0" t="n">
        <v>15</v>
      </c>
      <c r="C1843" s="0" t="n">
        <v>2279</v>
      </c>
      <c r="D1843" s="0" t="s">
        <v>4107</v>
      </c>
      <c r="E1843" s="0" t="s">
        <v>3948</v>
      </c>
      <c r="F1843" s="0" t="s">
        <v>4127</v>
      </c>
    </row>
    <row r="1844" customFormat="false" ht="12.8" hidden="false" customHeight="false" outlineLevel="0" collapsed="false">
      <c r="A1844" s="0" t="n">
        <v>4</v>
      </c>
      <c r="B1844" s="0" t="n">
        <v>15</v>
      </c>
      <c r="C1844" s="0" t="n">
        <v>2280</v>
      </c>
      <c r="D1844" s="0" t="s">
        <v>4107</v>
      </c>
      <c r="E1844" s="0" t="s">
        <v>3948</v>
      </c>
      <c r="F1844" s="0" t="s">
        <v>4128</v>
      </c>
    </row>
    <row r="1845" customFormat="false" ht="12.8" hidden="false" customHeight="false" outlineLevel="0" collapsed="false">
      <c r="A1845" s="0" t="n">
        <v>4</v>
      </c>
      <c r="B1845" s="0" t="n">
        <v>15</v>
      </c>
      <c r="C1845" s="0" t="n">
        <v>2281</v>
      </c>
      <c r="D1845" s="0" t="s">
        <v>4107</v>
      </c>
      <c r="E1845" s="0" t="s">
        <v>3948</v>
      </c>
      <c r="F1845" s="0" t="s">
        <v>4155</v>
      </c>
    </row>
    <row r="1846" customFormat="false" ht="12.8" hidden="false" customHeight="false" outlineLevel="0" collapsed="false">
      <c r="A1846" s="0" t="n">
        <v>4</v>
      </c>
      <c r="B1846" s="0" t="n">
        <v>15</v>
      </c>
      <c r="C1846" s="0" t="n">
        <v>2282</v>
      </c>
      <c r="D1846" s="0" t="s">
        <v>4107</v>
      </c>
      <c r="E1846" s="0" t="s">
        <v>3948</v>
      </c>
      <c r="F1846" s="0" t="s">
        <v>4129</v>
      </c>
    </row>
    <row r="1847" customFormat="false" ht="12.8" hidden="false" customHeight="false" outlineLevel="0" collapsed="false">
      <c r="A1847" s="0" t="n">
        <v>4</v>
      </c>
      <c r="B1847" s="0" t="n">
        <v>15</v>
      </c>
      <c r="C1847" s="0" t="n">
        <v>2283</v>
      </c>
      <c r="D1847" s="0" t="s">
        <v>4107</v>
      </c>
      <c r="E1847" s="0" t="s">
        <v>3948</v>
      </c>
      <c r="F1847" s="0" t="s">
        <v>4130</v>
      </c>
    </row>
    <row r="1848" customFormat="false" ht="12.8" hidden="false" customHeight="false" outlineLevel="0" collapsed="false">
      <c r="A1848" s="0" t="n">
        <v>4</v>
      </c>
      <c r="B1848" s="0" t="n">
        <v>15</v>
      </c>
      <c r="C1848" s="0" t="n">
        <v>2284</v>
      </c>
      <c r="D1848" s="0" t="s">
        <v>4107</v>
      </c>
      <c r="E1848" s="0" t="s">
        <v>3948</v>
      </c>
      <c r="F1848" s="0" t="s">
        <v>4131</v>
      </c>
    </row>
    <row r="1849" customFormat="false" ht="12.8" hidden="false" customHeight="false" outlineLevel="0" collapsed="false">
      <c r="A1849" s="0" t="n">
        <v>4</v>
      </c>
      <c r="B1849" s="0" t="n">
        <v>15</v>
      </c>
      <c r="C1849" s="0" t="n">
        <v>2285</v>
      </c>
      <c r="D1849" s="0" t="s">
        <v>4107</v>
      </c>
      <c r="E1849" s="0" t="s">
        <v>3948</v>
      </c>
      <c r="F1849" s="0" t="s">
        <v>4086</v>
      </c>
    </row>
    <row r="1850" customFormat="false" ht="12.8" hidden="false" customHeight="false" outlineLevel="0" collapsed="false">
      <c r="A1850" s="0" t="n">
        <v>4</v>
      </c>
      <c r="B1850" s="0" t="n">
        <v>15</v>
      </c>
      <c r="C1850" s="0" t="n">
        <v>2286</v>
      </c>
      <c r="D1850" s="0" t="s">
        <v>4107</v>
      </c>
      <c r="E1850" s="0" t="s">
        <v>3948</v>
      </c>
      <c r="F1850" s="0" t="s">
        <v>4132</v>
      </c>
    </row>
    <row r="1851" customFormat="false" ht="12.8" hidden="false" customHeight="false" outlineLevel="0" collapsed="false">
      <c r="A1851" s="0" t="n">
        <v>4</v>
      </c>
      <c r="B1851" s="0" t="n">
        <v>15</v>
      </c>
      <c r="C1851" s="0" t="n">
        <v>2287</v>
      </c>
      <c r="D1851" s="0" t="s">
        <v>4107</v>
      </c>
      <c r="E1851" s="0" t="s">
        <v>3948</v>
      </c>
      <c r="F1851" s="0" t="s">
        <v>4133</v>
      </c>
    </row>
    <row r="1852" customFormat="false" ht="12.8" hidden="false" customHeight="false" outlineLevel="0" collapsed="false">
      <c r="A1852" s="0" t="n">
        <v>4</v>
      </c>
      <c r="B1852" s="0" t="n">
        <v>15</v>
      </c>
      <c r="C1852" s="0" t="n">
        <v>2288</v>
      </c>
      <c r="D1852" s="0" t="s">
        <v>4107</v>
      </c>
      <c r="E1852" s="0" t="s">
        <v>3948</v>
      </c>
      <c r="F1852" s="0" t="s">
        <v>4134</v>
      </c>
    </row>
    <row r="1853" customFormat="false" ht="12.8" hidden="false" customHeight="false" outlineLevel="0" collapsed="false">
      <c r="A1853" s="0" t="n">
        <v>4</v>
      </c>
      <c r="B1853" s="0" t="n">
        <v>15</v>
      </c>
      <c r="C1853" s="0" t="n">
        <v>2289</v>
      </c>
      <c r="D1853" s="0" t="s">
        <v>4107</v>
      </c>
      <c r="E1853" s="0" t="s">
        <v>3948</v>
      </c>
      <c r="F1853" s="0" t="s">
        <v>4135</v>
      </c>
    </row>
    <row r="1854" customFormat="false" ht="12.8" hidden="false" customHeight="false" outlineLevel="0" collapsed="false">
      <c r="A1854" s="0" t="n">
        <v>4</v>
      </c>
      <c r="B1854" s="0" t="n">
        <v>15</v>
      </c>
      <c r="C1854" s="0" t="n">
        <v>2290</v>
      </c>
      <c r="D1854" s="0" t="s">
        <v>4107</v>
      </c>
      <c r="E1854" s="0" t="s">
        <v>3948</v>
      </c>
      <c r="F1854" s="0" t="s">
        <v>4136</v>
      </c>
    </row>
    <row r="1855" customFormat="false" ht="12.8" hidden="false" customHeight="false" outlineLevel="0" collapsed="false">
      <c r="A1855" s="0" t="n">
        <v>4</v>
      </c>
      <c r="B1855" s="0" t="n">
        <v>15</v>
      </c>
      <c r="C1855" s="0" t="n">
        <v>2291</v>
      </c>
      <c r="D1855" s="0" t="s">
        <v>4107</v>
      </c>
      <c r="E1855" s="0" t="s">
        <v>3948</v>
      </c>
      <c r="F1855" s="0" t="s">
        <v>4137</v>
      </c>
    </row>
    <row r="1856" customFormat="false" ht="12.8" hidden="false" customHeight="false" outlineLevel="0" collapsed="false">
      <c r="A1856" s="0" t="n">
        <v>4</v>
      </c>
      <c r="B1856" s="0" t="n">
        <v>15</v>
      </c>
      <c r="C1856" s="0" t="n">
        <v>2292</v>
      </c>
      <c r="D1856" s="0" t="s">
        <v>4107</v>
      </c>
      <c r="E1856" s="0" t="s">
        <v>3948</v>
      </c>
      <c r="F1856" s="0" t="s">
        <v>4138</v>
      </c>
    </row>
    <row r="1857" customFormat="false" ht="12.8" hidden="false" customHeight="false" outlineLevel="0" collapsed="false">
      <c r="A1857" s="0" t="n">
        <v>4</v>
      </c>
      <c r="B1857" s="0" t="n">
        <v>15</v>
      </c>
      <c r="C1857" s="0" t="n">
        <v>2293</v>
      </c>
      <c r="D1857" s="0" t="s">
        <v>4107</v>
      </c>
      <c r="E1857" s="0" t="s">
        <v>3948</v>
      </c>
      <c r="F1857" s="0" t="s">
        <v>4139</v>
      </c>
    </row>
    <row r="1858" customFormat="false" ht="12.8" hidden="false" customHeight="false" outlineLevel="0" collapsed="false">
      <c r="A1858" s="0" t="n">
        <v>4</v>
      </c>
      <c r="B1858" s="0" t="n">
        <v>15</v>
      </c>
      <c r="C1858" s="0" t="n">
        <v>2294</v>
      </c>
      <c r="D1858" s="0" t="s">
        <v>4107</v>
      </c>
      <c r="E1858" s="0" t="s">
        <v>3948</v>
      </c>
      <c r="F1858" s="0" t="s">
        <v>4140</v>
      </c>
    </row>
    <row r="1859" customFormat="false" ht="12.8" hidden="false" customHeight="false" outlineLevel="0" collapsed="false">
      <c r="A1859" s="0" t="n">
        <v>4</v>
      </c>
      <c r="B1859" s="0" t="n">
        <v>15</v>
      </c>
      <c r="C1859" s="0" t="n">
        <v>2295</v>
      </c>
      <c r="D1859" s="0" t="s">
        <v>4107</v>
      </c>
      <c r="E1859" s="0" t="s">
        <v>3948</v>
      </c>
      <c r="F1859" s="0" t="s">
        <v>4141</v>
      </c>
    </row>
    <row r="1860" customFormat="false" ht="12.8" hidden="false" customHeight="false" outlineLevel="0" collapsed="false">
      <c r="A1860" s="0" t="n">
        <v>4</v>
      </c>
      <c r="B1860" s="0" t="n">
        <v>15</v>
      </c>
      <c r="C1860" s="0" t="n">
        <v>2296</v>
      </c>
      <c r="D1860" s="0" t="s">
        <v>4107</v>
      </c>
      <c r="E1860" s="0" t="s">
        <v>3948</v>
      </c>
      <c r="F1860" s="0" t="s">
        <v>4142</v>
      </c>
    </row>
    <row r="1861" customFormat="false" ht="12.8" hidden="false" customHeight="false" outlineLevel="0" collapsed="false">
      <c r="A1861" s="0" t="n">
        <v>4</v>
      </c>
      <c r="B1861" s="0" t="n">
        <v>15</v>
      </c>
      <c r="C1861" s="0" t="n">
        <v>2297</v>
      </c>
      <c r="D1861" s="0" t="s">
        <v>4107</v>
      </c>
      <c r="E1861" s="0" t="s">
        <v>3948</v>
      </c>
      <c r="F1861" s="0" t="s">
        <v>4143</v>
      </c>
    </row>
    <row r="1862" customFormat="false" ht="12.8" hidden="false" customHeight="false" outlineLevel="0" collapsed="false">
      <c r="A1862" s="0" t="n">
        <v>4</v>
      </c>
      <c r="B1862" s="0" t="n">
        <v>15</v>
      </c>
      <c r="C1862" s="0" t="n">
        <v>2298</v>
      </c>
      <c r="D1862" s="0" t="s">
        <v>4107</v>
      </c>
      <c r="E1862" s="0" t="s">
        <v>3948</v>
      </c>
      <c r="F1862" s="0" t="s">
        <v>4144</v>
      </c>
    </row>
    <row r="1863" customFormat="false" ht="12.8" hidden="false" customHeight="false" outlineLevel="0" collapsed="false">
      <c r="A1863" s="0" t="n">
        <v>4</v>
      </c>
      <c r="B1863" s="0" t="n">
        <v>15</v>
      </c>
      <c r="C1863" s="0" t="n">
        <v>2299</v>
      </c>
      <c r="D1863" s="0" t="s">
        <v>4107</v>
      </c>
      <c r="E1863" s="0" t="s">
        <v>3948</v>
      </c>
      <c r="F1863" s="0" t="s">
        <v>4145</v>
      </c>
    </row>
    <row r="1864" customFormat="false" ht="12.8" hidden="false" customHeight="false" outlineLevel="0" collapsed="false">
      <c r="A1864" s="0" t="n">
        <v>4</v>
      </c>
      <c r="B1864" s="0" t="n">
        <v>15</v>
      </c>
      <c r="C1864" s="0" t="n">
        <v>2300</v>
      </c>
      <c r="D1864" s="0" t="s">
        <v>4107</v>
      </c>
      <c r="E1864" s="0" t="s">
        <v>3948</v>
      </c>
      <c r="F1864" s="0" t="s">
        <v>4146</v>
      </c>
    </row>
    <row r="1865" customFormat="false" ht="12.8" hidden="false" customHeight="false" outlineLevel="0" collapsed="false">
      <c r="A1865" s="0" t="n">
        <v>4</v>
      </c>
      <c r="B1865" s="0" t="n">
        <v>15</v>
      </c>
      <c r="C1865" s="0" t="n">
        <v>2301</v>
      </c>
      <c r="D1865" s="0" t="s">
        <v>4107</v>
      </c>
      <c r="E1865" s="0" t="s">
        <v>3948</v>
      </c>
      <c r="F1865" s="0" t="s">
        <v>4147</v>
      </c>
    </row>
    <row r="1866" customFormat="false" ht="12.8" hidden="false" customHeight="false" outlineLevel="0" collapsed="false">
      <c r="A1866" s="0" t="n">
        <v>4</v>
      </c>
      <c r="B1866" s="0" t="n">
        <v>15</v>
      </c>
      <c r="C1866" s="0" t="n">
        <v>2309</v>
      </c>
      <c r="D1866" s="0" t="s">
        <v>4107</v>
      </c>
      <c r="E1866" s="0" t="s">
        <v>3948</v>
      </c>
      <c r="F1866" s="0" t="s">
        <v>4121</v>
      </c>
    </row>
    <row r="1867" customFormat="false" ht="12.8" hidden="false" customHeight="false" outlineLevel="0" collapsed="false">
      <c r="A1867" s="0" t="n">
        <v>4</v>
      </c>
      <c r="B1867" s="0" t="n">
        <v>15</v>
      </c>
      <c r="C1867" s="0" t="n">
        <v>2370</v>
      </c>
      <c r="D1867" s="0" t="s">
        <v>4107</v>
      </c>
      <c r="E1867" s="0" t="s">
        <v>3948</v>
      </c>
      <c r="F1867" s="0" t="s">
        <v>4123</v>
      </c>
    </row>
    <row r="1868" customFormat="false" ht="12.8" hidden="false" customHeight="false" outlineLevel="0" collapsed="false">
      <c r="A1868" s="0" t="n">
        <v>4</v>
      </c>
      <c r="B1868" s="0" t="n">
        <v>15</v>
      </c>
      <c r="C1868" s="0" t="n">
        <v>2396</v>
      </c>
      <c r="D1868" s="0" t="s">
        <v>4107</v>
      </c>
      <c r="E1868" s="0" t="s">
        <v>3948</v>
      </c>
      <c r="F1868" s="0" t="s">
        <v>4123</v>
      </c>
    </row>
    <row r="1869" customFormat="false" ht="12.8" hidden="false" customHeight="false" outlineLevel="0" collapsed="false">
      <c r="A1869" s="0" t="n">
        <v>4</v>
      </c>
      <c r="B1869" s="0" t="n">
        <v>15</v>
      </c>
      <c r="C1869" s="0" t="n">
        <v>2398</v>
      </c>
      <c r="D1869" s="0" t="s">
        <v>4107</v>
      </c>
      <c r="E1869" s="0" t="s">
        <v>3948</v>
      </c>
      <c r="F1869" s="0" t="s">
        <v>4129</v>
      </c>
    </row>
    <row r="1870" customFormat="false" ht="12.8" hidden="false" customHeight="false" outlineLevel="0" collapsed="false">
      <c r="A1870" s="0" t="n">
        <v>4</v>
      </c>
      <c r="B1870" s="0" t="n">
        <v>15</v>
      </c>
      <c r="C1870" s="0" t="n">
        <v>2410</v>
      </c>
      <c r="D1870" s="0" t="s">
        <v>4107</v>
      </c>
      <c r="E1870" s="0" t="s">
        <v>3948</v>
      </c>
      <c r="F1870" s="0" t="s">
        <v>4157</v>
      </c>
    </row>
    <row r="1871" customFormat="false" ht="12.8" hidden="false" customHeight="false" outlineLevel="0" collapsed="false">
      <c r="A1871" s="0" t="n">
        <v>4</v>
      </c>
      <c r="B1871" s="0" t="n">
        <v>15</v>
      </c>
      <c r="C1871" s="0" t="n">
        <v>2411</v>
      </c>
      <c r="D1871" s="0" t="s">
        <v>4107</v>
      </c>
      <c r="E1871" s="0" t="s">
        <v>3948</v>
      </c>
      <c r="F1871" s="0" t="s">
        <v>4157</v>
      </c>
    </row>
    <row r="1872" customFormat="false" ht="12.8" hidden="false" customHeight="false" outlineLevel="0" collapsed="false">
      <c r="A1872" s="0" t="n">
        <v>4</v>
      </c>
      <c r="B1872" s="0" t="n">
        <v>15</v>
      </c>
      <c r="C1872" s="0" t="n">
        <v>2412</v>
      </c>
      <c r="D1872" s="0" t="s">
        <v>4107</v>
      </c>
      <c r="E1872" s="0" t="s">
        <v>3948</v>
      </c>
      <c r="F1872" s="0" t="s">
        <v>4157</v>
      </c>
    </row>
    <row r="1873" customFormat="false" ht="12.8" hidden="false" customHeight="false" outlineLevel="0" collapsed="false">
      <c r="A1873" s="0" t="n">
        <v>4</v>
      </c>
      <c r="B1873" s="0" t="n">
        <v>15</v>
      </c>
      <c r="C1873" s="0" t="n">
        <v>2442</v>
      </c>
      <c r="D1873" s="0" t="s">
        <v>4107</v>
      </c>
      <c r="E1873" s="0" t="s">
        <v>3948</v>
      </c>
      <c r="F1873" s="0" t="s">
        <v>4129</v>
      </c>
    </row>
    <row r="1874" customFormat="false" ht="12.8" hidden="false" customHeight="false" outlineLevel="0" collapsed="false">
      <c r="A1874" s="0" t="n">
        <v>4</v>
      </c>
      <c r="B1874" s="0" t="n">
        <v>15</v>
      </c>
      <c r="C1874" s="0" t="n">
        <v>2443</v>
      </c>
      <c r="D1874" s="0" t="s">
        <v>4107</v>
      </c>
      <c r="E1874" s="0" t="s">
        <v>3948</v>
      </c>
      <c r="F1874" s="0" t="s">
        <v>4129</v>
      </c>
    </row>
    <row r="1875" customFormat="false" ht="12.8" hidden="false" customHeight="false" outlineLevel="0" collapsed="false">
      <c r="A1875" s="0" t="n">
        <v>4</v>
      </c>
      <c r="B1875" s="0" t="n">
        <v>15</v>
      </c>
      <c r="C1875" s="0" t="n">
        <v>2533</v>
      </c>
      <c r="D1875" s="0" t="s">
        <v>4107</v>
      </c>
      <c r="E1875" s="0" t="s">
        <v>3948</v>
      </c>
      <c r="F1875" s="0" t="s">
        <v>4123</v>
      </c>
    </row>
    <row r="1876" customFormat="false" ht="12.8" hidden="false" customHeight="false" outlineLevel="0" collapsed="false">
      <c r="A1876" s="0" t="n">
        <v>4</v>
      </c>
      <c r="B1876" s="0" t="n">
        <v>15</v>
      </c>
      <c r="C1876" s="0" t="n">
        <v>2638</v>
      </c>
      <c r="D1876" s="0" t="s">
        <v>4107</v>
      </c>
      <c r="E1876" s="0" t="s">
        <v>3948</v>
      </c>
      <c r="F1876" s="0" t="s">
        <v>4144</v>
      </c>
    </row>
    <row r="1877" customFormat="false" ht="12.8" hidden="false" customHeight="false" outlineLevel="0" collapsed="false">
      <c r="A1877" s="0" t="n">
        <v>4</v>
      </c>
      <c r="B1877" s="0" t="n">
        <v>16</v>
      </c>
      <c r="C1877" s="0" t="n">
        <v>94</v>
      </c>
      <c r="D1877" s="0" t="s">
        <v>4107</v>
      </c>
      <c r="E1877" s="0" t="s">
        <v>3970</v>
      </c>
      <c r="F1877" s="0" t="s">
        <v>4108</v>
      </c>
    </row>
    <row r="1878" customFormat="false" ht="12.8" hidden="false" customHeight="false" outlineLevel="0" collapsed="false">
      <c r="A1878" s="0" t="n">
        <v>4</v>
      </c>
      <c r="B1878" s="0" t="n">
        <v>16</v>
      </c>
      <c r="C1878" s="0" t="n">
        <v>95</v>
      </c>
      <c r="D1878" s="0" t="s">
        <v>4107</v>
      </c>
      <c r="E1878" s="0" t="s">
        <v>3970</v>
      </c>
      <c r="F1878" s="0" t="s">
        <v>4109</v>
      </c>
    </row>
    <row r="1879" customFormat="false" ht="12.8" hidden="false" customHeight="false" outlineLevel="0" collapsed="false">
      <c r="A1879" s="0" t="n">
        <v>4</v>
      </c>
      <c r="B1879" s="0" t="n">
        <v>16</v>
      </c>
      <c r="C1879" s="0" t="n">
        <v>96</v>
      </c>
      <c r="D1879" s="0" t="s">
        <v>4107</v>
      </c>
      <c r="E1879" s="0" t="s">
        <v>3970</v>
      </c>
      <c r="F1879" s="0" t="s">
        <v>4039</v>
      </c>
    </row>
    <row r="1880" customFormat="false" ht="12.8" hidden="false" customHeight="false" outlineLevel="0" collapsed="false">
      <c r="A1880" s="0" t="n">
        <v>4</v>
      </c>
      <c r="B1880" s="0" t="n">
        <v>16</v>
      </c>
      <c r="C1880" s="0" t="n">
        <v>97</v>
      </c>
      <c r="D1880" s="0" t="s">
        <v>4107</v>
      </c>
      <c r="E1880" s="0" t="s">
        <v>3970</v>
      </c>
      <c r="F1880" s="0" t="s">
        <v>4110</v>
      </c>
    </row>
    <row r="1881" customFormat="false" ht="12.8" hidden="false" customHeight="false" outlineLevel="0" collapsed="false">
      <c r="A1881" s="0" t="n">
        <v>4</v>
      </c>
      <c r="B1881" s="0" t="n">
        <v>16</v>
      </c>
      <c r="C1881" s="0" t="n">
        <v>98</v>
      </c>
      <c r="D1881" s="0" t="s">
        <v>4107</v>
      </c>
      <c r="E1881" s="0" t="s">
        <v>3970</v>
      </c>
      <c r="F1881" s="0" t="s">
        <v>4111</v>
      </c>
    </row>
    <row r="1882" customFormat="false" ht="12.8" hidden="false" customHeight="false" outlineLevel="0" collapsed="false">
      <c r="A1882" s="0" t="n">
        <v>4</v>
      </c>
      <c r="B1882" s="0" t="n">
        <v>16</v>
      </c>
      <c r="C1882" s="0" t="n">
        <v>99</v>
      </c>
      <c r="D1882" s="0" t="s">
        <v>4107</v>
      </c>
      <c r="E1882" s="0" t="s">
        <v>3970</v>
      </c>
      <c r="F1882" s="0" t="s">
        <v>4112</v>
      </c>
    </row>
    <row r="1883" customFormat="false" ht="12.8" hidden="false" customHeight="false" outlineLevel="0" collapsed="false">
      <c r="A1883" s="0" t="n">
        <v>4</v>
      </c>
      <c r="B1883" s="0" t="n">
        <v>16</v>
      </c>
      <c r="C1883" s="0" t="n">
        <v>100</v>
      </c>
      <c r="D1883" s="0" t="s">
        <v>4107</v>
      </c>
      <c r="E1883" s="0" t="s">
        <v>3970</v>
      </c>
      <c r="F1883" s="0" t="s">
        <v>4113</v>
      </c>
    </row>
    <row r="1884" customFormat="false" ht="12.8" hidden="false" customHeight="false" outlineLevel="0" collapsed="false">
      <c r="A1884" s="0" t="n">
        <v>4</v>
      </c>
      <c r="B1884" s="0" t="n">
        <v>16</v>
      </c>
      <c r="C1884" s="0" t="n">
        <v>101</v>
      </c>
      <c r="D1884" s="0" t="s">
        <v>4107</v>
      </c>
      <c r="E1884" s="0" t="s">
        <v>3970</v>
      </c>
      <c r="F1884" s="0" t="s">
        <v>4114</v>
      </c>
    </row>
    <row r="1885" customFormat="false" ht="12.8" hidden="false" customHeight="false" outlineLevel="0" collapsed="false">
      <c r="A1885" s="0" t="n">
        <v>4</v>
      </c>
      <c r="B1885" s="0" t="n">
        <v>16</v>
      </c>
      <c r="C1885" s="0" t="n">
        <v>102</v>
      </c>
      <c r="D1885" s="0" t="s">
        <v>4107</v>
      </c>
      <c r="E1885" s="0" t="s">
        <v>3970</v>
      </c>
      <c r="F1885" s="0" t="s">
        <v>4115</v>
      </c>
    </row>
    <row r="1886" customFormat="false" ht="12.8" hidden="false" customHeight="false" outlineLevel="0" collapsed="false">
      <c r="A1886" s="0" t="n">
        <v>4</v>
      </c>
      <c r="B1886" s="0" t="n">
        <v>16</v>
      </c>
      <c r="C1886" s="0" t="n">
        <v>103</v>
      </c>
      <c r="D1886" s="0" t="s">
        <v>4107</v>
      </c>
      <c r="E1886" s="0" t="s">
        <v>3970</v>
      </c>
      <c r="F1886" s="0" t="s">
        <v>4116</v>
      </c>
    </row>
    <row r="1887" customFormat="false" ht="12.8" hidden="false" customHeight="false" outlineLevel="0" collapsed="false">
      <c r="A1887" s="0" t="n">
        <v>4</v>
      </c>
      <c r="B1887" s="0" t="n">
        <v>16</v>
      </c>
      <c r="C1887" s="0" t="n">
        <v>104</v>
      </c>
      <c r="D1887" s="0" t="s">
        <v>4107</v>
      </c>
      <c r="E1887" s="0" t="s">
        <v>3970</v>
      </c>
      <c r="F1887" s="0" t="s">
        <v>4117</v>
      </c>
    </row>
    <row r="1888" customFormat="false" ht="12.8" hidden="false" customHeight="false" outlineLevel="0" collapsed="false">
      <c r="A1888" s="0" t="n">
        <v>4</v>
      </c>
      <c r="B1888" s="0" t="n">
        <v>16</v>
      </c>
      <c r="C1888" s="0" t="n">
        <v>105</v>
      </c>
      <c r="D1888" s="0" t="s">
        <v>4107</v>
      </c>
      <c r="E1888" s="0" t="s">
        <v>3970</v>
      </c>
      <c r="F1888" s="0" t="s">
        <v>4118</v>
      </c>
    </row>
    <row r="1889" customFormat="false" ht="12.8" hidden="false" customHeight="false" outlineLevel="0" collapsed="false">
      <c r="A1889" s="0" t="n">
        <v>4</v>
      </c>
      <c r="B1889" s="0" t="n">
        <v>16</v>
      </c>
      <c r="C1889" s="0" t="n">
        <v>106</v>
      </c>
      <c r="D1889" s="0" t="s">
        <v>4107</v>
      </c>
      <c r="E1889" s="0" t="s">
        <v>3970</v>
      </c>
      <c r="F1889" s="0" t="s">
        <v>4119</v>
      </c>
    </row>
    <row r="1890" customFormat="false" ht="12.8" hidden="false" customHeight="false" outlineLevel="0" collapsed="false">
      <c r="A1890" s="0" t="n">
        <v>4</v>
      </c>
      <c r="B1890" s="0" t="n">
        <v>16</v>
      </c>
      <c r="C1890" s="0" t="n">
        <v>107</v>
      </c>
      <c r="D1890" s="0" t="s">
        <v>4107</v>
      </c>
      <c r="E1890" s="0" t="s">
        <v>3970</v>
      </c>
      <c r="F1890" s="0" t="s">
        <v>4120</v>
      </c>
    </row>
    <row r="1891" customFormat="false" ht="12.8" hidden="false" customHeight="false" outlineLevel="0" collapsed="false">
      <c r="A1891" s="0" t="n">
        <v>4</v>
      </c>
      <c r="B1891" s="0" t="n">
        <v>16</v>
      </c>
      <c r="C1891" s="0" t="n">
        <v>108</v>
      </c>
      <c r="D1891" s="0" t="s">
        <v>4107</v>
      </c>
      <c r="E1891" s="0" t="s">
        <v>3970</v>
      </c>
      <c r="F1891" s="0" t="s">
        <v>4121</v>
      </c>
    </row>
    <row r="1892" customFormat="false" ht="12.8" hidden="false" customHeight="false" outlineLevel="0" collapsed="false">
      <c r="A1892" s="0" t="n">
        <v>4</v>
      </c>
      <c r="B1892" s="0" t="n">
        <v>16</v>
      </c>
      <c r="C1892" s="0" t="n">
        <v>109</v>
      </c>
      <c r="D1892" s="0" t="s">
        <v>4107</v>
      </c>
      <c r="E1892" s="0" t="s">
        <v>3970</v>
      </c>
      <c r="F1892" s="0" t="s">
        <v>4122</v>
      </c>
    </row>
    <row r="1893" customFormat="false" ht="12.8" hidden="false" customHeight="false" outlineLevel="0" collapsed="false">
      <c r="A1893" s="0" t="n">
        <v>4</v>
      </c>
      <c r="B1893" s="0" t="n">
        <v>16</v>
      </c>
      <c r="C1893" s="0" t="n">
        <v>110</v>
      </c>
      <c r="D1893" s="0" t="s">
        <v>4107</v>
      </c>
      <c r="E1893" s="0" t="s">
        <v>3970</v>
      </c>
      <c r="F1893" s="0" t="s">
        <v>4158</v>
      </c>
    </row>
    <row r="1894" customFormat="false" ht="12.8" hidden="false" customHeight="false" outlineLevel="0" collapsed="false">
      <c r="A1894" s="0" t="n">
        <v>4</v>
      </c>
      <c r="B1894" s="0" t="n">
        <v>16</v>
      </c>
      <c r="C1894" s="0" t="n">
        <v>111</v>
      </c>
      <c r="D1894" s="0" t="s">
        <v>4107</v>
      </c>
      <c r="E1894" s="0" t="s">
        <v>3970</v>
      </c>
      <c r="F1894" s="0" t="s">
        <v>4124</v>
      </c>
    </row>
    <row r="1895" customFormat="false" ht="12.8" hidden="false" customHeight="false" outlineLevel="0" collapsed="false">
      <c r="A1895" s="0" t="n">
        <v>4</v>
      </c>
      <c r="B1895" s="0" t="n">
        <v>16</v>
      </c>
      <c r="C1895" s="0" t="n">
        <v>112</v>
      </c>
      <c r="D1895" s="0" t="s">
        <v>4107</v>
      </c>
      <c r="E1895" s="0" t="s">
        <v>3970</v>
      </c>
      <c r="F1895" s="0" t="s">
        <v>4159</v>
      </c>
    </row>
    <row r="1896" customFormat="false" ht="12.8" hidden="false" customHeight="false" outlineLevel="0" collapsed="false">
      <c r="A1896" s="0" t="n">
        <v>4</v>
      </c>
      <c r="B1896" s="0" t="n">
        <v>16</v>
      </c>
      <c r="C1896" s="0" t="n">
        <v>113</v>
      </c>
      <c r="D1896" s="0" t="s">
        <v>4107</v>
      </c>
      <c r="E1896" s="0" t="s">
        <v>3970</v>
      </c>
      <c r="F1896" s="0" t="s">
        <v>4125</v>
      </c>
    </row>
    <row r="1897" customFormat="false" ht="12.8" hidden="false" customHeight="false" outlineLevel="0" collapsed="false">
      <c r="A1897" s="0" t="n">
        <v>4</v>
      </c>
      <c r="B1897" s="0" t="n">
        <v>16</v>
      </c>
      <c r="C1897" s="0" t="n">
        <v>114</v>
      </c>
      <c r="D1897" s="0" t="s">
        <v>4107</v>
      </c>
      <c r="E1897" s="0" t="s">
        <v>3970</v>
      </c>
      <c r="F1897" s="0" t="s">
        <v>4126</v>
      </c>
    </row>
    <row r="1898" customFormat="false" ht="12.8" hidden="false" customHeight="false" outlineLevel="0" collapsed="false">
      <c r="A1898" s="0" t="n">
        <v>4</v>
      </c>
      <c r="B1898" s="0" t="n">
        <v>16</v>
      </c>
      <c r="C1898" s="0" t="n">
        <v>115</v>
      </c>
      <c r="D1898" s="0" t="s">
        <v>4107</v>
      </c>
      <c r="E1898" s="0" t="s">
        <v>3970</v>
      </c>
      <c r="F1898" s="0" t="s">
        <v>4127</v>
      </c>
    </row>
    <row r="1899" customFormat="false" ht="12.8" hidden="false" customHeight="false" outlineLevel="0" collapsed="false">
      <c r="A1899" s="0" t="n">
        <v>4</v>
      </c>
      <c r="B1899" s="0" t="n">
        <v>16</v>
      </c>
      <c r="C1899" s="0" t="n">
        <v>116</v>
      </c>
      <c r="D1899" s="0" t="s">
        <v>4107</v>
      </c>
      <c r="E1899" s="0" t="s">
        <v>3970</v>
      </c>
      <c r="F1899" s="0" t="s">
        <v>4128</v>
      </c>
    </row>
    <row r="1900" customFormat="false" ht="12.8" hidden="false" customHeight="false" outlineLevel="0" collapsed="false">
      <c r="A1900" s="0" t="n">
        <v>4</v>
      </c>
      <c r="B1900" s="0" t="n">
        <v>16</v>
      </c>
      <c r="C1900" s="0" t="n">
        <v>117</v>
      </c>
      <c r="D1900" s="0" t="s">
        <v>4107</v>
      </c>
      <c r="E1900" s="0" t="s">
        <v>3970</v>
      </c>
      <c r="F1900" s="0" t="s">
        <v>4129</v>
      </c>
    </row>
    <row r="1901" customFormat="false" ht="12.8" hidden="false" customHeight="false" outlineLevel="0" collapsed="false">
      <c r="A1901" s="0" t="n">
        <v>4</v>
      </c>
      <c r="B1901" s="0" t="n">
        <v>16</v>
      </c>
      <c r="C1901" s="0" t="n">
        <v>118</v>
      </c>
      <c r="D1901" s="0" t="s">
        <v>4107</v>
      </c>
      <c r="E1901" s="0" t="s">
        <v>3970</v>
      </c>
      <c r="F1901" s="0" t="s">
        <v>4130</v>
      </c>
    </row>
    <row r="1902" customFormat="false" ht="12.8" hidden="false" customHeight="false" outlineLevel="0" collapsed="false">
      <c r="A1902" s="0" t="n">
        <v>4</v>
      </c>
      <c r="B1902" s="0" t="n">
        <v>16</v>
      </c>
      <c r="C1902" s="0" t="n">
        <v>119</v>
      </c>
      <c r="D1902" s="0" t="s">
        <v>4107</v>
      </c>
      <c r="E1902" s="0" t="s">
        <v>3970</v>
      </c>
      <c r="F1902" s="0" t="s">
        <v>4131</v>
      </c>
    </row>
    <row r="1903" customFormat="false" ht="12.8" hidden="false" customHeight="false" outlineLevel="0" collapsed="false">
      <c r="A1903" s="0" t="n">
        <v>4</v>
      </c>
      <c r="B1903" s="0" t="n">
        <v>16</v>
      </c>
      <c r="C1903" s="0" t="n">
        <v>120</v>
      </c>
      <c r="D1903" s="0" t="s">
        <v>4107</v>
      </c>
      <c r="E1903" s="0" t="s">
        <v>3970</v>
      </c>
      <c r="F1903" s="0" t="s">
        <v>4086</v>
      </c>
    </row>
    <row r="1904" customFormat="false" ht="12.8" hidden="false" customHeight="false" outlineLevel="0" collapsed="false">
      <c r="A1904" s="0" t="n">
        <v>4</v>
      </c>
      <c r="B1904" s="0" t="n">
        <v>16</v>
      </c>
      <c r="C1904" s="0" t="n">
        <v>121</v>
      </c>
      <c r="D1904" s="0" t="s">
        <v>4107</v>
      </c>
      <c r="E1904" s="0" t="s">
        <v>3970</v>
      </c>
      <c r="F1904" s="0" t="s">
        <v>4132</v>
      </c>
    </row>
    <row r="1905" customFormat="false" ht="12.8" hidden="false" customHeight="false" outlineLevel="0" collapsed="false">
      <c r="A1905" s="0" t="n">
        <v>4</v>
      </c>
      <c r="B1905" s="0" t="n">
        <v>16</v>
      </c>
      <c r="C1905" s="0" t="n">
        <v>122</v>
      </c>
      <c r="D1905" s="0" t="s">
        <v>4107</v>
      </c>
      <c r="E1905" s="0" t="s">
        <v>3970</v>
      </c>
      <c r="F1905" s="0" t="s">
        <v>4133</v>
      </c>
    </row>
    <row r="1906" customFormat="false" ht="12.8" hidden="false" customHeight="false" outlineLevel="0" collapsed="false">
      <c r="A1906" s="0" t="n">
        <v>4</v>
      </c>
      <c r="B1906" s="0" t="n">
        <v>16</v>
      </c>
      <c r="C1906" s="0" t="n">
        <v>123</v>
      </c>
      <c r="D1906" s="0" t="s">
        <v>4107</v>
      </c>
      <c r="E1906" s="0" t="s">
        <v>3970</v>
      </c>
      <c r="F1906" s="0" t="s">
        <v>4134</v>
      </c>
    </row>
    <row r="1907" customFormat="false" ht="12.8" hidden="false" customHeight="false" outlineLevel="0" collapsed="false">
      <c r="A1907" s="0" t="n">
        <v>4</v>
      </c>
      <c r="B1907" s="0" t="n">
        <v>16</v>
      </c>
      <c r="C1907" s="0" t="n">
        <v>124</v>
      </c>
      <c r="D1907" s="0" t="s">
        <v>4107</v>
      </c>
      <c r="E1907" s="0" t="s">
        <v>3970</v>
      </c>
      <c r="F1907" s="0" t="s">
        <v>4135</v>
      </c>
    </row>
    <row r="1908" customFormat="false" ht="12.8" hidden="false" customHeight="false" outlineLevel="0" collapsed="false">
      <c r="A1908" s="0" t="n">
        <v>4</v>
      </c>
      <c r="B1908" s="0" t="n">
        <v>16</v>
      </c>
      <c r="C1908" s="0" t="n">
        <v>125</v>
      </c>
      <c r="D1908" s="0" t="s">
        <v>4107</v>
      </c>
      <c r="E1908" s="0" t="s">
        <v>3970</v>
      </c>
      <c r="F1908" s="0" t="s">
        <v>4136</v>
      </c>
    </row>
    <row r="1909" customFormat="false" ht="12.8" hidden="false" customHeight="false" outlineLevel="0" collapsed="false">
      <c r="A1909" s="0" t="n">
        <v>4</v>
      </c>
      <c r="B1909" s="0" t="n">
        <v>16</v>
      </c>
      <c r="C1909" s="0" t="n">
        <v>126</v>
      </c>
      <c r="D1909" s="0" t="s">
        <v>4107</v>
      </c>
      <c r="E1909" s="0" t="s">
        <v>3970</v>
      </c>
      <c r="F1909" s="0" t="s">
        <v>4137</v>
      </c>
    </row>
    <row r="1910" customFormat="false" ht="12.8" hidden="false" customHeight="false" outlineLevel="0" collapsed="false">
      <c r="A1910" s="0" t="n">
        <v>4</v>
      </c>
      <c r="B1910" s="0" t="n">
        <v>16</v>
      </c>
      <c r="C1910" s="0" t="n">
        <v>127</v>
      </c>
      <c r="D1910" s="0" t="s">
        <v>4107</v>
      </c>
      <c r="E1910" s="0" t="s">
        <v>3970</v>
      </c>
      <c r="F1910" s="0" t="s">
        <v>4138</v>
      </c>
    </row>
    <row r="1911" customFormat="false" ht="12.8" hidden="false" customHeight="false" outlineLevel="0" collapsed="false">
      <c r="A1911" s="0" t="n">
        <v>4</v>
      </c>
      <c r="B1911" s="0" t="n">
        <v>16</v>
      </c>
      <c r="C1911" s="0" t="n">
        <v>128</v>
      </c>
      <c r="D1911" s="0" t="s">
        <v>4107</v>
      </c>
      <c r="E1911" s="0" t="s">
        <v>3970</v>
      </c>
      <c r="F1911" s="0" t="s">
        <v>4139</v>
      </c>
    </row>
    <row r="1912" customFormat="false" ht="12.8" hidden="false" customHeight="false" outlineLevel="0" collapsed="false">
      <c r="A1912" s="0" t="n">
        <v>4</v>
      </c>
      <c r="B1912" s="0" t="n">
        <v>16</v>
      </c>
      <c r="C1912" s="0" t="n">
        <v>129</v>
      </c>
      <c r="D1912" s="0" t="s">
        <v>4107</v>
      </c>
      <c r="E1912" s="0" t="s">
        <v>3970</v>
      </c>
      <c r="F1912" s="0" t="s">
        <v>4140</v>
      </c>
    </row>
    <row r="1913" customFormat="false" ht="12.8" hidden="false" customHeight="false" outlineLevel="0" collapsed="false">
      <c r="A1913" s="0" t="n">
        <v>4</v>
      </c>
      <c r="B1913" s="0" t="n">
        <v>16</v>
      </c>
      <c r="C1913" s="0" t="n">
        <v>130</v>
      </c>
      <c r="D1913" s="0" t="s">
        <v>4107</v>
      </c>
      <c r="E1913" s="0" t="s">
        <v>3970</v>
      </c>
      <c r="F1913" s="0" t="s">
        <v>4141</v>
      </c>
    </row>
    <row r="1914" customFormat="false" ht="12.8" hidden="false" customHeight="false" outlineLevel="0" collapsed="false">
      <c r="A1914" s="0" t="n">
        <v>4</v>
      </c>
      <c r="B1914" s="0" t="n">
        <v>16</v>
      </c>
      <c r="C1914" s="0" t="n">
        <v>131</v>
      </c>
      <c r="D1914" s="0" t="s">
        <v>4107</v>
      </c>
      <c r="E1914" s="0" t="s">
        <v>3970</v>
      </c>
      <c r="F1914" s="0" t="s">
        <v>4142</v>
      </c>
    </row>
    <row r="1915" customFormat="false" ht="12.8" hidden="false" customHeight="false" outlineLevel="0" collapsed="false">
      <c r="A1915" s="0" t="n">
        <v>4</v>
      </c>
      <c r="B1915" s="0" t="n">
        <v>16</v>
      </c>
      <c r="C1915" s="0" t="n">
        <v>132</v>
      </c>
      <c r="D1915" s="0" t="s">
        <v>4107</v>
      </c>
      <c r="E1915" s="0" t="s">
        <v>3970</v>
      </c>
      <c r="F1915" s="0" t="s">
        <v>4143</v>
      </c>
    </row>
    <row r="1916" customFormat="false" ht="12.8" hidden="false" customHeight="false" outlineLevel="0" collapsed="false">
      <c r="A1916" s="0" t="n">
        <v>4</v>
      </c>
      <c r="B1916" s="0" t="n">
        <v>16</v>
      </c>
      <c r="C1916" s="0" t="n">
        <v>133</v>
      </c>
      <c r="D1916" s="0" t="s">
        <v>4107</v>
      </c>
      <c r="E1916" s="0" t="s">
        <v>3970</v>
      </c>
      <c r="F1916" s="0" t="s">
        <v>4144</v>
      </c>
    </row>
    <row r="1917" customFormat="false" ht="12.8" hidden="false" customHeight="false" outlineLevel="0" collapsed="false">
      <c r="A1917" s="0" t="n">
        <v>4</v>
      </c>
      <c r="B1917" s="0" t="n">
        <v>16</v>
      </c>
      <c r="C1917" s="0" t="n">
        <v>134</v>
      </c>
      <c r="D1917" s="0" t="s">
        <v>4107</v>
      </c>
      <c r="E1917" s="0" t="s">
        <v>3970</v>
      </c>
      <c r="F1917" s="0" t="s">
        <v>4145</v>
      </c>
    </row>
    <row r="1918" customFormat="false" ht="12.8" hidden="false" customHeight="false" outlineLevel="0" collapsed="false">
      <c r="A1918" s="0" t="n">
        <v>4</v>
      </c>
      <c r="B1918" s="0" t="n">
        <v>16</v>
      </c>
      <c r="C1918" s="0" t="n">
        <v>135</v>
      </c>
      <c r="D1918" s="0" t="s">
        <v>4107</v>
      </c>
      <c r="E1918" s="0" t="s">
        <v>3970</v>
      </c>
      <c r="F1918" s="0" t="s">
        <v>4146</v>
      </c>
    </row>
    <row r="1919" customFormat="false" ht="12.8" hidden="false" customHeight="false" outlineLevel="0" collapsed="false">
      <c r="A1919" s="0" t="n">
        <v>4</v>
      </c>
      <c r="B1919" s="0" t="n">
        <v>16</v>
      </c>
      <c r="C1919" s="0" t="n">
        <v>136</v>
      </c>
      <c r="D1919" s="0" t="s">
        <v>4107</v>
      </c>
      <c r="E1919" s="0" t="s">
        <v>3970</v>
      </c>
      <c r="F1919" s="0" t="s">
        <v>4147</v>
      </c>
    </row>
    <row r="1920" customFormat="false" ht="12.8" hidden="false" customHeight="false" outlineLevel="0" collapsed="false">
      <c r="A1920" s="0" t="n">
        <v>4</v>
      </c>
      <c r="B1920" s="0" t="n">
        <v>16</v>
      </c>
      <c r="C1920" s="0" t="n">
        <v>217</v>
      </c>
      <c r="D1920" s="0" t="s">
        <v>4107</v>
      </c>
      <c r="E1920" s="0" t="s">
        <v>3970</v>
      </c>
      <c r="F1920" s="0" t="s">
        <v>4108</v>
      </c>
    </row>
    <row r="1921" customFormat="false" ht="12.8" hidden="false" customHeight="false" outlineLevel="0" collapsed="false">
      <c r="A1921" s="0" t="n">
        <v>4</v>
      </c>
      <c r="B1921" s="0" t="n">
        <v>16</v>
      </c>
      <c r="C1921" s="0" t="n">
        <v>218</v>
      </c>
      <c r="D1921" s="0" t="s">
        <v>4107</v>
      </c>
      <c r="E1921" s="0" t="s">
        <v>3970</v>
      </c>
      <c r="F1921" s="0" t="s">
        <v>4109</v>
      </c>
    </row>
    <row r="1922" customFormat="false" ht="12.8" hidden="false" customHeight="false" outlineLevel="0" collapsed="false">
      <c r="A1922" s="0" t="n">
        <v>4</v>
      </c>
      <c r="B1922" s="0" t="n">
        <v>16</v>
      </c>
      <c r="C1922" s="0" t="n">
        <v>219</v>
      </c>
      <c r="D1922" s="0" t="s">
        <v>4107</v>
      </c>
      <c r="E1922" s="0" t="s">
        <v>3970</v>
      </c>
      <c r="F1922" s="0" t="s">
        <v>4039</v>
      </c>
    </row>
    <row r="1923" customFormat="false" ht="12.8" hidden="false" customHeight="false" outlineLevel="0" collapsed="false">
      <c r="A1923" s="0" t="n">
        <v>4</v>
      </c>
      <c r="B1923" s="0" t="n">
        <v>16</v>
      </c>
      <c r="C1923" s="0" t="n">
        <v>220</v>
      </c>
      <c r="D1923" s="0" t="s">
        <v>4107</v>
      </c>
      <c r="E1923" s="0" t="s">
        <v>3970</v>
      </c>
      <c r="F1923" s="0" t="s">
        <v>4110</v>
      </c>
    </row>
    <row r="1924" customFormat="false" ht="12.8" hidden="false" customHeight="false" outlineLevel="0" collapsed="false">
      <c r="A1924" s="0" t="n">
        <v>4</v>
      </c>
      <c r="B1924" s="0" t="n">
        <v>16</v>
      </c>
      <c r="C1924" s="0" t="n">
        <v>221</v>
      </c>
      <c r="D1924" s="0" t="s">
        <v>4107</v>
      </c>
      <c r="E1924" s="0" t="s">
        <v>3970</v>
      </c>
      <c r="F1924" s="0" t="s">
        <v>4148</v>
      </c>
    </row>
    <row r="1925" customFormat="false" ht="12.8" hidden="false" customHeight="false" outlineLevel="0" collapsed="false">
      <c r="A1925" s="0" t="n">
        <v>4</v>
      </c>
      <c r="B1925" s="0" t="n">
        <v>16</v>
      </c>
      <c r="C1925" s="0" t="n">
        <v>222</v>
      </c>
      <c r="D1925" s="0" t="s">
        <v>4107</v>
      </c>
      <c r="E1925" s="0" t="s">
        <v>3970</v>
      </c>
      <c r="F1925" s="0" t="s">
        <v>4111</v>
      </c>
    </row>
    <row r="1926" customFormat="false" ht="12.8" hidden="false" customHeight="false" outlineLevel="0" collapsed="false">
      <c r="A1926" s="0" t="n">
        <v>4</v>
      </c>
      <c r="B1926" s="0" t="n">
        <v>16</v>
      </c>
      <c r="C1926" s="0" t="n">
        <v>223</v>
      </c>
      <c r="D1926" s="0" t="s">
        <v>4107</v>
      </c>
      <c r="E1926" s="0" t="s">
        <v>3970</v>
      </c>
      <c r="F1926" s="0" t="s">
        <v>4112</v>
      </c>
    </row>
    <row r="1927" customFormat="false" ht="12.8" hidden="false" customHeight="false" outlineLevel="0" collapsed="false">
      <c r="A1927" s="0" t="n">
        <v>4</v>
      </c>
      <c r="B1927" s="0" t="n">
        <v>16</v>
      </c>
      <c r="C1927" s="0" t="n">
        <v>224</v>
      </c>
      <c r="D1927" s="0" t="s">
        <v>4107</v>
      </c>
      <c r="E1927" s="0" t="s">
        <v>3970</v>
      </c>
      <c r="F1927" s="0" t="s">
        <v>4113</v>
      </c>
    </row>
    <row r="1928" customFormat="false" ht="12.8" hidden="false" customHeight="false" outlineLevel="0" collapsed="false">
      <c r="A1928" s="0" t="n">
        <v>4</v>
      </c>
      <c r="B1928" s="0" t="n">
        <v>16</v>
      </c>
      <c r="C1928" s="0" t="n">
        <v>225</v>
      </c>
      <c r="D1928" s="0" t="s">
        <v>4107</v>
      </c>
      <c r="E1928" s="0" t="s">
        <v>3970</v>
      </c>
      <c r="F1928" s="0" t="s">
        <v>4114</v>
      </c>
    </row>
    <row r="1929" customFormat="false" ht="12.8" hidden="false" customHeight="false" outlineLevel="0" collapsed="false">
      <c r="A1929" s="0" t="n">
        <v>4</v>
      </c>
      <c r="B1929" s="0" t="n">
        <v>16</v>
      </c>
      <c r="C1929" s="0" t="n">
        <v>226</v>
      </c>
      <c r="D1929" s="0" t="s">
        <v>4107</v>
      </c>
      <c r="E1929" s="0" t="s">
        <v>3970</v>
      </c>
      <c r="F1929" s="0" t="s">
        <v>4115</v>
      </c>
    </row>
    <row r="1930" customFormat="false" ht="12.8" hidden="false" customHeight="false" outlineLevel="0" collapsed="false">
      <c r="A1930" s="0" t="n">
        <v>4</v>
      </c>
      <c r="B1930" s="0" t="n">
        <v>16</v>
      </c>
      <c r="C1930" s="0" t="n">
        <v>227</v>
      </c>
      <c r="D1930" s="0" t="s">
        <v>4107</v>
      </c>
      <c r="E1930" s="0" t="s">
        <v>3970</v>
      </c>
      <c r="F1930" s="0" t="s">
        <v>4116</v>
      </c>
    </row>
    <row r="1931" customFormat="false" ht="12.8" hidden="false" customHeight="false" outlineLevel="0" collapsed="false">
      <c r="A1931" s="0" t="n">
        <v>4</v>
      </c>
      <c r="B1931" s="0" t="n">
        <v>16</v>
      </c>
      <c r="C1931" s="0" t="n">
        <v>228</v>
      </c>
      <c r="D1931" s="0" t="s">
        <v>4107</v>
      </c>
      <c r="E1931" s="0" t="s">
        <v>3970</v>
      </c>
      <c r="F1931" s="0" t="s">
        <v>4117</v>
      </c>
    </row>
    <row r="1932" customFormat="false" ht="12.8" hidden="false" customHeight="false" outlineLevel="0" collapsed="false">
      <c r="A1932" s="0" t="n">
        <v>4</v>
      </c>
      <c r="B1932" s="0" t="n">
        <v>16</v>
      </c>
      <c r="C1932" s="0" t="n">
        <v>229</v>
      </c>
      <c r="D1932" s="0" t="s">
        <v>4107</v>
      </c>
      <c r="E1932" s="0" t="s">
        <v>3970</v>
      </c>
      <c r="F1932" s="0" t="s">
        <v>4118</v>
      </c>
    </row>
    <row r="1933" customFormat="false" ht="12.8" hidden="false" customHeight="false" outlineLevel="0" collapsed="false">
      <c r="A1933" s="0" t="n">
        <v>4</v>
      </c>
      <c r="B1933" s="0" t="n">
        <v>16</v>
      </c>
      <c r="C1933" s="0" t="n">
        <v>230</v>
      </c>
      <c r="D1933" s="0" t="s">
        <v>4107</v>
      </c>
      <c r="E1933" s="0" t="s">
        <v>3970</v>
      </c>
      <c r="F1933" s="0" t="s">
        <v>4119</v>
      </c>
    </row>
    <row r="1934" customFormat="false" ht="12.8" hidden="false" customHeight="false" outlineLevel="0" collapsed="false">
      <c r="A1934" s="0" t="n">
        <v>4</v>
      </c>
      <c r="B1934" s="0" t="n">
        <v>16</v>
      </c>
      <c r="C1934" s="0" t="n">
        <v>231</v>
      </c>
      <c r="D1934" s="0" t="s">
        <v>4107</v>
      </c>
      <c r="E1934" s="0" t="s">
        <v>3970</v>
      </c>
      <c r="F1934" s="0" t="s">
        <v>4120</v>
      </c>
    </row>
    <row r="1935" customFormat="false" ht="12.8" hidden="false" customHeight="false" outlineLevel="0" collapsed="false">
      <c r="A1935" s="0" t="n">
        <v>4</v>
      </c>
      <c r="B1935" s="0" t="n">
        <v>16</v>
      </c>
      <c r="C1935" s="0" t="n">
        <v>232</v>
      </c>
      <c r="D1935" s="0" t="s">
        <v>4107</v>
      </c>
      <c r="E1935" s="0" t="s">
        <v>3970</v>
      </c>
      <c r="F1935" s="0" t="s">
        <v>4149</v>
      </c>
    </row>
    <row r="1936" customFormat="false" ht="12.8" hidden="false" customHeight="false" outlineLevel="0" collapsed="false">
      <c r="A1936" s="0" t="n">
        <v>4</v>
      </c>
      <c r="B1936" s="0" t="n">
        <v>16</v>
      </c>
      <c r="C1936" s="0" t="n">
        <v>233</v>
      </c>
      <c r="D1936" s="0" t="s">
        <v>4107</v>
      </c>
      <c r="E1936" s="0" t="s">
        <v>3970</v>
      </c>
      <c r="F1936" s="0" t="s">
        <v>4121</v>
      </c>
    </row>
    <row r="1937" customFormat="false" ht="12.8" hidden="false" customHeight="false" outlineLevel="0" collapsed="false">
      <c r="A1937" s="0" t="n">
        <v>4</v>
      </c>
      <c r="B1937" s="0" t="n">
        <v>16</v>
      </c>
      <c r="C1937" s="0" t="n">
        <v>234</v>
      </c>
      <c r="D1937" s="0" t="s">
        <v>4107</v>
      </c>
      <c r="E1937" s="0" t="s">
        <v>3970</v>
      </c>
      <c r="F1937" s="0" t="s">
        <v>4150</v>
      </c>
    </row>
    <row r="1938" customFormat="false" ht="12.8" hidden="false" customHeight="false" outlineLevel="0" collapsed="false">
      <c r="A1938" s="0" t="n">
        <v>4</v>
      </c>
      <c r="B1938" s="0" t="n">
        <v>16</v>
      </c>
      <c r="C1938" s="0" t="n">
        <v>235</v>
      </c>
      <c r="D1938" s="0" t="s">
        <v>4107</v>
      </c>
      <c r="E1938" s="0" t="s">
        <v>3970</v>
      </c>
      <c r="F1938" s="0" t="s">
        <v>4122</v>
      </c>
    </row>
    <row r="1939" customFormat="false" ht="12.8" hidden="false" customHeight="false" outlineLevel="0" collapsed="false">
      <c r="A1939" s="0" t="n">
        <v>4</v>
      </c>
      <c r="B1939" s="0" t="n">
        <v>16</v>
      </c>
      <c r="C1939" s="0" t="n">
        <v>236</v>
      </c>
      <c r="D1939" s="0" t="s">
        <v>4107</v>
      </c>
      <c r="E1939" s="0" t="s">
        <v>3970</v>
      </c>
      <c r="F1939" s="0" t="s">
        <v>4158</v>
      </c>
    </row>
    <row r="1940" customFormat="false" ht="12.8" hidden="false" customHeight="false" outlineLevel="0" collapsed="false">
      <c r="A1940" s="0" t="n">
        <v>4</v>
      </c>
      <c r="B1940" s="0" t="n">
        <v>16</v>
      </c>
      <c r="C1940" s="0" t="n">
        <v>237</v>
      </c>
      <c r="D1940" s="0" t="s">
        <v>4107</v>
      </c>
      <c r="E1940" s="0" t="s">
        <v>3970</v>
      </c>
      <c r="F1940" s="0" t="s">
        <v>4124</v>
      </c>
    </row>
    <row r="1941" customFormat="false" ht="12.8" hidden="false" customHeight="false" outlineLevel="0" collapsed="false">
      <c r="A1941" s="0" t="n">
        <v>4</v>
      </c>
      <c r="B1941" s="0" t="n">
        <v>16</v>
      </c>
      <c r="C1941" s="0" t="n">
        <v>238</v>
      </c>
      <c r="D1941" s="0" t="s">
        <v>4107</v>
      </c>
      <c r="E1941" s="0" t="s">
        <v>3970</v>
      </c>
      <c r="F1941" s="0" t="s">
        <v>4126</v>
      </c>
    </row>
    <row r="1942" customFormat="false" ht="12.8" hidden="false" customHeight="false" outlineLevel="0" collapsed="false">
      <c r="A1942" s="0" t="n">
        <v>4</v>
      </c>
      <c r="B1942" s="0" t="n">
        <v>16</v>
      </c>
      <c r="C1942" s="0" t="n">
        <v>239</v>
      </c>
      <c r="D1942" s="0" t="s">
        <v>4107</v>
      </c>
      <c r="E1942" s="0" t="s">
        <v>3970</v>
      </c>
      <c r="F1942" s="0" t="s">
        <v>4127</v>
      </c>
    </row>
    <row r="1943" customFormat="false" ht="12.8" hidden="false" customHeight="false" outlineLevel="0" collapsed="false">
      <c r="A1943" s="0" t="n">
        <v>4</v>
      </c>
      <c r="B1943" s="0" t="n">
        <v>16</v>
      </c>
      <c r="C1943" s="0" t="n">
        <v>240</v>
      </c>
      <c r="D1943" s="0" t="s">
        <v>4107</v>
      </c>
      <c r="E1943" s="0" t="s">
        <v>3970</v>
      </c>
      <c r="F1943" s="0" t="s">
        <v>4128</v>
      </c>
    </row>
    <row r="1944" customFormat="false" ht="12.8" hidden="false" customHeight="false" outlineLevel="0" collapsed="false">
      <c r="A1944" s="0" t="n">
        <v>4</v>
      </c>
      <c r="B1944" s="0" t="n">
        <v>16</v>
      </c>
      <c r="C1944" s="0" t="n">
        <v>241</v>
      </c>
      <c r="D1944" s="0" t="s">
        <v>4107</v>
      </c>
      <c r="E1944" s="0" t="s">
        <v>3970</v>
      </c>
      <c r="F1944" s="0" t="s">
        <v>4129</v>
      </c>
    </row>
    <row r="1945" customFormat="false" ht="12.8" hidden="false" customHeight="false" outlineLevel="0" collapsed="false">
      <c r="A1945" s="0" t="n">
        <v>4</v>
      </c>
      <c r="B1945" s="0" t="n">
        <v>16</v>
      </c>
      <c r="C1945" s="0" t="n">
        <v>242</v>
      </c>
      <c r="D1945" s="0" t="s">
        <v>4107</v>
      </c>
      <c r="E1945" s="0" t="s">
        <v>3970</v>
      </c>
      <c r="F1945" s="0" t="s">
        <v>4130</v>
      </c>
    </row>
    <row r="1946" customFormat="false" ht="12.8" hidden="false" customHeight="false" outlineLevel="0" collapsed="false">
      <c r="A1946" s="0" t="n">
        <v>4</v>
      </c>
      <c r="B1946" s="0" t="n">
        <v>16</v>
      </c>
      <c r="C1946" s="0" t="n">
        <v>243</v>
      </c>
      <c r="D1946" s="0" t="s">
        <v>4107</v>
      </c>
      <c r="E1946" s="0" t="s">
        <v>3970</v>
      </c>
      <c r="F1946" s="0" t="s">
        <v>4131</v>
      </c>
    </row>
    <row r="1947" customFormat="false" ht="12.8" hidden="false" customHeight="false" outlineLevel="0" collapsed="false">
      <c r="A1947" s="0" t="n">
        <v>4</v>
      </c>
      <c r="B1947" s="0" t="n">
        <v>16</v>
      </c>
      <c r="C1947" s="0" t="n">
        <v>244</v>
      </c>
      <c r="D1947" s="0" t="s">
        <v>4107</v>
      </c>
      <c r="E1947" s="0" t="s">
        <v>3970</v>
      </c>
      <c r="F1947" s="0" t="s">
        <v>4086</v>
      </c>
    </row>
    <row r="1948" customFormat="false" ht="12.8" hidden="false" customHeight="false" outlineLevel="0" collapsed="false">
      <c r="A1948" s="0" t="n">
        <v>4</v>
      </c>
      <c r="B1948" s="0" t="n">
        <v>16</v>
      </c>
      <c r="C1948" s="0" t="n">
        <v>245</v>
      </c>
      <c r="D1948" s="0" t="s">
        <v>4107</v>
      </c>
      <c r="E1948" s="0" t="s">
        <v>3970</v>
      </c>
      <c r="F1948" s="0" t="s">
        <v>4132</v>
      </c>
    </row>
    <row r="1949" customFormat="false" ht="12.8" hidden="false" customHeight="false" outlineLevel="0" collapsed="false">
      <c r="A1949" s="0" t="n">
        <v>4</v>
      </c>
      <c r="B1949" s="0" t="n">
        <v>16</v>
      </c>
      <c r="C1949" s="0" t="n">
        <v>246</v>
      </c>
      <c r="D1949" s="0" t="s">
        <v>4107</v>
      </c>
      <c r="E1949" s="0" t="s">
        <v>3970</v>
      </c>
      <c r="F1949" s="0" t="s">
        <v>4133</v>
      </c>
    </row>
    <row r="1950" customFormat="false" ht="12.8" hidden="false" customHeight="false" outlineLevel="0" collapsed="false">
      <c r="A1950" s="0" t="n">
        <v>4</v>
      </c>
      <c r="B1950" s="0" t="n">
        <v>16</v>
      </c>
      <c r="C1950" s="0" t="n">
        <v>247</v>
      </c>
      <c r="D1950" s="0" t="s">
        <v>4107</v>
      </c>
      <c r="E1950" s="0" t="s">
        <v>3970</v>
      </c>
      <c r="F1950" s="0" t="s">
        <v>4134</v>
      </c>
    </row>
    <row r="1951" customFormat="false" ht="12.8" hidden="false" customHeight="false" outlineLevel="0" collapsed="false">
      <c r="A1951" s="0" t="n">
        <v>4</v>
      </c>
      <c r="B1951" s="0" t="n">
        <v>16</v>
      </c>
      <c r="C1951" s="0" t="n">
        <v>248</v>
      </c>
      <c r="D1951" s="0" t="s">
        <v>4107</v>
      </c>
      <c r="E1951" s="0" t="s">
        <v>3970</v>
      </c>
      <c r="F1951" s="0" t="s">
        <v>4135</v>
      </c>
    </row>
    <row r="1952" customFormat="false" ht="12.8" hidden="false" customHeight="false" outlineLevel="0" collapsed="false">
      <c r="A1952" s="0" t="n">
        <v>4</v>
      </c>
      <c r="B1952" s="0" t="n">
        <v>16</v>
      </c>
      <c r="C1952" s="0" t="n">
        <v>249</v>
      </c>
      <c r="D1952" s="0" t="s">
        <v>4107</v>
      </c>
      <c r="E1952" s="0" t="s">
        <v>3970</v>
      </c>
      <c r="F1952" s="0" t="s">
        <v>4136</v>
      </c>
    </row>
    <row r="1953" customFormat="false" ht="12.8" hidden="false" customHeight="false" outlineLevel="0" collapsed="false">
      <c r="A1953" s="0" t="n">
        <v>4</v>
      </c>
      <c r="B1953" s="0" t="n">
        <v>16</v>
      </c>
      <c r="C1953" s="0" t="n">
        <v>250</v>
      </c>
      <c r="D1953" s="0" t="s">
        <v>4107</v>
      </c>
      <c r="E1953" s="0" t="s">
        <v>3970</v>
      </c>
      <c r="F1953" s="0" t="s">
        <v>4137</v>
      </c>
    </row>
    <row r="1954" customFormat="false" ht="12.8" hidden="false" customHeight="false" outlineLevel="0" collapsed="false">
      <c r="A1954" s="0" t="n">
        <v>4</v>
      </c>
      <c r="B1954" s="0" t="n">
        <v>16</v>
      </c>
      <c r="C1954" s="0" t="n">
        <v>251</v>
      </c>
      <c r="D1954" s="0" t="s">
        <v>4107</v>
      </c>
      <c r="E1954" s="0" t="s">
        <v>3970</v>
      </c>
      <c r="F1954" s="0" t="s">
        <v>4138</v>
      </c>
    </row>
    <row r="1955" customFormat="false" ht="12.8" hidden="false" customHeight="false" outlineLevel="0" collapsed="false">
      <c r="A1955" s="0" t="n">
        <v>4</v>
      </c>
      <c r="B1955" s="0" t="n">
        <v>16</v>
      </c>
      <c r="C1955" s="0" t="n">
        <v>252</v>
      </c>
      <c r="D1955" s="0" t="s">
        <v>4107</v>
      </c>
      <c r="E1955" s="0" t="s">
        <v>3970</v>
      </c>
      <c r="F1955" s="0" t="s">
        <v>4139</v>
      </c>
    </row>
    <row r="1956" customFormat="false" ht="12.8" hidden="false" customHeight="false" outlineLevel="0" collapsed="false">
      <c r="A1956" s="0" t="n">
        <v>4</v>
      </c>
      <c r="B1956" s="0" t="n">
        <v>16</v>
      </c>
      <c r="C1956" s="0" t="n">
        <v>253</v>
      </c>
      <c r="D1956" s="0" t="s">
        <v>4107</v>
      </c>
      <c r="E1956" s="0" t="s">
        <v>3970</v>
      </c>
      <c r="F1956" s="0" t="s">
        <v>4140</v>
      </c>
    </row>
    <row r="1957" customFormat="false" ht="12.8" hidden="false" customHeight="false" outlineLevel="0" collapsed="false">
      <c r="A1957" s="0" t="n">
        <v>4</v>
      </c>
      <c r="B1957" s="0" t="n">
        <v>16</v>
      </c>
      <c r="C1957" s="0" t="n">
        <v>254</v>
      </c>
      <c r="D1957" s="0" t="s">
        <v>4107</v>
      </c>
      <c r="E1957" s="0" t="s">
        <v>3970</v>
      </c>
      <c r="F1957" s="0" t="s">
        <v>4141</v>
      </c>
    </row>
    <row r="1958" customFormat="false" ht="12.8" hidden="false" customHeight="false" outlineLevel="0" collapsed="false">
      <c r="A1958" s="0" t="n">
        <v>4</v>
      </c>
      <c r="B1958" s="0" t="n">
        <v>16</v>
      </c>
      <c r="C1958" s="0" t="n">
        <v>255</v>
      </c>
      <c r="D1958" s="0" t="s">
        <v>4107</v>
      </c>
      <c r="E1958" s="0" t="s">
        <v>3970</v>
      </c>
      <c r="F1958" s="0" t="s">
        <v>4142</v>
      </c>
    </row>
    <row r="1959" customFormat="false" ht="12.8" hidden="false" customHeight="false" outlineLevel="0" collapsed="false">
      <c r="A1959" s="0" t="n">
        <v>4</v>
      </c>
      <c r="B1959" s="0" t="n">
        <v>16</v>
      </c>
      <c r="C1959" s="0" t="n">
        <v>256</v>
      </c>
      <c r="D1959" s="0" t="s">
        <v>4107</v>
      </c>
      <c r="E1959" s="0" t="s">
        <v>3970</v>
      </c>
      <c r="F1959" s="0" t="s">
        <v>4143</v>
      </c>
    </row>
    <row r="1960" customFormat="false" ht="12.8" hidden="false" customHeight="false" outlineLevel="0" collapsed="false">
      <c r="A1960" s="0" t="n">
        <v>4</v>
      </c>
      <c r="B1960" s="0" t="n">
        <v>16</v>
      </c>
      <c r="C1960" s="0" t="n">
        <v>257</v>
      </c>
      <c r="D1960" s="0" t="s">
        <v>4107</v>
      </c>
      <c r="E1960" s="0" t="s">
        <v>3970</v>
      </c>
      <c r="F1960" s="0" t="s">
        <v>4144</v>
      </c>
    </row>
    <row r="1961" customFormat="false" ht="12.8" hidden="false" customHeight="false" outlineLevel="0" collapsed="false">
      <c r="A1961" s="0" t="n">
        <v>4</v>
      </c>
      <c r="B1961" s="0" t="n">
        <v>16</v>
      </c>
      <c r="C1961" s="0" t="n">
        <v>258</v>
      </c>
      <c r="D1961" s="0" t="s">
        <v>4107</v>
      </c>
      <c r="E1961" s="0" t="s">
        <v>3970</v>
      </c>
      <c r="F1961" s="0" t="s">
        <v>4147</v>
      </c>
    </row>
    <row r="1962" customFormat="false" ht="12.8" hidden="false" customHeight="false" outlineLevel="0" collapsed="false">
      <c r="A1962" s="0" t="n">
        <v>4</v>
      </c>
      <c r="B1962" s="0" t="n">
        <v>16</v>
      </c>
      <c r="C1962" s="0" t="n">
        <v>334</v>
      </c>
      <c r="D1962" s="0" t="s">
        <v>4107</v>
      </c>
      <c r="E1962" s="0" t="s">
        <v>3970</v>
      </c>
      <c r="F1962" s="0" t="s">
        <v>4108</v>
      </c>
    </row>
    <row r="1963" customFormat="false" ht="12.8" hidden="false" customHeight="false" outlineLevel="0" collapsed="false">
      <c r="A1963" s="0" t="n">
        <v>4</v>
      </c>
      <c r="B1963" s="0" t="n">
        <v>16</v>
      </c>
      <c r="C1963" s="0" t="n">
        <v>335</v>
      </c>
      <c r="D1963" s="0" t="s">
        <v>4107</v>
      </c>
      <c r="E1963" s="0" t="s">
        <v>3970</v>
      </c>
      <c r="F1963" s="0" t="s">
        <v>4109</v>
      </c>
    </row>
    <row r="1964" customFormat="false" ht="12.8" hidden="false" customHeight="false" outlineLevel="0" collapsed="false">
      <c r="A1964" s="0" t="n">
        <v>4</v>
      </c>
      <c r="B1964" s="0" t="n">
        <v>16</v>
      </c>
      <c r="C1964" s="0" t="n">
        <v>336</v>
      </c>
      <c r="D1964" s="0" t="s">
        <v>4107</v>
      </c>
      <c r="E1964" s="0" t="s">
        <v>3970</v>
      </c>
      <c r="F1964" s="0" t="s">
        <v>4039</v>
      </c>
    </row>
    <row r="1965" customFormat="false" ht="12.8" hidden="false" customHeight="false" outlineLevel="0" collapsed="false">
      <c r="A1965" s="0" t="n">
        <v>4</v>
      </c>
      <c r="B1965" s="0" t="n">
        <v>16</v>
      </c>
      <c r="C1965" s="0" t="n">
        <v>337</v>
      </c>
      <c r="D1965" s="0" t="s">
        <v>4107</v>
      </c>
      <c r="E1965" s="0" t="s">
        <v>3970</v>
      </c>
      <c r="F1965" s="0" t="s">
        <v>4110</v>
      </c>
    </row>
    <row r="1966" customFormat="false" ht="12.8" hidden="false" customHeight="false" outlineLevel="0" collapsed="false">
      <c r="A1966" s="0" t="n">
        <v>4</v>
      </c>
      <c r="B1966" s="0" t="n">
        <v>16</v>
      </c>
      <c r="C1966" s="0" t="n">
        <v>338</v>
      </c>
      <c r="D1966" s="0" t="s">
        <v>4107</v>
      </c>
      <c r="E1966" s="0" t="s">
        <v>3970</v>
      </c>
      <c r="F1966" s="0" t="s">
        <v>4148</v>
      </c>
    </row>
    <row r="1967" customFormat="false" ht="12.8" hidden="false" customHeight="false" outlineLevel="0" collapsed="false">
      <c r="A1967" s="0" t="n">
        <v>4</v>
      </c>
      <c r="B1967" s="0" t="n">
        <v>16</v>
      </c>
      <c r="C1967" s="0" t="n">
        <v>339</v>
      </c>
      <c r="D1967" s="0" t="s">
        <v>4107</v>
      </c>
      <c r="E1967" s="0" t="s">
        <v>3970</v>
      </c>
      <c r="F1967" s="0" t="s">
        <v>4112</v>
      </c>
    </row>
    <row r="1968" customFormat="false" ht="12.8" hidden="false" customHeight="false" outlineLevel="0" collapsed="false">
      <c r="A1968" s="0" t="n">
        <v>4</v>
      </c>
      <c r="B1968" s="0" t="n">
        <v>16</v>
      </c>
      <c r="C1968" s="0" t="n">
        <v>340</v>
      </c>
      <c r="D1968" s="0" t="s">
        <v>4107</v>
      </c>
      <c r="E1968" s="0" t="s">
        <v>3970</v>
      </c>
      <c r="F1968" s="0" t="s">
        <v>4113</v>
      </c>
    </row>
    <row r="1969" customFormat="false" ht="12.8" hidden="false" customHeight="false" outlineLevel="0" collapsed="false">
      <c r="A1969" s="0" t="n">
        <v>4</v>
      </c>
      <c r="B1969" s="0" t="n">
        <v>16</v>
      </c>
      <c r="C1969" s="0" t="n">
        <v>341</v>
      </c>
      <c r="D1969" s="0" t="s">
        <v>4107</v>
      </c>
      <c r="E1969" s="0" t="s">
        <v>3970</v>
      </c>
      <c r="F1969" s="0" t="s">
        <v>4114</v>
      </c>
    </row>
    <row r="1970" customFormat="false" ht="12.8" hidden="false" customHeight="false" outlineLevel="0" collapsed="false">
      <c r="A1970" s="0" t="n">
        <v>4</v>
      </c>
      <c r="B1970" s="0" t="n">
        <v>16</v>
      </c>
      <c r="C1970" s="0" t="n">
        <v>342</v>
      </c>
      <c r="D1970" s="0" t="s">
        <v>4107</v>
      </c>
      <c r="E1970" s="0" t="s">
        <v>3970</v>
      </c>
      <c r="F1970" s="0" t="s">
        <v>4115</v>
      </c>
    </row>
    <row r="1971" customFormat="false" ht="12.8" hidden="false" customHeight="false" outlineLevel="0" collapsed="false">
      <c r="A1971" s="0" t="n">
        <v>4</v>
      </c>
      <c r="B1971" s="0" t="n">
        <v>16</v>
      </c>
      <c r="C1971" s="0" t="n">
        <v>343</v>
      </c>
      <c r="D1971" s="0" t="s">
        <v>4107</v>
      </c>
      <c r="E1971" s="0" t="s">
        <v>3970</v>
      </c>
      <c r="F1971" s="0" t="s">
        <v>4117</v>
      </c>
    </row>
    <row r="1972" customFormat="false" ht="12.8" hidden="false" customHeight="false" outlineLevel="0" collapsed="false">
      <c r="A1972" s="0" t="n">
        <v>4</v>
      </c>
      <c r="B1972" s="0" t="n">
        <v>16</v>
      </c>
      <c r="C1972" s="0" t="n">
        <v>344</v>
      </c>
      <c r="D1972" s="0" t="s">
        <v>4107</v>
      </c>
      <c r="E1972" s="0" t="s">
        <v>3970</v>
      </c>
      <c r="F1972" s="0" t="s">
        <v>4118</v>
      </c>
    </row>
    <row r="1973" customFormat="false" ht="12.8" hidden="false" customHeight="false" outlineLevel="0" collapsed="false">
      <c r="A1973" s="0" t="n">
        <v>4</v>
      </c>
      <c r="B1973" s="0" t="n">
        <v>16</v>
      </c>
      <c r="C1973" s="0" t="n">
        <v>345</v>
      </c>
      <c r="D1973" s="0" t="s">
        <v>4107</v>
      </c>
      <c r="E1973" s="0" t="s">
        <v>3970</v>
      </c>
      <c r="F1973" s="0" t="s">
        <v>4119</v>
      </c>
    </row>
    <row r="1974" customFormat="false" ht="12.8" hidden="false" customHeight="false" outlineLevel="0" collapsed="false">
      <c r="A1974" s="0" t="n">
        <v>4</v>
      </c>
      <c r="B1974" s="0" t="n">
        <v>16</v>
      </c>
      <c r="C1974" s="0" t="n">
        <v>346</v>
      </c>
      <c r="D1974" s="0" t="s">
        <v>4107</v>
      </c>
      <c r="E1974" s="0" t="s">
        <v>3970</v>
      </c>
      <c r="F1974" s="0" t="s">
        <v>4120</v>
      </c>
    </row>
    <row r="1975" customFormat="false" ht="12.8" hidden="false" customHeight="false" outlineLevel="0" collapsed="false">
      <c r="A1975" s="0" t="n">
        <v>4</v>
      </c>
      <c r="B1975" s="0" t="n">
        <v>16</v>
      </c>
      <c r="C1975" s="0" t="n">
        <v>347</v>
      </c>
      <c r="D1975" s="0" t="s">
        <v>4107</v>
      </c>
      <c r="E1975" s="0" t="s">
        <v>3970</v>
      </c>
      <c r="F1975" s="0" t="s">
        <v>4149</v>
      </c>
    </row>
    <row r="1976" customFormat="false" ht="12.8" hidden="false" customHeight="false" outlineLevel="0" collapsed="false">
      <c r="A1976" s="0" t="n">
        <v>4</v>
      </c>
      <c r="B1976" s="0" t="n">
        <v>16</v>
      </c>
      <c r="C1976" s="0" t="n">
        <v>348</v>
      </c>
      <c r="D1976" s="0" t="s">
        <v>4107</v>
      </c>
      <c r="E1976" s="0" t="s">
        <v>3970</v>
      </c>
      <c r="F1976" s="0" t="s">
        <v>4122</v>
      </c>
    </row>
    <row r="1977" customFormat="false" ht="12.8" hidden="false" customHeight="false" outlineLevel="0" collapsed="false">
      <c r="A1977" s="0" t="n">
        <v>4</v>
      </c>
      <c r="B1977" s="0" t="n">
        <v>16</v>
      </c>
      <c r="C1977" s="0" t="n">
        <v>349</v>
      </c>
      <c r="D1977" s="0" t="s">
        <v>4107</v>
      </c>
      <c r="E1977" s="0" t="s">
        <v>3970</v>
      </c>
      <c r="F1977" s="0" t="s">
        <v>4158</v>
      </c>
    </row>
    <row r="1978" customFormat="false" ht="12.8" hidden="false" customHeight="false" outlineLevel="0" collapsed="false">
      <c r="A1978" s="0" t="n">
        <v>4</v>
      </c>
      <c r="B1978" s="0" t="n">
        <v>16</v>
      </c>
      <c r="C1978" s="0" t="n">
        <v>350</v>
      </c>
      <c r="D1978" s="0" t="s">
        <v>4107</v>
      </c>
      <c r="E1978" s="0" t="s">
        <v>3970</v>
      </c>
      <c r="F1978" s="0" t="s">
        <v>4124</v>
      </c>
    </row>
    <row r="1979" customFormat="false" ht="12.8" hidden="false" customHeight="false" outlineLevel="0" collapsed="false">
      <c r="A1979" s="0" t="n">
        <v>4</v>
      </c>
      <c r="B1979" s="0" t="n">
        <v>16</v>
      </c>
      <c r="C1979" s="0" t="n">
        <v>351</v>
      </c>
      <c r="D1979" s="0" t="s">
        <v>4107</v>
      </c>
      <c r="E1979" s="0" t="s">
        <v>3970</v>
      </c>
      <c r="F1979" s="0" t="s">
        <v>4159</v>
      </c>
    </row>
    <row r="1980" customFormat="false" ht="12.8" hidden="false" customHeight="false" outlineLevel="0" collapsed="false">
      <c r="A1980" s="0" t="n">
        <v>4</v>
      </c>
      <c r="B1980" s="0" t="n">
        <v>16</v>
      </c>
      <c r="C1980" s="0" t="n">
        <v>352</v>
      </c>
      <c r="D1980" s="0" t="s">
        <v>4107</v>
      </c>
      <c r="E1980" s="0" t="s">
        <v>3970</v>
      </c>
      <c r="F1980" s="0" t="s">
        <v>4125</v>
      </c>
    </row>
    <row r="1981" customFormat="false" ht="12.8" hidden="false" customHeight="false" outlineLevel="0" collapsed="false">
      <c r="A1981" s="0" t="n">
        <v>4</v>
      </c>
      <c r="B1981" s="0" t="n">
        <v>16</v>
      </c>
      <c r="C1981" s="0" t="n">
        <v>353</v>
      </c>
      <c r="D1981" s="0" t="s">
        <v>4107</v>
      </c>
      <c r="E1981" s="0" t="s">
        <v>3970</v>
      </c>
      <c r="F1981" s="0" t="s">
        <v>4126</v>
      </c>
    </row>
    <row r="1982" customFormat="false" ht="12.8" hidden="false" customHeight="false" outlineLevel="0" collapsed="false">
      <c r="A1982" s="0" t="n">
        <v>4</v>
      </c>
      <c r="B1982" s="0" t="n">
        <v>16</v>
      </c>
      <c r="C1982" s="0" t="n">
        <v>354</v>
      </c>
      <c r="D1982" s="0" t="s">
        <v>4107</v>
      </c>
      <c r="E1982" s="0" t="s">
        <v>3970</v>
      </c>
      <c r="F1982" s="0" t="s">
        <v>4127</v>
      </c>
    </row>
    <row r="1983" customFormat="false" ht="12.8" hidden="false" customHeight="false" outlineLevel="0" collapsed="false">
      <c r="A1983" s="0" t="n">
        <v>4</v>
      </c>
      <c r="B1983" s="0" t="n">
        <v>16</v>
      </c>
      <c r="C1983" s="0" t="n">
        <v>355</v>
      </c>
      <c r="D1983" s="0" t="s">
        <v>4107</v>
      </c>
      <c r="E1983" s="0" t="s">
        <v>3970</v>
      </c>
      <c r="F1983" s="0" t="s">
        <v>4128</v>
      </c>
    </row>
    <row r="1984" customFormat="false" ht="12.8" hidden="false" customHeight="false" outlineLevel="0" collapsed="false">
      <c r="A1984" s="0" t="n">
        <v>4</v>
      </c>
      <c r="B1984" s="0" t="n">
        <v>16</v>
      </c>
      <c r="C1984" s="0" t="n">
        <v>356</v>
      </c>
      <c r="D1984" s="0" t="s">
        <v>4107</v>
      </c>
      <c r="E1984" s="0" t="s">
        <v>3970</v>
      </c>
      <c r="F1984" s="0" t="s">
        <v>4129</v>
      </c>
    </row>
    <row r="1985" customFormat="false" ht="12.8" hidden="false" customHeight="false" outlineLevel="0" collapsed="false">
      <c r="A1985" s="0" t="n">
        <v>4</v>
      </c>
      <c r="B1985" s="0" t="n">
        <v>16</v>
      </c>
      <c r="C1985" s="0" t="n">
        <v>357</v>
      </c>
      <c r="D1985" s="0" t="s">
        <v>4107</v>
      </c>
      <c r="E1985" s="0" t="s">
        <v>3970</v>
      </c>
      <c r="F1985" s="0" t="s">
        <v>4130</v>
      </c>
    </row>
    <row r="1986" customFormat="false" ht="12.8" hidden="false" customHeight="false" outlineLevel="0" collapsed="false">
      <c r="A1986" s="0" t="n">
        <v>4</v>
      </c>
      <c r="B1986" s="0" t="n">
        <v>16</v>
      </c>
      <c r="C1986" s="0" t="n">
        <v>358</v>
      </c>
      <c r="D1986" s="0" t="s">
        <v>4107</v>
      </c>
      <c r="E1986" s="0" t="s">
        <v>3970</v>
      </c>
      <c r="F1986" s="0" t="s">
        <v>4151</v>
      </c>
    </row>
    <row r="1987" customFormat="false" ht="12.8" hidden="false" customHeight="false" outlineLevel="0" collapsed="false">
      <c r="A1987" s="0" t="n">
        <v>4</v>
      </c>
      <c r="B1987" s="0" t="n">
        <v>16</v>
      </c>
      <c r="C1987" s="0" t="n">
        <v>359</v>
      </c>
      <c r="D1987" s="0" t="s">
        <v>4107</v>
      </c>
      <c r="E1987" s="0" t="s">
        <v>3970</v>
      </c>
      <c r="F1987" s="0" t="s">
        <v>4086</v>
      </c>
    </row>
    <row r="1988" customFormat="false" ht="12.8" hidden="false" customHeight="false" outlineLevel="0" collapsed="false">
      <c r="A1988" s="0" t="n">
        <v>4</v>
      </c>
      <c r="B1988" s="0" t="n">
        <v>16</v>
      </c>
      <c r="C1988" s="0" t="n">
        <v>360</v>
      </c>
      <c r="D1988" s="0" t="s">
        <v>4107</v>
      </c>
      <c r="E1988" s="0" t="s">
        <v>3970</v>
      </c>
      <c r="F1988" s="0" t="s">
        <v>4132</v>
      </c>
    </row>
    <row r="1989" customFormat="false" ht="12.8" hidden="false" customHeight="false" outlineLevel="0" collapsed="false">
      <c r="A1989" s="0" t="n">
        <v>4</v>
      </c>
      <c r="B1989" s="0" t="n">
        <v>16</v>
      </c>
      <c r="C1989" s="0" t="n">
        <v>361</v>
      </c>
      <c r="D1989" s="0" t="s">
        <v>4107</v>
      </c>
      <c r="E1989" s="0" t="s">
        <v>3970</v>
      </c>
      <c r="F1989" s="0" t="s">
        <v>4133</v>
      </c>
    </row>
    <row r="1990" customFormat="false" ht="12.8" hidden="false" customHeight="false" outlineLevel="0" collapsed="false">
      <c r="A1990" s="0" t="n">
        <v>4</v>
      </c>
      <c r="B1990" s="0" t="n">
        <v>16</v>
      </c>
      <c r="C1990" s="0" t="n">
        <v>362</v>
      </c>
      <c r="D1990" s="0" t="s">
        <v>4107</v>
      </c>
      <c r="E1990" s="0" t="s">
        <v>3970</v>
      </c>
      <c r="F1990" s="0" t="s">
        <v>4134</v>
      </c>
    </row>
    <row r="1991" customFormat="false" ht="12.8" hidden="false" customHeight="false" outlineLevel="0" collapsed="false">
      <c r="A1991" s="0" t="n">
        <v>4</v>
      </c>
      <c r="B1991" s="0" t="n">
        <v>16</v>
      </c>
      <c r="C1991" s="0" t="n">
        <v>363</v>
      </c>
      <c r="D1991" s="0" t="s">
        <v>4107</v>
      </c>
      <c r="E1991" s="0" t="s">
        <v>3970</v>
      </c>
      <c r="F1991" s="0" t="s">
        <v>4135</v>
      </c>
    </row>
    <row r="1992" customFormat="false" ht="12.8" hidden="false" customHeight="false" outlineLevel="0" collapsed="false">
      <c r="A1992" s="0" t="n">
        <v>4</v>
      </c>
      <c r="B1992" s="0" t="n">
        <v>16</v>
      </c>
      <c r="C1992" s="0" t="n">
        <v>364</v>
      </c>
      <c r="D1992" s="0" t="s">
        <v>4107</v>
      </c>
      <c r="E1992" s="0" t="s">
        <v>3970</v>
      </c>
      <c r="F1992" s="0" t="s">
        <v>4136</v>
      </c>
    </row>
    <row r="1993" customFormat="false" ht="12.8" hidden="false" customHeight="false" outlineLevel="0" collapsed="false">
      <c r="A1993" s="0" t="n">
        <v>4</v>
      </c>
      <c r="B1993" s="0" t="n">
        <v>16</v>
      </c>
      <c r="C1993" s="0" t="n">
        <v>365</v>
      </c>
      <c r="D1993" s="0" t="s">
        <v>4107</v>
      </c>
      <c r="E1993" s="0" t="s">
        <v>3970</v>
      </c>
      <c r="F1993" s="0" t="s">
        <v>4139</v>
      </c>
    </row>
    <row r="1994" customFormat="false" ht="12.8" hidden="false" customHeight="false" outlineLevel="0" collapsed="false">
      <c r="A1994" s="0" t="n">
        <v>4</v>
      </c>
      <c r="B1994" s="0" t="n">
        <v>16</v>
      </c>
      <c r="C1994" s="0" t="n">
        <v>366</v>
      </c>
      <c r="D1994" s="0" t="s">
        <v>4107</v>
      </c>
      <c r="E1994" s="0" t="s">
        <v>3970</v>
      </c>
      <c r="F1994" s="0" t="s">
        <v>4140</v>
      </c>
    </row>
    <row r="1995" customFormat="false" ht="12.8" hidden="false" customHeight="false" outlineLevel="0" collapsed="false">
      <c r="A1995" s="0" t="n">
        <v>4</v>
      </c>
      <c r="B1995" s="0" t="n">
        <v>16</v>
      </c>
      <c r="C1995" s="0" t="n">
        <v>367</v>
      </c>
      <c r="D1995" s="0" t="s">
        <v>4107</v>
      </c>
      <c r="E1995" s="0" t="s">
        <v>3970</v>
      </c>
      <c r="F1995" s="0" t="s">
        <v>4141</v>
      </c>
    </row>
    <row r="1996" customFormat="false" ht="12.8" hidden="false" customHeight="false" outlineLevel="0" collapsed="false">
      <c r="A1996" s="0" t="n">
        <v>4</v>
      </c>
      <c r="B1996" s="0" t="n">
        <v>16</v>
      </c>
      <c r="C1996" s="0" t="n">
        <v>368</v>
      </c>
      <c r="D1996" s="0" t="s">
        <v>4107</v>
      </c>
      <c r="E1996" s="0" t="s">
        <v>3970</v>
      </c>
      <c r="F1996" s="0" t="s">
        <v>4142</v>
      </c>
    </row>
    <row r="1997" customFormat="false" ht="12.8" hidden="false" customHeight="false" outlineLevel="0" collapsed="false">
      <c r="A1997" s="0" t="n">
        <v>4</v>
      </c>
      <c r="B1997" s="0" t="n">
        <v>16</v>
      </c>
      <c r="C1997" s="0" t="n">
        <v>369</v>
      </c>
      <c r="D1997" s="0" t="s">
        <v>4107</v>
      </c>
      <c r="E1997" s="0" t="s">
        <v>3970</v>
      </c>
      <c r="F1997" s="0" t="s">
        <v>4143</v>
      </c>
    </row>
    <row r="1998" customFormat="false" ht="12.8" hidden="false" customHeight="false" outlineLevel="0" collapsed="false">
      <c r="A1998" s="0" t="n">
        <v>4</v>
      </c>
      <c r="B1998" s="0" t="n">
        <v>16</v>
      </c>
      <c r="C1998" s="0" t="n">
        <v>370</v>
      </c>
      <c r="D1998" s="0" t="s">
        <v>4107</v>
      </c>
      <c r="E1998" s="0" t="s">
        <v>3970</v>
      </c>
      <c r="F1998" s="0" t="s">
        <v>4144</v>
      </c>
    </row>
    <row r="1999" customFormat="false" ht="12.8" hidden="false" customHeight="false" outlineLevel="0" collapsed="false">
      <c r="A1999" s="0" t="n">
        <v>4</v>
      </c>
      <c r="B1999" s="0" t="n">
        <v>16</v>
      </c>
      <c r="C1999" s="0" t="n">
        <v>438</v>
      </c>
      <c r="D1999" s="0" t="s">
        <v>4107</v>
      </c>
      <c r="E1999" s="0" t="s">
        <v>3970</v>
      </c>
      <c r="F1999" s="0" t="s">
        <v>4108</v>
      </c>
    </row>
    <row r="2000" customFormat="false" ht="12.8" hidden="false" customHeight="false" outlineLevel="0" collapsed="false">
      <c r="A2000" s="0" t="n">
        <v>4</v>
      </c>
      <c r="B2000" s="0" t="n">
        <v>16</v>
      </c>
      <c r="C2000" s="0" t="n">
        <v>439</v>
      </c>
      <c r="D2000" s="0" t="s">
        <v>4107</v>
      </c>
      <c r="E2000" s="0" t="s">
        <v>3970</v>
      </c>
      <c r="F2000" s="0" t="s">
        <v>4109</v>
      </c>
    </row>
    <row r="2001" customFormat="false" ht="12.8" hidden="false" customHeight="false" outlineLevel="0" collapsed="false">
      <c r="A2001" s="0" t="n">
        <v>4</v>
      </c>
      <c r="B2001" s="0" t="n">
        <v>16</v>
      </c>
      <c r="C2001" s="0" t="n">
        <v>440</v>
      </c>
      <c r="D2001" s="0" t="s">
        <v>4107</v>
      </c>
      <c r="E2001" s="0" t="s">
        <v>3970</v>
      </c>
      <c r="F2001" s="0" t="s">
        <v>4039</v>
      </c>
    </row>
    <row r="2002" customFormat="false" ht="12.8" hidden="false" customHeight="false" outlineLevel="0" collapsed="false">
      <c r="A2002" s="0" t="n">
        <v>4</v>
      </c>
      <c r="B2002" s="0" t="n">
        <v>16</v>
      </c>
      <c r="C2002" s="0" t="n">
        <v>441</v>
      </c>
      <c r="D2002" s="0" t="s">
        <v>4107</v>
      </c>
      <c r="E2002" s="0" t="s">
        <v>3970</v>
      </c>
      <c r="F2002" s="0" t="s">
        <v>4110</v>
      </c>
    </row>
    <row r="2003" customFormat="false" ht="12.8" hidden="false" customHeight="false" outlineLevel="0" collapsed="false">
      <c r="A2003" s="0" t="n">
        <v>4</v>
      </c>
      <c r="B2003" s="0" t="n">
        <v>16</v>
      </c>
      <c r="C2003" s="0" t="n">
        <v>442</v>
      </c>
      <c r="D2003" s="0" t="s">
        <v>4107</v>
      </c>
      <c r="E2003" s="0" t="s">
        <v>3970</v>
      </c>
      <c r="F2003" s="0" t="s">
        <v>4148</v>
      </c>
    </row>
    <row r="2004" customFormat="false" ht="12.8" hidden="false" customHeight="false" outlineLevel="0" collapsed="false">
      <c r="A2004" s="0" t="n">
        <v>4</v>
      </c>
      <c r="B2004" s="0" t="n">
        <v>16</v>
      </c>
      <c r="C2004" s="0" t="n">
        <v>443</v>
      </c>
      <c r="D2004" s="0" t="s">
        <v>4107</v>
      </c>
      <c r="E2004" s="0" t="s">
        <v>3970</v>
      </c>
      <c r="F2004" s="0" t="s">
        <v>4111</v>
      </c>
    </row>
    <row r="2005" customFormat="false" ht="12.8" hidden="false" customHeight="false" outlineLevel="0" collapsed="false">
      <c r="A2005" s="0" t="n">
        <v>4</v>
      </c>
      <c r="B2005" s="0" t="n">
        <v>16</v>
      </c>
      <c r="C2005" s="0" t="n">
        <v>444</v>
      </c>
      <c r="D2005" s="0" t="s">
        <v>4107</v>
      </c>
      <c r="E2005" s="0" t="s">
        <v>3970</v>
      </c>
      <c r="F2005" s="0" t="s">
        <v>4112</v>
      </c>
    </row>
    <row r="2006" customFormat="false" ht="12.8" hidden="false" customHeight="false" outlineLevel="0" collapsed="false">
      <c r="A2006" s="0" t="n">
        <v>4</v>
      </c>
      <c r="B2006" s="0" t="n">
        <v>16</v>
      </c>
      <c r="C2006" s="0" t="n">
        <v>445</v>
      </c>
      <c r="D2006" s="0" t="s">
        <v>4107</v>
      </c>
      <c r="E2006" s="0" t="s">
        <v>3970</v>
      </c>
      <c r="F2006" s="0" t="s">
        <v>4113</v>
      </c>
    </row>
    <row r="2007" customFormat="false" ht="12.8" hidden="false" customHeight="false" outlineLevel="0" collapsed="false">
      <c r="A2007" s="0" t="n">
        <v>4</v>
      </c>
      <c r="B2007" s="0" t="n">
        <v>16</v>
      </c>
      <c r="C2007" s="0" t="n">
        <v>446</v>
      </c>
      <c r="D2007" s="0" t="s">
        <v>4107</v>
      </c>
      <c r="E2007" s="0" t="s">
        <v>3970</v>
      </c>
      <c r="F2007" s="0" t="s">
        <v>4114</v>
      </c>
    </row>
    <row r="2008" customFormat="false" ht="12.8" hidden="false" customHeight="false" outlineLevel="0" collapsed="false">
      <c r="A2008" s="0" t="n">
        <v>4</v>
      </c>
      <c r="B2008" s="0" t="n">
        <v>16</v>
      </c>
      <c r="C2008" s="0" t="n">
        <v>447</v>
      </c>
      <c r="D2008" s="0" t="s">
        <v>4107</v>
      </c>
      <c r="E2008" s="0" t="s">
        <v>3970</v>
      </c>
      <c r="F2008" s="0" t="s">
        <v>4115</v>
      </c>
    </row>
    <row r="2009" customFormat="false" ht="12.8" hidden="false" customHeight="false" outlineLevel="0" collapsed="false">
      <c r="A2009" s="0" t="n">
        <v>4</v>
      </c>
      <c r="B2009" s="0" t="n">
        <v>16</v>
      </c>
      <c r="C2009" s="0" t="n">
        <v>448</v>
      </c>
      <c r="D2009" s="0" t="s">
        <v>4107</v>
      </c>
      <c r="E2009" s="0" t="s">
        <v>3970</v>
      </c>
      <c r="F2009" s="0" t="s">
        <v>4117</v>
      </c>
    </row>
    <row r="2010" customFormat="false" ht="12.8" hidden="false" customHeight="false" outlineLevel="0" collapsed="false">
      <c r="A2010" s="0" t="n">
        <v>4</v>
      </c>
      <c r="B2010" s="0" t="n">
        <v>16</v>
      </c>
      <c r="C2010" s="0" t="n">
        <v>449</v>
      </c>
      <c r="D2010" s="0" t="s">
        <v>4107</v>
      </c>
      <c r="E2010" s="0" t="s">
        <v>3970</v>
      </c>
      <c r="F2010" s="0" t="s">
        <v>4119</v>
      </c>
    </row>
    <row r="2011" customFormat="false" ht="12.8" hidden="false" customHeight="false" outlineLevel="0" collapsed="false">
      <c r="A2011" s="0" t="n">
        <v>4</v>
      </c>
      <c r="B2011" s="0" t="n">
        <v>16</v>
      </c>
      <c r="C2011" s="0" t="n">
        <v>450</v>
      </c>
      <c r="D2011" s="0" t="s">
        <v>4107</v>
      </c>
      <c r="E2011" s="0" t="s">
        <v>3970</v>
      </c>
      <c r="F2011" s="0" t="s">
        <v>4120</v>
      </c>
    </row>
    <row r="2012" customFormat="false" ht="12.8" hidden="false" customHeight="false" outlineLevel="0" collapsed="false">
      <c r="A2012" s="0" t="n">
        <v>4</v>
      </c>
      <c r="B2012" s="0" t="n">
        <v>16</v>
      </c>
      <c r="C2012" s="0" t="n">
        <v>451</v>
      </c>
      <c r="D2012" s="0" t="s">
        <v>4107</v>
      </c>
      <c r="E2012" s="0" t="s">
        <v>3970</v>
      </c>
      <c r="F2012" s="0" t="s">
        <v>4149</v>
      </c>
    </row>
    <row r="2013" customFormat="false" ht="12.8" hidden="false" customHeight="false" outlineLevel="0" collapsed="false">
      <c r="A2013" s="0" t="n">
        <v>4</v>
      </c>
      <c r="B2013" s="0" t="n">
        <v>16</v>
      </c>
      <c r="C2013" s="0" t="n">
        <v>452</v>
      </c>
      <c r="D2013" s="0" t="s">
        <v>4107</v>
      </c>
      <c r="E2013" s="0" t="s">
        <v>3970</v>
      </c>
      <c r="F2013" s="0" t="s">
        <v>4122</v>
      </c>
    </row>
    <row r="2014" customFormat="false" ht="12.8" hidden="false" customHeight="false" outlineLevel="0" collapsed="false">
      <c r="A2014" s="0" t="n">
        <v>4</v>
      </c>
      <c r="B2014" s="0" t="n">
        <v>16</v>
      </c>
      <c r="C2014" s="0" t="n">
        <v>453</v>
      </c>
      <c r="D2014" s="0" t="s">
        <v>4107</v>
      </c>
      <c r="E2014" s="0" t="s">
        <v>3970</v>
      </c>
      <c r="F2014" s="0" t="s">
        <v>4158</v>
      </c>
    </row>
    <row r="2015" customFormat="false" ht="12.8" hidden="false" customHeight="false" outlineLevel="0" collapsed="false">
      <c r="A2015" s="0" t="n">
        <v>4</v>
      </c>
      <c r="B2015" s="0" t="n">
        <v>16</v>
      </c>
      <c r="C2015" s="0" t="n">
        <v>454</v>
      </c>
      <c r="D2015" s="0" t="s">
        <v>4107</v>
      </c>
      <c r="E2015" s="0" t="s">
        <v>3970</v>
      </c>
      <c r="F2015" s="0" t="s">
        <v>4124</v>
      </c>
    </row>
    <row r="2016" customFormat="false" ht="12.8" hidden="false" customHeight="false" outlineLevel="0" collapsed="false">
      <c r="A2016" s="0" t="n">
        <v>4</v>
      </c>
      <c r="B2016" s="0" t="n">
        <v>16</v>
      </c>
      <c r="C2016" s="0" t="n">
        <v>455</v>
      </c>
      <c r="D2016" s="0" t="s">
        <v>4107</v>
      </c>
      <c r="E2016" s="0" t="s">
        <v>3970</v>
      </c>
      <c r="F2016" s="0" t="s">
        <v>4159</v>
      </c>
    </row>
    <row r="2017" customFormat="false" ht="12.8" hidden="false" customHeight="false" outlineLevel="0" collapsed="false">
      <c r="A2017" s="0" t="n">
        <v>4</v>
      </c>
      <c r="B2017" s="0" t="n">
        <v>16</v>
      </c>
      <c r="C2017" s="0" t="n">
        <v>456</v>
      </c>
      <c r="D2017" s="0" t="s">
        <v>4107</v>
      </c>
      <c r="E2017" s="0" t="s">
        <v>3970</v>
      </c>
      <c r="F2017" s="0" t="s">
        <v>4125</v>
      </c>
    </row>
    <row r="2018" customFormat="false" ht="12.8" hidden="false" customHeight="false" outlineLevel="0" collapsed="false">
      <c r="A2018" s="0" t="n">
        <v>4</v>
      </c>
      <c r="B2018" s="0" t="n">
        <v>16</v>
      </c>
      <c r="C2018" s="0" t="n">
        <v>457</v>
      </c>
      <c r="D2018" s="0" t="s">
        <v>4107</v>
      </c>
      <c r="E2018" s="0" t="s">
        <v>3970</v>
      </c>
      <c r="F2018" s="0" t="s">
        <v>4126</v>
      </c>
    </row>
    <row r="2019" customFormat="false" ht="12.8" hidden="false" customHeight="false" outlineLevel="0" collapsed="false">
      <c r="A2019" s="0" t="n">
        <v>4</v>
      </c>
      <c r="B2019" s="0" t="n">
        <v>16</v>
      </c>
      <c r="C2019" s="0" t="n">
        <v>458</v>
      </c>
      <c r="D2019" s="0" t="s">
        <v>4107</v>
      </c>
      <c r="E2019" s="0" t="s">
        <v>3970</v>
      </c>
      <c r="F2019" s="0" t="s">
        <v>4127</v>
      </c>
    </row>
    <row r="2020" customFormat="false" ht="12.8" hidden="false" customHeight="false" outlineLevel="0" collapsed="false">
      <c r="A2020" s="0" t="n">
        <v>4</v>
      </c>
      <c r="B2020" s="0" t="n">
        <v>16</v>
      </c>
      <c r="C2020" s="0" t="n">
        <v>459</v>
      </c>
      <c r="D2020" s="0" t="s">
        <v>4107</v>
      </c>
      <c r="E2020" s="0" t="s">
        <v>3970</v>
      </c>
      <c r="F2020" s="0" t="s">
        <v>4128</v>
      </c>
    </row>
    <row r="2021" customFormat="false" ht="12.8" hidden="false" customHeight="false" outlineLevel="0" collapsed="false">
      <c r="A2021" s="0" t="n">
        <v>4</v>
      </c>
      <c r="B2021" s="0" t="n">
        <v>16</v>
      </c>
      <c r="C2021" s="0" t="n">
        <v>460</v>
      </c>
      <c r="D2021" s="0" t="s">
        <v>4107</v>
      </c>
      <c r="E2021" s="0" t="s">
        <v>3970</v>
      </c>
      <c r="F2021" s="0" t="s">
        <v>4152</v>
      </c>
    </row>
    <row r="2022" customFormat="false" ht="12.8" hidden="false" customHeight="false" outlineLevel="0" collapsed="false">
      <c r="A2022" s="0" t="n">
        <v>4</v>
      </c>
      <c r="B2022" s="0" t="n">
        <v>16</v>
      </c>
      <c r="C2022" s="0" t="n">
        <v>461</v>
      </c>
      <c r="D2022" s="0" t="s">
        <v>4107</v>
      </c>
      <c r="E2022" s="0" t="s">
        <v>3970</v>
      </c>
      <c r="F2022" s="0" t="s">
        <v>4129</v>
      </c>
    </row>
    <row r="2023" customFormat="false" ht="12.8" hidden="false" customHeight="false" outlineLevel="0" collapsed="false">
      <c r="A2023" s="0" t="n">
        <v>4</v>
      </c>
      <c r="B2023" s="0" t="n">
        <v>16</v>
      </c>
      <c r="C2023" s="0" t="n">
        <v>462</v>
      </c>
      <c r="D2023" s="0" t="s">
        <v>4107</v>
      </c>
      <c r="E2023" s="0" t="s">
        <v>3970</v>
      </c>
      <c r="F2023" s="0" t="s">
        <v>4130</v>
      </c>
    </row>
    <row r="2024" customFormat="false" ht="12.8" hidden="false" customHeight="false" outlineLevel="0" collapsed="false">
      <c r="A2024" s="0" t="n">
        <v>4</v>
      </c>
      <c r="B2024" s="0" t="n">
        <v>16</v>
      </c>
      <c r="C2024" s="0" t="n">
        <v>463</v>
      </c>
      <c r="D2024" s="0" t="s">
        <v>4107</v>
      </c>
      <c r="E2024" s="0" t="s">
        <v>3970</v>
      </c>
      <c r="F2024" s="0" t="s">
        <v>4151</v>
      </c>
    </row>
    <row r="2025" customFormat="false" ht="12.8" hidden="false" customHeight="false" outlineLevel="0" collapsed="false">
      <c r="A2025" s="0" t="n">
        <v>4</v>
      </c>
      <c r="B2025" s="0" t="n">
        <v>16</v>
      </c>
      <c r="C2025" s="0" t="n">
        <v>464</v>
      </c>
      <c r="D2025" s="0" t="s">
        <v>4107</v>
      </c>
      <c r="E2025" s="0" t="s">
        <v>3970</v>
      </c>
      <c r="F2025" s="0" t="s">
        <v>4086</v>
      </c>
    </row>
    <row r="2026" customFormat="false" ht="12.8" hidden="false" customHeight="false" outlineLevel="0" collapsed="false">
      <c r="A2026" s="0" t="n">
        <v>4</v>
      </c>
      <c r="B2026" s="0" t="n">
        <v>16</v>
      </c>
      <c r="C2026" s="0" t="n">
        <v>465</v>
      </c>
      <c r="D2026" s="0" t="s">
        <v>4107</v>
      </c>
      <c r="E2026" s="0" t="s">
        <v>3970</v>
      </c>
      <c r="F2026" s="0" t="s">
        <v>4132</v>
      </c>
    </row>
    <row r="2027" customFormat="false" ht="12.8" hidden="false" customHeight="false" outlineLevel="0" collapsed="false">
      <c r="A2027" s="0" t="n">
        <v>4</v>
      </c>
      <c r="B2027" s="0" t="n">
        <v>16</v>
      </c>
      <c r="C2027" s="0" t="n">
        <v>466</v>
      </c>
      <c r="D2027" s="0" t="s">
        <v>4107</v>
      </c>
      <c r="E2027" s="0" t="s">
        <v>3970</v>
      </c>
      <c r="F2027" s="0" t="s">
        <v>4133</v>
      </c>
    </row>
    <row r="2028" customFormat="false" ht="12.8" hidden="false" customHeight="false" outlineLevel="0" collapsed="false">
      <c r="A2028" s="0" t="n">
        <v>4</v>
      </c>
      <c r="B2028" s="0" t="n">
        <v>16</v>
      </c>
      <c r="C2028" s="0" t="n">
        <v>467</v>
      </c>
      <c r="D2028" s="0" t="s">
        <v>4107</v>
      </c>
      <c r="E2028" s="0" t="s">
        <v>3970</v>
      </c>
      <c r="F2028" s="0" t="s">
        <v>4134</v>
      </c>
    </row>
    <row r="2029" customFormat="false" ht="12.8" hidden="false" customHeight="false" outlineLevel="0" collapsed="false">
      <c r="A2029" s="0" t="n">
        <v>4</v>
      </c>
      <c r="B2029" s="0" t="n">
        <v>16</v>
      </c>
      <c r="C2029" s="0" t="n">
        <v>468</v>
      </c>
      <c r="D2029" s="0" t="s">
        <v>4107</v>
      </c>
      <c r="E2029" s="0" t="s">
        <v>3970</v>
      </c>
      <c r="F2029" s="0" t="s">
        <v>4135</v>
      </c>
    </row>
    <row r="2030" customFormat="false" ht="12.8" hidden="false" customHeight="false" outlineLevel="0" collapsed="false">
      <c r="A2030" s="0" t="n">
        <v>4</v>
      </c>
      <c r="B2030" s="0" t="n">
        <v>16</v>
      </c>
      <c r="C2030" s="0" t="n">
        <v>469</v>
      </c>
      <c r="D2030" s="0" t="s">
        <v>4107</v>
      </c>
      <c r="E2030" s="0" t="s">
        <v>3970</v>
      </c>
      <c r="F2030" s="0" t="s">
        <v>4136</v>
      </c>
    </row>
    <row r="2031" customFormat="false" ht="12.8" hidden="false" customHeight="false" outlineLevel="0" collapsed="false">
      <c r="A2031" s="0" t="n">
        <v>4</v>
      </c>
      <c r="B2031" s="0" t="n">
        <v>16</v>
      </c>
      <c r="C2031" s="0" t="n">
        <v>470</v>
      </c>
      <c r="D2031" s="0" t="s">
        <v>4107</v>
      </c>
      <c r="E2031" s="0" t="s">
        <v>3970</v>
      </c>
      <c r="F2031" s="0" t="s">
        <v>4137</v>
      </c>
    </row>
    <row r="2032" customFormat="false" ht="12.8" hidden="false" customHeight="false" outlineLevel="0" collapsed="false">
      <c r="A2032" s="0" t="n">
        <v>4</v>
      </c>
      <c r="B2032" s="0" t="n">
        <v>16</v>
      </c>
      <c r="C2032" s="0" t="n">
        <v>471</v>
      </c>
      <c r="D2032" s="0" t="s">
        <v>4107</v>
      </c>
      <c r="E2032" s="0" t="s">
        <v>3970</v>
      </c>
      <c r="F2032" s="0" t="s">
        <v>4139</v>
      </c>
    </row>
    <row r="2033" customFormat="false" ht="12.8" hidden="false" customHeight="false" outlineLevel="0" collapsed="false">
      <c r="A2033" s="0" t="n">
        <v>4</v>
      </c>
      <c r="B2033" s="0" t="n">
        <v>16</v>
      </c>
      <c r="C2033" s="0" t="n">
        <v>472</v>
      </c>
      <c r="D2033" s="0" t="s">
        <v>4107</v>
      </c>
      <c r="E2033" s="0" t="s">
        <v>3970</v>
      </c>
      <c r="F2033" s="0" t="s">
        <v>4140</v>
      </c>
    </row>
    <row r="2034" customFormat="false" ht="12.8" hidden="false" customHeight="false" outlineLevel="0" collapsed="false">
      <c r="A2034" s="0" t="n">
        <v>4</v>
      </c>
      <c r="B2034" s="0" t="n">
        <v>16</v>
      </c>
      <c r="C2034" s="0" t="n">
        <v>473</v>
      </c>
      <c r="D2034" s="0" t="s">
        <v>4107</v>
      </c>
      <c r="E2034" s="0" t="s">
        <v>3970</v>
      </c>
      <c r="F2034" s="0" t="s">
        <v>4141</v>
      </c>
    </row>
    <row r="2035" customFormat="false" ht="12.8" hidden="false" customHeight="false" outlineLevel="0" collapsed="false">
      <c r="A2035" s="0" t="n">
        <v>4</v>
      </c>
      <c r="B2035" s="0" t="n">
        <v>16</v>
      </c>
      <c r="C2035" s="0" t="n">
        <v>474</v>
      </c>
      <c r="D2035" s="0" t="s">
        <v>4107</v>
      </c>
      <c r="E2035" s="0" t="s">
        <v>3970</v>
      </c>
      <c r="F2035" s="0" t="s">
        <v>4142</v>
      </c>
    </row>
    <row r="2036" customFormat="false" ht="12.8" hidden="false" customHeight="false" outlineLevel="0" collapsed="false">
      <c r="A2036" s="0" t="n">
        <v>4</v>
      </c>
      <c r="B2036" s="0" t="n">
        <v>16</v>
      </c>
      <c r="C2036" s="0" t="n">
        <v>475</v>
      </c>
      <c r="D2036" s="0" t="s">
        <v>4107</v>
      </c>
      <c r="E2036" s="0" t="s">
        <v>3970</v>
      </c>
      <c r="F2036" s="0" t="s">
        <v>4143</v>
      </c>
    </row>
    <row r="2037" customFormat="false" ht="12.8" hidden="false" customHeight="false" outlineLevel="0" collapsed="false">
      <c r="A2037" s="0" t="n">
        <v>4</v>
      </c>
      <c r="B2037" s="0" t="n">
        <v>16</v>
      </c>
      <c r="C2037" s="0" t="n">
        <v>476</v>
      </c>
      <c r="D2037" s="0" t="s">
        <v>4107</v>
      </c>
      <c r="E2037" s="0" t="s">
        <v>3970</v>
      </c>
      <c r="F2037" s="0" t="s">
        <v>4144</v>
      </c>
    </row>
    <row r="2038" customFormat="false" ht="12.8" hidden="false" customHeight="false" outlineLevel="0" collapsed="false">
      <c r="A2038" s="0" t="n">
        <v>4</v>
      </c>
      <c r="B2038" s="0" t="n">
        <v>16</v>
      </c>
      <c r="C2038" s="0" t="n">
        <v>477</v>
      </c>
      <c r="D2038" s="0" t="s">
        <v>4107</v>
      </c>
      <c r="E2038" s="0" t="s">
        <v>3970</v>
      </c>
      <c r="F2038" s="0" t="s">
        <v>4147</v>
      </c>
    </row>
    <row r="2039" customFormat="false" ht="12.8" hidden="false" customHeight="false" outlineLevel="0" collapsed="false">
      <c r="A2039" s="0" t="n">
        <v>4</v>
      </c>
      <c r="B2039" s="0" t="n">
        <v>16</v>
      </c>
      <c r="C2039" s="0" t="n">
        <v>545</v>
      </c>
      <c r="D2039" s="0" t="s">
        <v>4107</v>
      </c>
      <c r="E2039" s="0" t="s">
        <v>3970</v>
      </c>
      <c r="F2039" s="0" t="s">
        <v>4108</v>
      </c>
    </row>
    <row r="2040" customFormat="false" ht="12.8" hidden="false" customHeight="false" outlineLevel="0" collapsed="false">
      <c r="A2040" s="0" t="n">
        <v>4</v>
      </c>
      <c r="B2040" s="0" t="n">
        <v>16</v>
      </c>
      <c r="C2040" s="0" t="n">
        <v>546</v>
      </c>
      <c r="D2040" s="0" t="s">
        <v>4107</v>
      </c>
      <c r="E2040" s="0" t="s">
        <v>3970</v>
      </c>
      <c r="F2040" s="0" t="s">
        <v>4109</v>
      </c>
    </row>
    <row r="2041" customFormat="false" ht="12.8" hidden="false" customHeight="false" outlineLevel="0" collapsed="false">
      <c r="A2041" s="0" t="n">
        <v>4</v>
      </c>
      <c r="B2041" s="0" t="n">
        <v>16</v>
      </c>
      <c r="C2041" s="0" t="n">
        <v>547</v>
      </c>
      <c r="D2041" s="0" t="s">
        <v>4107</v>
      </c>
      <c r="E2041" s="0" t="s">
        <v>3970</v>
      </c>
      <c r="F2041" s="0" t="s">
        <v>4039</v>
      </c>
    </row>
    <row r="2042" customFormat="false" ht="12.8" hidden="false" customHeight="false" outlineLevel="0" collapsed="false">
      <c r="A2042" s="0" t="n">
        <v>4</v>
      </c>
      <c r="B2042" s="0" t="n">
        <v>16</v>
      </c>
      <c r="C2042" s="0" t="n">
        <v>548</v>
      </c>
      <c r="D2042" s="0" t="s">
        <v>4107</v>
      </c>
      <c r="E2042" s="0" t="s">
        <v>3970</v>
      </c>
      <c r="F2042" s="0" t="s">
        <v>4110</v>
      </c>
    </row>
    <row r="2043" customFormat="false" ht="12.8" hidden="false" customHeight="false" outlineLevel="0" collapsed="false">
      <c r="A2043" s="0" t="n">
        <v>4</v>
      </c>
      <c r="B2043" s="0" t="n">
        <v>16</v>
      </c>
      <c r="C2043" s="0" t="n">
        <v>549</v>
      </c>
      <c r="D2043" s="0" t="s">
        <v>4107</v>
      </c>
      <c r="E2043" s="0" t="s">
        <v>3970</v>
      </c>
      <c r="F2043" s="0" t="s">
        <v>4148</v>
      </c>
    </row>
    <row r="2044" customFormat="false" ht="12.8" hidden="false" customHeight="false" outlineLevel="0" collapsed="false">
      <c r="A2044" s="0" t="n">
        <v>4</v>
      </c>
      <c r="B2044" s="0" t="n">
        <v>16</v>
      </c>
      <c r="C2044" s="0" t="n">
        <v>550</v>
      </c>
      <c r="D2044" s="0" t="s">
        <v>4107</v>
      </c>
      <c r="E2044" s="0" t="s">
        <v>3970</v>
      </c>
      <c r="F2044" s="0" t="s">
        <v>4111</v>
      </c>
    </row>
    <row r="2045" customFormat="false" ht="12.8" hidden="false" customHeight="false" outlineLevel="0" collapsed="false">
      <c r="A2045" s="0" t="n">
        <v>4</v>
      </c>
      <c r="B2045" s="0" t="n">
        <v>16</v>
      </c>
      <c r="C2045" s="0" t="n">
        <v>551</v>
      </c>
      <c r="D2045" s="0" t="s">
        <v>4107</v>
      </c>
      <c r="E2045" s="0" t="s">
        <v>3970</v>
      </c>
      <c r="F2045" s="0" t="s">
        <v>4112</v>
      </c>
    </row>
    <row r="2046" customFormat="false" ht="12.8" hidden="false" customHeight="false" outlineLevel="0" collapsed="false">
      <c r="A2046" s="0" t="n">
        <v>4</v>
      </c>
      <c r="B2046" s="0" t="n">
        <v>16</v>
      </c>
      <c r="C2046" s="0" t="n">
        <v>552</v>
      </c>
      <c r="D2046" s="0" t="s">
        <v>4107</v>
      </c>
      <c r="E2046" s="0" t="s">
        <v>3970</v>
      </c>
      <c r="F2046" s="0" t="s">
        <v>4113</v>
      </c>
    </row>
    <row r="2047" customFormat="false" ht="12.8" hidden="false" customHeight="false" outlineLevel="0" collapsed="false">
      <c r="A2047" s="0" t="n">
        <v>4</v>
      </c>
      <c r="B2047" s="0" t="n">
        <v>16</v>
      </c>
      <c r="C2047" s="0" t="n">
        <v>553</v>
      </c>
      <c r="D2047" s="0" t="s">
        <v>4107</v>
      </c>
      <c r="E2047" s="0" t="s">
        <v>3970</v>
      </c>
      <c r="F2047" s="0" t="s">
        <v>4114</v>
      </c>
    </row>
    <row r="2048" customFormat="false" ht="12.8" hidden="false" customHeight="false" outlineLevel="0" collapsed="false">
      <c r="A2048" s="0" t="n">
        <v>4</v>
      </c>
      <c r="B2048" s="0" t="n">
        <v>16</v>
      </c>
      <c r="C2048" s="0" t="n">
        <v>554</v>
      </c>
      <c r="D2048" s="0" t="s">
        <v>4107</v>
      </c>
      <c r="E2048" s="0" t="s">
        <v>3970</v>
      </c>
      <c r="F2048" s="0" t="s">
        <v>4115</v>
      </c>
    </row>
    <row r="2049" customFormat="false" ht="12.8" hidden="false" customHeight="false" outlineLevel="0" collapsed="false">
      <c r="A2049" s="0" t="n">
        <v>4</v>
      </c>
      <c r="B2049" s="0" t="n">
        <v>16</v>
      </c>
      <c r="C2049" s="0" t="n">
        <v>555</v>
      </c>
      <c r="D2049" s="0" t="s">
        <v>4107</v>
      </c>
      <c r="E2049" s="0" t="s">
        <v>3970</v>
      </c>
      <c r="F2049" s="0" t="s">
        <v>4117</v>
      </c>
    </row>
    <row r="2050" customFormat="false" ht="12.8" hidden="false" customHeight="false" outlineLevel="0" collapsed="false">
      <c r="A2050" s="0" t="n">
        <v>4</v>
      </c>
      <c r="B2050" s="0" t="n">
        <v>16</v>
      </c>
      <c r="C2050" s="0" t="n">
        <v>556</v>
      </c>
      <c r="D2050" s="0" t="s">
        <v>4107</v>
      </c>
      <c r="E2050" s="0" t="s">
        <v>3970</v>
      </c>
      <c r="F2050" s="0" t="s">
        <v>4119</v>
      </c>
    </row>
    <row r="2051" customFormat="false" ht="12.8" hidden="false" customHeight="false" outlineLevel="0" collapsed="false">
      <c r="A2051" s="0" t="n">
        <v>4</v>
      </c>
      <c r="B2051" s="0" t="n">
        <v>16</v>
      </c>
      <c r="C2051" s="0" t="n">
        <v>557</v>
      </c>
      <c r="D2051" s="0" t="s">
        <v>4107</v>
      </c>
      <c r="E2051" s="0" t="s">
        <v>3970</v>
      </c>
      <c r="F2051" s="0" t="s">
        <v>4120</v>
      </c>
    </row>
    <row r="2052" customFormat="false" ht="12.8" hidden="false" customHeight="false" outlineLevel="0" collapsed="false">
      <c r="A2052" s="0" t="n">
        <v>4</v>
      </c>
      <c r="B2052" s="0" t="n">
        <v>16</v>
      </c>
      <c r="C2052" s="0" t="n">
        <v>558</v>
      </c>
      <c r="D2052" s="0" t="s">
        <v>4107</v>
      </c>
      <c r="E2052" s="0" t="s">
        <v>3970</v>
      </c>
      <c r="F2052" s="0" t="s">
        <v>4149</v>
      </c>
    </row>
    <row r="2053" customFormat="false" ht="12.8" hidden="false" customHeight="false" outlineLevel="0" collapsed="false">
      <c r="A2053" s="0" t="n">
        <v>4</v>
      </c>
      <c r="B2053" s="0" t="n">
        <v>16</v>
      </c>
      <c r="C2053" s="0" t="n">
        <v>559</v>
      </c>
      <c r="D2053" s="0" t="s">
        <v>4107</v>
      </c>
      <c r="E2053" s="0" t="s">
        <v>3970</v>
      </c>
      <c r="F2053" s="0" t="s">
        <v>4122</v>
      </c>
    </row>
    <row r="2054" customFormat="false" ht="12.8" hidden="false" customHeight="false" outlineLevel="0" collapsed="false">
      <c r="A2054" s="0" t="n">
        <v>4</v>
      </c>
      <c r="B2054" s="0" t="n">
        <v>16</v>
      </c>
      <c r="C2054" s="0" t="n">
        <v>560</v>
      </c>
      <c r="D2054" s="0" t="s">
        <v>4107</v>
      </c>
      <c r="E2054" s="0" t="s">
        <v>3970</v>
      </c>
      <c r="F2054" s="0" t="s">
        <v>4158</v>
      </c>
    </row>
    <row r="2055" customFormat="false" ht="12.8" hidden="false" customHeight="false" outlineLevel="0" collapsed="false">
      <c r="A2055" s="0" t="n">
        <v>4</v>
      </c>
      <c r="B2055" s="0" t="n">
        <v>16</v>
      </c>
      <c r="C2055" s="0" t="n">
        <v>561</v>
      </c>
      <c r="D2055" s="0" t="s">
        <v>4107</v>
      </c>
      <c r="E2055" s="0" t="s">
        <v>3970</v>
      </c>
      <c r="F2055" s="0" t="s">
        <v>4124</v>
      </c>
    </row>
    <row r="2056" customFormat="false" ht="12.8" hidden="false" customHeight="false" outlineLevel="0" collapsed="false">
      <c r="A2056" s="0" t="n">
        <v>4</v>
      </c>
      <c r="B2056" s="0" t="n">
        <v>16</v>
      </c>
      <c r="C2056" s="0" t="n">
        <v>562</v>
      </c>
      <c r="D2056" s="0" t="s">
        <v>4107</v>
      </c>
      <c r="E2056" s="0" t="s">
        <v>3970</v>
      </c>
      <c r="F2056" s="0" t="s">
        <v>4159</v>
      </c>
    </row>
    <row r="2057" customFormat="false" ht="12.8" hidden="false" customHeight="false" outlineLevel="0" collapsed="false">
      <c r="A2057" s="0" t="n">
        <v>4</v>
      </c>
      <c r="B2057" s="0" t="n">
        <v>16</v>
      </c>
      <c r="C2057" s="0" t="n">
        <v>563</v>
      </c>
      <c r="D2057" s="0" t="s">
        <v>4107</v>
      </c>
      <c r="E2057" s="0" t="s">
        <v>3970</v>
      </c>
      <c r="F2057" s="0" t="s">
        <v>4125</v>
      </c>
    </row>
    <row r="2058" customFormat="false" ht="12.8" hidden="false" customHeight="false" outlineLevel="0" collapsed="false">
      <c r="A2058" s="0" t="n">
        <v>4</v>
      </c>
      <c r="B2058" s="0" t="n">
        <v>16</v>
      </c>
      <c r="C2058" s="0" t="n">
        <v>564</v>
      </c>
      <c r="D2058" s="0" t="s">
        <v>4107</v>
      </c>
      <c r="E2058" s="0" t="s">
        <v>3970</v>
      </c>
      <c r="F2058" s="0" t="s">
        <v>4126</v>
      </c>
    </row>
    <row r="2059" customFormat="false" ht="12.8" hidden="false" customHeight="false" outlineLevel="0" collapsed="false">
      <c r="A2059" s="0" t="n">
        <v>4</v>
      </c>
      <c r="B2059" s="0" t="n">
        <v>16</v>
      </c>
      <c r="C2059" s="0" t="n">
        <v>565</v>
      </c>
      <c r="D2059" s="0" t="s">
        <v>4107</v>
      </c>
      <c r="E2059" s="0" t="s">
        <v>3970</v>
      </c>
      <c r="F2059" s="0" t="s">
        <v>4127</v>
      </c>
    </row>
    <row r="2060" customFormat="false" ht="12.8" hidden="false" customHeight="false" outlineLevel="0" collapsed="false">
      <c r="A2060" s="0" t="n">
        <v>4</v>
      </c>
      <c r="B2060" s="0" t="n">
        <v>16</v>
      </c>
      <c r="C2060" s="0" t="n">
        <v>566</v>
      </c>
      <c r="D2060" s="0" t="s">
        <v>4107</v>
      </c>
      <c r="E2060" s="0" t="s">
        <v>3970</v>
      </c>
      <c r="F2060" s="0" t="s">
        <v>4128</v>
      </c>
    </row>
    <row r="2061" customFormat="false" ht="12.8" hidden="false" customHeight="false" outlineLevel="0" collapsed="false">
      <c r="A2061" s="0" t="n">
        <v>4</v>
      </c>
      <c r="B2061" s="0" t="n">
        <v>16</v>
      </c>
      <c r="C2061" s="0" t="n">
        <v>567</v>
      </c>
      <c r="D2061" s="0" t="s">
        <v>4107</v>
      </c>
      <c r="E2061" s="0" t="s">
        <v>3970</v>
      </c>
      <c r="F2061" s="0" t="s">
        <v>4152</v>
      </c>
    </row>
    <row r="2062" customFormat="false" ht="12.8" hidden="false" customHeight="false" outlineLevel="0" collapsed="false">
      <c r="A2062" s="0" t="n">
        <v>4</v>
      </c>
      <c r="B2062" s="0" t="n">
        <v>16</v>
      </c>
      <c r="C2062" s="0" t="n">
        <v>568</v>
      </c>
      <c r="D2062" s="0" t="s">
        <v>4107</v>
      </c>
      <c r="E2062" s="0" t="s">
        <v>3970</v>
      </c>
      <c r="F2062" s="0" t="s">
        <v>4129</v>
      </c>
    </row>
    <row r="2063" customFormat="false" ht="12.8" hidden="false" customHeight="false" outlineLevel="0" collapsed="false">
      <c r="A2063" s="0" t="n">
        <v>4</v>
      </c>
      <c r="B2063" s="0" t="n">
        <v>16</v>
      </c>
      <c r="C2063" s="0" t="n">
        <v>569</v>
      </c>
      <c r="D2063" s="0" t="s">
        <v>4107</v>
      </c>
      <c r="E2063" s="0" t="s">
        <v>3970</v>
      </c>
      <c r="F2063" s="0" t="s">
        <v>4130</v>
      </c>
    </row>
    <row r="2064" customFormat="false" ht="12.8" hidden="false" customHeight="false" outlineLevel="0" collapsed="false">
      <c r="A2064" s="0" t="n">
        <v>4</v>
      </c>
      <c r="B2064" s="0" t="n">
        <v>16</v>
      </c>
      <c r="C2064" s="0" t="n">
        <v>570</v>
      </c>
      <c r="D2064" s="0" t="s">
        <v>4107</v>
      </c>
      <c r="E2064" s="0" t="s">
        <v>3970</v>
      </c>
      <c r="F2064" s="0" t="s">
        <v>4151</v>
      </c>
    </row>
    <row r="2065" customFormat="false" ht="12.8" hidden="false" customHeight="false" outlineLevel="0" collapsed="false">
      <c r="A2065" s="0" t="n">
        <v>4</v>
      </c>
      <c r="B2065" s="0" t="n">
        <v>16</v>
      </c>
      <c r="C2065" s="0" t="n">
        <v>571</v>
      </c>
      <c r="D2065" s="0" t="s">
        <v>4107</v>
      </c>
      <c r="E2065" s="0" t="s">
        <v>3970</v>
      </c>
      <c r="F2065" s="0" t="s">
        <v>4086</v>
      </c>
    </row>
    <row r="2066" customFormat="false" ht="12.8" hidden="false" customHeight="false" outlineLevel="0" collapsed="false">
      <c r="A2066" s="0" t="n">
        <v>4</v>
      </c>
      <c r="B2066" s="0" t="n">
        <v>16</v>
      </c>
      <c r="C2066" s="0" t="n">
        <v>572</v>
      </c>
      <c r="D2066" s="0" t="s">
        <v>4107</v>
      </c>
      <c r="E2066" s="0" t="s">
        <v>3970</v>
      </c>
      <c r="F2066" s="0" t="s">
        <v>4132</v>
      </c>
    </row>
    <row r="2067" customFormat="false" ht="12.8" hidden="false" customHeight="false" outlineLevel="0" collapsed="false">
      <c r="A2067" s="0" t="n">
        <v>4</v>
      </c>
      <c r="B2067" s="0" t="n">
        <v>16</v>
      </c>
      <c r="C2067" s="0" t="n">
        <v>573</v>
      </c>
      <c r="D2067" s="0" t="s">
        <v>4107</v>
      </c>
      <c r="E2067" s="0" t="s">
        <v>3970</v>
      </c>
      <c r="F2067" s="0" t="s">
        <v>4133</v>
      </c>
    </row>
    <row r="2068" customFormat="false" ht="12.8" hidden="false" customHeight="false" outlineLevel="0" collapsed="false">
      <c r="A2068" s="0" t="n">
        <v>4</v>
      </c>
      <c r="B2068" s="0" t="n">
        <v>16</v>
      </c>
      <c r="C2068" s="0" t="n">
        <v>574</v>
      </c>
      <c r="D2068" s="0" t="s">
        <v>4107</v>
      </c>
      <c r="E2068" s="0" t="s">
        <v>3970</v>
      </c>
      <c r="F2068" s="0" t="s">
        <v>4134</v>
      </c>
    </row>
    <row r="2069" customFormat="false" ht="12.8" hidden="false" customHeight="false" outlineLevel="0" collapsed="false">
      <c r="A2069" s="0" t="n">
        <v>4</v>
      </c>
      <c r="B2069" s="0" t="n">
        <v>16</v>
      </c>
      <c r="C2069" s="0" t="n">
        <v>575</v>
      </c>
      <c r="D2069" s="0" t="s">
        <v>4107</v>
      </c>
      <c r="E2069" s="0" t="s">
        <v>3970</v>
      </c>
      <c r="F2069" s="0" t="s">
        <v>4135</v>
      </c>
    </row>
    <row r="2070" customFormat="false" ht="12.8" hidden="false" customHeight="false" outlineLevel="0" collapsed="false">
      <c r="A2070" s="0" t="n">
        <v>4</v>
      </c>
      <c r="B2070" s="0" t="n">
        <v>16</v>
      </c>
      <c r="C2070" s="0" t="n">
        <v>576</v>
      </c>
      <c r="D2070" s="0" t="s">
        <v>4107</v>
      </c>
      <c r="E2070" s="0" t="s">
        <v>3970</v>
      </c>
      <c r="F2070" s="0" t="s">
        <v>4136</v>
      </c>
    </row>
    <row r="2071" customFormat="false" ht="12.8" hidden="false" customHeight="false" outlineLevel="0" collapsed="false">
      <c r="A2071" s="0" t="n">
        <v>4</v>
      </c>
      <c r="B2071" s="0" t="n">
        <v>16</v>
      </c>
      <c r="C2071" s="0" t="n">
        <v>577</v>
      </c>
      <c r="D2071" s="0" t="s">
        <v>4107</v>
      </c>
      <c r="E2071" s="0" t="s">
        <v>3970</v>
      </c>
      <c r="F2071" s="0" t="s">
        <v>4137</v>
      </c>
    </row>
    <row r="2072" customFormat="false" ht="12.8" hidden="false" customHeight="false" outlineLevel="0" collapsed="false">
      <c r="A2072" s="0" t="n">
        <v>4</v>
      </c>
      <c r="B2072" s="0" t="n">
        <v>16</v>
      </c>
      <c r="C2072" s="0" t="n">
        <v>578</v>
      </c>
      <c r="D2072" s="0" t="s">
        <v>4107</v>
      </c>
      <c r="E2072" s="0" t="s">
        <v>3970</v>
      </c>
      <c r="F2072" s="0" t="s">
        <v>4139</v>
      </c>
    </row>
    <row r="2073" customFormat="false" ht="12.8" hidden="false" customHeight="false" outlineLevel="0" collapsed="false">
      <c r="A2073" s="0" t="n">
        <v>4</v>
      </c>
      <c r="B2073" s="0" t="n">
        <v>16</v>
      </c>
      <c r="C2073" s="0" t="n">
        <v>579</v>
      </c>
      <c r="D2073" s="0" t="s">
        <v>4107</v>
      </c>
      <c r="E2073" s="0" t="s">
        <v>3970</v>
      </c>
      <c r="F2073" s="0" t="s">
        <v>4140</v>
      </c>
    </row>
    <row r="2074" customFormat="false" ht="12.8" hidden="false" customHeight="false" outlineLevel="0" collapsed="false">
      <c r="A2074" s="0" t="n">
        <v>4</v>
      </c>
      <c r="B2074" s="0" t="n">
        <v>16</v>
      </c>
      <c r="C2074" s="0" t="n">
        <v>580</v>
      </c>
      <c r="D2074" s="0" t="s">
        <v>4107</v>
      </c>
      <c r="E2074" s="0" t="s">
        <v>3970</v>
      </c>
      <c r="F2074" s="0" t="s">
        <v>4141</v>
      </c>
    </row>
    <row r="2075" customFormat="false" ht="12.8" hidden="false" customHeight="false" outlineLevel="0" collapsed="false">
      <c r="A2075" s="0" t="n">
        <v>4</v>
      </c>
      <c r="B2075" s="0" t="n">
        <v>16</v>
      </c>
      <c r="C2075" s="0" t="n">
        <v>581</v>
      </c>
      <c r="D2075" s="0" t="s">
        <v>4107</v>
      </c>
      <c r="E2075" s="0" t="s">
        <v>3970</v>
      </c>
      <c r="F2075" s="0" t="s">
        <v>4142</v>
      </c>
    </row>
    <row r="2076" customFormat="false" ht="12.8" hidden="false" customHeight="false" outlineLevel="0" collapsed="false">
      <c r="A2076" s="0" t="n">
        <v>4</v>
      </c>
      <c r="B2076" s="0" t="n">
        <v>16</v>
      </c>
      <c r="C2076" s="0" t="n">
        <v>582</v>
      </c>
      <c r="D2076" s="0" t="s">
        <v>4107</v>
      </c>
      <c r="E2076" s="0" t="s">
        <v>3970</v>
      </c>
      <c r="F2076" s="0" t="s">
        <v>4143</v>
      </c>
    </row>
    <row r="2077" customFormat="false" ht="12.8" hidden="false" customHeight="false" outlineLevel="0" collapsed="false">
      <c r="A2077" s="0" t="n">
        <v>4</v>
      </c>
      <c r="B2077" s="0" t="n">
        <v>16</v>
      </c>
      <c r="C2077" s="0" t="n">
        <v>583</v>
      </c>
      <c r="D2077" s="0" t="s">
        <v>4107</v>
      </c>
      <c r="E2077" s="0" t="s">
        <v>3970</v>
      </c>
      <c r="F2077" s="0" t="s">
        <v>4144</v>
      </c>
    </row>
    <row r="2078" customFormat="false" ht="12.8" hidden="false" customHeight="false" outlineLevel="0" collapsed="false">
      <c r="A2078" s="0" t="n">
        <v>4</v>
      </c>
      <c r="B2078" s="0" t="n">
        <v>16</v>
      </c>
      <c r="C2078" s="0" t="n">
        <v>584</v>
      </c>
      <c r="D2078" s="0" t="s">
        <v>4107</v>
      </c>
      <c r="E2078" s="0" t="s">
        <v>3970</v>
      </c>
      <c r="F2078" s="0" t="s">
        <v>4147</v>
      </c>
    </row>
    <row r="2079" customFormat="false" ht="12.8" hidden="false" customHeight="false" outlineLevel="0" collapsed="false">
      <c r="A2079" s="0" t="n">
        <v>4</v>
      </c>
      <c r="B2079" s="0" t="n">
        <v>16</v>
      </c>
      <c r="C2079" s="0" t="n">
        <v>655</v>
      </c>
      <c r="D2079" s="0" t="s">
        <v>4107</v>
      </c>
      <c r="E2079" s="0" t="s">
        <v>3970</v>
      </c>
      <c r="F2079" s="0" t="s">
        <v>4108</v>
      </c>
    </row>
    <row r="2080" customFormat="false" ht="12.8" hidden="false" customHeight="false" outlineLevel="0" collapsed="false">
      <c r="A2080" s="0" t="n">
        <v>4</v>
      </c>
      <c r="B2080" s="0" t="n">
        <v>16</v>
      </c>
      <c r="C2080" s="0" t="n">
        <v>656</v>
      </c>
      <c r="D2080" s="0" t="s">
        <v>4107</v>
      </c>
      <c r="E2080" s="0" t="s">
        <v>3970</v>
      </c>
      <c r="F2080" s="0" t="s">
        <v>4109</v>
      </c>
    </row>
    <row r="2081" customFormat="false" ht="12.8" hidden="false" customHeight="false" outlineLevel="0" collapsed="false">
      <c r="A2081" s="0" t="n">
        <v>4</v>
      </c>
      <c r="B2081" s="0" t="n">
        <v>16</v>
      </c>
      <c r="C2081" s="0" t="n">
        <v>657</v>
      </c>
      <c r="D2081" s="0" t="s">
        <v>4107</v>
      </c>
      <c r="E2081" s="0" t="s">
        <v>3970</v>
      </c>
      <c r="F2081" s="0" t="s">
        <v>4039</v>
      </c>
    </row>
    <row r="2082" customFormat="false" ht="12.8" hidden="false" customHeight="false" outlineLevel="0" collapsed="false">
      <c r="A2082" s="0" t="n">
        <v>4</v>
      </c>
      <c r="B2082" s="0" t="n">
        <v>16</v>
      </c>
      <c r="C2082" s="0" t="n">
        <v>658</v>
      </c>
      <c r="D2082" s="0" t="s">
        <v>4107</v>
      </c>
      <c r="E2082" s="0" t="s">
        <v>3970</v>
      </c>
      <c r="F2082" s="0" t="s">
        <v>4110</v>
      </c>
    </row>
    <row r="2083" customFormat="false" ht="12.8" hidden="false" customHeight="false" outlineLevel="0" collapsed="false">
      <c r="A2083" s="0" t="n">
        <v>4</v>
      </c>
      <c r="B2083" s="0" t="n">
        <v>16</v>
      </c>
      <c r="C2083" s="0" t="n">
        <v>659</v>
      </c>
      <c r="D2083" s="0" t="s">
        <v>4107</v>
      </c>
      <c r="E2083" s="0" t="s">
        <v>3970</v>
      </c>
      <c r="F2083" s="0" t="s">
        <v>4148</v>
      </c>
    </row>
    <row r="2084" customFormat="false" ht="12.8" hidden="false" customHeight="false" outlineLevel="0" collapsed="false">
      <c r="A2084" s="0" t="n">
        <v>4</v>
      </c>
      <c r="B2084" s="0" t="n">
        <v>16</v>
      </c>
      <c r="C2084" s="0" t="n">
        <v>660</v>
      </c>
      <c r="D2084" s="0" t="s">
        <v>4107</v>
      </c>
      <c r="E2084" s="0" t="s">
        <v>3970</v>
      </c>
      <c r="F2084" s="0" t="s">
        <v>4111</v>
      </c>
    </row>
    <row r="2085" customFormat="false" ht="12.8" hidden="false" customHeight="false" outlineLevel="0" collapsed="false">
      <c r="A2085" s="0" t="n">
        <v>4</v>
      </c>
      <c r="B2085" s="0" t="n">
        <v>16</v>
      </c>
      <c r="C2085" s="0" t="n">
        <v>661</v>
      </c>
      <c r="D2085" s="0" t="s">
        <v>4107</v>
      </c>
      <c r="E2085" s="0" t="s">
        <v>3970</v>
      </c>
      <c r="F2085" s="0" t="s">
        <v>4112</v>
      </c>
    </row>
    <row r="2086" customFormat="false" ht="12.8" hidden="false" customHeight="false" outlineLevel="0" collapsed="false">
      <c r="A2086" s="0" t="n">
        <v>4</v>
      </c>
      <c r="B2086" s="0" t="n">
        <v>16</v>
      </c>
      <c r="C2086" s="0" t="n">
        <v>662</v>
      </c>
      <c r="D2086" s="0" t="s">
        <v>4107</v>
      </c>
      <c r="E2086" s="0" t="s">
        <v>3970</v>
      </c>
      <c r="F2086" s="0" t="s">
        <v>4113</v>
      </c>
    </row>
    <row r="2087" customFormat="false" ht="12.8" hidden="false" customHeight="false" outlineLevel="0" collapsed="false">
      <c r="A2087" s="0" t="n">
        <v>4</v>
      </c>
      <c r="B2087" s="0" t="n">
        <v>16</v>
      </c>
      <c r="C2087" s="0" t="n">
        <v>663</v>
      </c>
      <c r="D2087" s="0" t="s">
        <v>4107</v>
      </c>
      <c r="E2087" s="0" t="s">
        <v>3970</v>
      </c>
      <c r="F2087" s="0" t="s">
        <v>4114</v>
      </c>
    </row>
    <row r="2088" customFormat="false" ht="12.8" hidden="false" customHeight="false" outlineLevel="0" collapsed="false">
      <c r="A2088" s="0" t="n">
        <v>4</v>
      </c>
      <c r="B2088" s="0" t="n">
        <v>16</v>
      </c>
      <c r="C2088" s="0" t="n">
        <v>664</v>
      </c>
      <c r="D2088" s="0" t="s">
        <v>4107</v>
      </c>
      <c r="E2088" s="0" t="s">
        <v>3970</v>
      </c>
      <c r="F2088" s="0" t="s">
        <v>4115</v>
      </c>
    </row>
    <row r="2089" customFormat="false" ht="12.8" hidden="false" customHeight="false" outlineLevel="0" collapsed="false">
      <c r="A2089" s="0" t="n">
        <v>4</v>
      </c>
      <c r="B2089" s="0" t="n">
        <v>16</v>
      </c>
      <c r="C2089" s="0" t="n">
        <v>665</v>
      </c>
      <c r="D2089" s="0" t="s">
        <v>4107</v>
      </c>
      <c r="E2089" s="0" t="s">
        <v>3970</v>
      </c>
      <c r="F2089" s="0" t="s">
        <v>4116</v>
      </c>
    </row>
    <row r="2090" customFormat="false" ht="12.8" hidden="false" customHeight="false" outlineLevel="0" collapsed="false">
      <c r="A2090" s="0" t="n">
        <v>4</v>
      </c>
      <c r="B2090" s="0" t="n">
        <v>16</v>
      </c>
      <c r="C2090" s="0" t="n">
        <v>666</v>
      </c>
      <c r="D2090" s="0" t="s">
        <v>4107</v>
      </c>
      <c r="E2090" s="0" t="s">
        <v>3970</v>
      </c>
      <c r="F2090" s="0" t="s">
        <v>4117</v>
      </c>
    </row>
    <row r="2091" customFormat="false" ht="12.8" hidden="false" customHeight="false" outlineLevel="0" collapsed="false">
      <c r="A2091" s="0" t="n">
        <v>4</v>
      </c>
      <c r="B2091" s="0" t="n">
        <v>16</v>
      </c>
      <c r="C2091" s="0" t="n">
        <v>667</v>
      </c>
      <c r="D2091" s="0" t="s">
        <v>4107</v>
      </c>
      <c r="E2091" s="0" t="s">
        <v>3970</v>
      </c>
      <c r="F2091" s="0" t="s">
        <v>4119</v>
      </c>
    </row>
    <row r="2092" customFormat="false" ht="12.8" hidden="false" customHeight="false" outlineLevel="0" collapsed="false">
      <c r="A2092" s="0" t="n">
        <v>4</v>
      </c>
      <c r="B2092" s="0" t="n">
        <v>16</v>
      </c>
      <c r="C2092" s="0" t="n">
        <v>668</v>
      </c>
      <c r="D2092" s="0" t="s">
        <v>4107</v>
      </c>
      <c r="E2092" s="0" t="s">
        <v>3970</v>
      </c>
      <c r="F2092" s="0" t="s">
        <v>4120</v>
      </c>
    </row>
    <row r="2093" customFormat="false" ht="12.8" hidden="false" customHeight="false" outlineLevel="0" collapsed="false">
      <c r="A2093" s="0" t="n">
        <v>4</v>
      </c>
      <c r="B2093" s="0" t="n">
        <v>16</v>
      </c>
      <c r="C2093" s="0" t="n">
        <v>669</v>
      </c>
      <c r="D2093" s="0" t="s">
        <v>4107</v>
      </c>
      <c r="E2093" s="0" t="s">
        <v>3970</v>
      </c>
      <c r="F2093" s="0" t="s">
        <v>4149</v>
      </c>
    </row>
    <row r="2094" customFormat="false" ht="12.8" hidden="false" customHeight="false" outlineLevel="0" collapsed="false">
      <c r="A2094" s="0" t="n">
        <v>4</v>
      </c>
      <c r="B2094" s="0" t="n">
        <v>16</v>
      </c>
      <c r="C2094" s="0" t="n">
        <v>670</v>
      </c>
      <c r="D2094" s="0" t="s">
        <v>4107</v>
      </c>
      <c r="E2094" s="0" t="s">
        <v>3970</v>
      </c>
      <c r="F2094" s="0" t="s">
        <v>4121</v>
      </c>
    </row>
    <row r="2095" customFormat="false" ht="12.8" hidden="false" customHeight="false" outlineLevel="0" collapsed="false">
      <c r="A2095" s="0" t="n">
        <v>4</v>
      </c>
      <c r="B2095" s="0" t="n">
        <v>16</v>
      </c>
      <c r="C2095" s="0" t="n">
        <v>671</v>
      </c>
      <c r="D2095" s="0" t="s">
        <v>4107</v>
      </c>
      <c r="E2095" s="0" t="s">
        <v>3970</v>
      </c>
      <c r="F2095" s="0" t="s">
        <v>4122</v>
      </c>
    </row>
    <row r="2096" customFormat="false" ht="12.8" hidden="false" customHeight="false" outlineLevel="0" collapsed="false">
      <c r="A2096" s="0" t="n">
        <v>4</v>
      </c>
      <c r="B2096" s="0" t="n">
        <v>16</v>
      </c>
      <c r="C2096" s="0" t="n">
        <v>672</v>
      </c>
      <c r="D2096" s="0" t="s">
        <v>4107</v>
      </c>
      <c r="E2096" s="0" t="s">
        <v>3970</v>
      </c>
      <c r="F2096" s="0" t="s">
        <v>4158</v>
      </c>
    </row>
    <row r="2097" customFormat="false" ht="12.8" hidden="false" customHeight="false" outlineLevel="0" collapsed="false">
      <c r="A2097" s="0" t="n">
        <v>4</v>
      </c>
      <c r="B2097" s="0" t="n">
        <v>16</v>
      </c>
      <c r="C2097" s="0" t="n">
        <v>673</v>
      </c>
      <c r="D2097" s="0" t="s">
        <v>4107</v>
      </c>
      <c r="E2097" s="0" t="s">
        <v>3970</v>
      </c>
      <c r="F2097" s="0" t="s">
        <v>4124</v>
      </c>
    </row>
    <row r="2098" customFormat="false" ht="12.8" hidden="false" customHeight="false" outlineLevel="0" collapsed="false">
      <c r="A2098" s="0" t="n">
        <v>4</v>
      </c>
      <c r="B2098" s="0" t="n">
        <v>16</v>
      </c>
      <c r="C2098" s="0" t="n">
        <v>674</v>
      </c>
      <c r="D2098" s="0" t="s">
        <v>4107</v>
      </c>
      <c r="E2098" s="0" t="s">
        <v>3970</v>
      </c>
      <c r="F2098" s="0" t="s">
        <v>4159</v>
      </c>
    </row>
    <row r="2099" customFormat="false" ht="12.8" hidden="false" customHeight="false" outlineLevel="0" collapsed="false">
      <c r="A2099" s="0" t="n">
        <v>4</v>
      </c>
      <c r="B2099" s="0" t="n">
        <v>16</v>
      </c>
      <c r="C2099" s="0" t="n">
        <v>675</v>
      </c>
      <c r="D2099" s="0" t="s">
        <v>4107</v>
      </c>
      <c r="E2099" s="0" t="s">
        <v>3970</v>
      </c>
      <c r="F2099" s="0" t="s">
        <v>4125</v>
      </c>
    </row>
    <row r="2100" customFormat="false" ht="12.8" hidden="false" customHeight="false" outlineLevel="0" collapsed="false">
      <c r="A2100" s="0" t="n">
        <v>4</v>
      </c>
      <c r="B2100" s="0" t="n">
        <v>16</v>
      </c>
      <c r="C2100" s="0" t="n">
        <v>676</v>
      </c>
      <c r="D2100" s="0" t="s">
        <v>4107</v>
      </c>
      <c r="E2100" s="0" t="s">
        <v>3970</v>
      </c>
      <c r="F2100" s="0" t="s">
        <v>4126</v>
      </c>
    </row>
    <row r="2101" customFormat="false" ht="12.8" hidden="false" customHeight="false" outlineLevel="0" collapsed="false">
      <c r="A2101" s="0" t="n">
        <v>4</v>
      </c>
      <c r="B2101" s="0" t="n">
        <v>16</v>
      </c>
      <c r="C2101" s="0" t="n">
        <v>677</v>
      </c>
      <c r="D2101" s="0" t="s">
        <v>4107</v>
      </c>
      <c r="E2101" s="0" t="s">
        <v>3970</v>
      </c>
      <c r="F2101" s="0" t="s">
        <v>4127</v>
      </c>
    </row>
    <row r="2102" customFormat="false" ht="12.8" hidden="false" customHeight="false" outlineLevel="0" collapsed="false">
      <c r="A2102" s="0" t="n">
        <v>4</v>
      </c>
      <c r="B2102" s="0" t="n">
        <v>16</v>
      </c>
      <c r="C2102" s="0" t="n">
        <v>678</v>
      </c>
      <c r="D2102" s="0" t="s">
        <v>4107</v>
      </c>
      <c r="E2102" s="0" t="s">
        <v>3970</v>
      </c>
      <c r="F2102" s="0" t="s">
        <v>4128</v>
      </c>
    </row>
    <row r="2103" customFormat="false" ht="12.8" hidden="false" customHeight="false" outlineLevel="0" collapsed="false">
      <c r="A2103" s="0" t="n">
        <v>4</v>
      </c>
      <c r="B2103" s="0" t="n">
        <v>16</v>
      </c>
      <c r="C2103" s="0" t="n">
        <v>679</v>
      </c>
      <c r="D2103" s="0" t="s">
        <v>4107</v>
      </c>
      <c r="E2103" s="0" t="s">
        <v>3970</v>
      </c>
      <c r="F2103" s="0" t="s">
        <v>4152</v>
      </c>
    </row>
    <row r="2104" customFormat="false" ht="12.8" hidden="false" customHeight="false" outlineLevel="0" collapsed="false">
      <c r="A2104" s="0" t="n">
        <v>4</v>
      </c>
      <c r="B2104" s="0" t="n">
        <v>16</v>
      </c>
      <c r="C2104" s="0" t="n">
        <v>680</v>
      </c>
      <c r="D2104" s="0" t="s">
        <v>4107</v>
      </c>
      <c r="E2104" s="0" t="s">
        <v>3970</v>
      </c>
      <c r="F2104" s="0" t="s">
        <v>4129</v>
      </c>
    </row>
    <row r="2105" customFormat="false" ht="12.8" hidden="false" customHeight="false" outlineLevel="0" collapsed="false">
      <c r="A2105" s="0" t="n">
        <v>4</v>
      </c>
      <c r="B2105" s="0" t="n">
        <v>16</v>
      </c>
      <c r="C2105" s="0" t="n">
        <v>681</v>
      </c>
      <c r="D2105" s="0" t="s">
        <v>4107</v>
      </c>
      <c r="E2105" s="0" t="s">
        <v>3970</v>
      </c>
      <c r="F2105" s="0" t="s">
        <v>4130</v>
      </c>
    </row>
    <row r="2106" customFormat="false" ht="12.8" hidden="false" customHeight="false" outlineLevel="0" collapsed="false">
      <c r="A2106" s="0" t="n">
        <v>4</v>
      </c>
      <c r="B2106" s="0" t="n">
        <v>16</v>
      </c>
      <c r="C2106" s="0" t="n">
        <v>682</v>
      </c>
      <c r="D2106" s="0" t="s">
        <v>4107</v>
      </c>
      <c r="E2106" s="0" t="s">
        <v>3970</v>
      </c>
      <c r="F2106" s="0" t="s">
        <v>4151</v>
      </c>
    </row>
    <row r="2107" customFormat="false" ht="12.8" hidden="false" customHeight="false" outlineLevel="0" collapsed="false">
      <c r="A2107" s="0" t="n">
        <v>4</v>
      </c>
      <c r="B2107" s="0" t="n">
        <v>16</v>
      </c>
      <c r="C2107" s="0" t="n">
        <v>683</v>
      </c>
      <c r="D2107" s="0" t="s">
        <v>4107</v>
      </c>
      <c r="E2107" s="0" t="s">
        <v>3970</v>
      </c>
      <c r="F2107" s="0" t="s">
        <v>4131</v>
      </c>
    </row>
    <row r="2108" customFormat="false" ht="12.8" hidden="false" customHeight="false" outlineLevel="0" collapsed="false">
      <c r="A2108" s="0" t="n">
        <v>4</v>
      </c>
      <c r="B2108" s="0" t="n">
        <v>16</v>
      </c>
      <c r="C2108" s="0" t="n">
        <v>684</v>
      </c>
      <c r="D2108" s="0" t="s">
        <v>4107</v>
      </c>
      <c r="E2108" s="0" t="s">
        <v>3970</v>
      </c>
      <c r="F2108" s="0" t="s">
        <v>4086</v>
      </c>
    </row>
    <row r="2109" customFormat="false" ht="12.8" hidden="false" customHeight="false" outlineLevel="0" collapsed="false">
      <c r="A2109" s="0" t="n">
        <v>4</v>
      </c>
      <c r="B2109" s="0" t="n">
        <v>16</v>
      </c>
      <c r="C2109" s="0" t="n">
        <v>685</v>
      </c>
      <c r="D2109" s="0" t="s">
        <v>4107</v>
      </c>
      <c r="E2109" s="0" t="s">
        <v>3970</v>
      </c>
      <c r="F2109" s="0" t="s">
        <v>4132</v>
      </c>
    </row>
    <row r="2110" customFormat="false" ht="12.8" hidden="false" customHeight="false" outlineLevel="0" collapsed="false">
      <c r="A2110" s="0" t="n">
        <v>4</v>
      </c>
      <c r="B2110" s="0" t="n">
        <v>16</v>
      </c>
      <c r="C2110" s="0" t="n">
        <v>686</v>
      </c>
      <c r="D2110" s="0" t="s">
        <v>4107</v>
      </c>
      <c r="E2110" s="0" t="s">
        <v>3970</v>
      </c>
      <c r="F2110" s="0" t="s">
        <v>4133</v>
      </c>
    </row>
    <row r="2111" customFormat="false" ht="12.8" hidden="false" customHeight="false" outlineLevel="0" collapsed="false">
      <c r="A2111" s="0" t="n">
        <v>4</v>
      </c>
      <c r="B2111" s="0" t="n">
        <v>16</v>
      </c>
      <c r="C2111" s="0" t="n">
        <v>687</v>
      </c>
      <c r="D2111" s="0" t="s">
        <v>4107</v>
      </c>
      <c r="E2111" s="0" t="s">
        <v>3970</v>
      </c>
      <c r="F2111" s="0" t="s">
        <v>4134</v>
      </c>
    </row>
    <row r="2112" customFormat="false" ht="12.8" hidden="false" customHeight="false" outlineLevel="0" collapsed="false">
      <c r="A2112" s="0" t="n">
        <v>4</v>
      </c>
      <c r="B2112" s="0" t="n">
        <v>16</v>
      </c>
      <c r="C2112" s="0" t="n">
        <v>688</v>
      </c>
      <c r="D2112" s="0" t="s">
        <v>4107</v>
      </c>
      <c r="E2112" s="0" t="s">
        <v>3970</v>
      </c>
      <c r="F2112" s="0" t="s">
        <v>4135</v>
      </c>
    </row>
    <row r="2113" customFormat="false" ht="12.8" hidden="false" customHeight="false" outlineLevel="0" collapsed="false">
      <c r="A2113" s="0" t="n">
        <v>4</v>
      </c>
      <c r="B2113" s="0" t="n">
        <v>16</v>
      </c>
      <c r="C2113" s="0" t="n">
        <v>689</v>
      </c>
      <c r="D2113" s="0" t="s">
        <v>4107</v>
      </c>
      <c r="E2113" s="0" t="s">
        <v>3970</v>
      </c>
      <c r="F2113" s="0" t="s">
        <v>4136</v>
      </c>
    </row>
    <row r="2114" customFormat="false" ht="12.8" hidden="false" customHeight="false" outlineLevel="0" collapsed="false">
      <c r="A2114" s="0" t="n">
        <v>4</v>
      </c>
      <c r="B2114" s="0" t="n">
        <v>16</v>
      </c>
      <c r="C2114" s="0" t="n">
        <v>690</v>
      </c>
      <c r="D2114" s="0" t="s">
        <v>4107</v>
      </c>
      <c r="E2114" s="0" t="s">
        <v>3970</v>
      </c>
      <c r="F2114" s="0" t="s">
        <v>4137</v>
      </c>
    </row>
    <row r="2115" customFormat="false" ht="12.8" hidden="false" customHeight="false" outlineLevel="0" collapsed="false">
      <c r="A2115" s="0" t="n">
        <v>4</v>
      </c>
      <c r="B2115" s="0" t="n">
        <v>16</v>
      </c>
      <c r="C2115" s="0" t="n">
        <v>691</v>
      </c>
      <c r="D2115" s="0" t="s">
        <v>4107</v>
      </c>
      <c r="E2115" s="0" t="s">
        <v>3970</v>
      </c>
      <c r="F2115" s="0" t="s">
        <v>4138</v>
      </c>
    </row>
    <row r="2116" customFormat="false" ht="12.8" hidden="false" customHeight="false" outlineLevel="0" collapsed="false">
      <c r="A2116" s="0" t="n">
        <v>4</v>
      </c>
      <c r="B2116" s="0" t="n">
        <v>16</v>
      </c>
      <c r="C2116" s="0" t="n">
        <v>692</v>
      </c>
      <c r="D2116" s="0" t="s">
        <v>4107</v>
      </c>
      <c r="E2116" s="0" t="s">
        <v>3970</v>
      </c>
      <c r="F2116" s="0" t="s">
        <v>4139</v>
      </c>
    </row>
    <row r="2117" customFormat="false" ht="12.8" hidden="false" customHeight="false" outlineLevel="0" collapsed="false">
      <c r="A2117" s="0" t="n">
        <v>4</v>
      </c>
      <c r="B2117" s="0" t="n">
        <v>16</v>
      </c>
      <c r="C2117" s="0" t="n">
        <v>693</v>
      </c>
      <c r="D2117" s="0" t="s">
        <v>4107</v>
      </c>
      <c r="E2117" s="0" t="s">
        <v>3970</v>
      </c>
      <c r="F2117" s="0" t="s">
        <v>4140</v>
      </c>
    </row>
    <row r="2118" customFormat="false" ht="12.8" hidden="false" customHeight="false" outlineLevel="0" collapsed="false">
      <c r="A2118" s="0" t="n">
        <v>4</v>
      </c>
      <c r="B2118" s="0" t="n">
        <v>16</v>
      </c>
      <c r="C2118" s="0" t="n">
        <v>694</v>
      </c>
      <c r="D2118" s="0" t="s">
        <v>4107</v>
      </c>
      <c r="E2118" s="0" t="s">
        <v>3970</v>
      </c>
      <c r="F2118" s="0" t="s">
        <v>4141</v>
      </c>
    </row>
    <row r="2119" customFormat="false" ht="12.8" hidden="false" customHeight="false" outlineLevel="0" collapsed="false">
      <c r="A2119" s="0" t="n">
        <v>4</v>
      </c>
      <c r="B2119" s="0" t="n">
        <v>16</v>
      </c>
      <c r="C2119" s="0" t="n">
        <v>695</v>
      </c>
      <c r="D2119" s="0" t="s">
        <v>4107</v>
      </c>
      <c r="E2119" s="0" t="s">
        <v>3970</v>
      </c>
      <c r="F2119" s="0" t="s">
        <v>4142</v>
      </c>
    </row>
    <row r="2120" customFormat="false" ht="12.8" hidden="false" customHeight="false" outlineLevel="0" collapsed="false">
      <c r="A2120" s="0" t="n">
        <v>4</v>
      </c>
      <c r="B2120" s="0" t="n">
        <v>16</v>
      </c>
      <c r="C2120" s="0" t="n">
        <v>696</v>
      </c>
      <c r="D2120" s="0" t="s">
        <v>4107</v>
      </c>
      <c r="E2120" s="0" t="s">
        <v>3970</v>
      </c>
      <c r="F2120" s="0" t="s">
        <v>4143</v>
      </c>
    </row>
    <row r="2121" customFormat="false" ht="12.8" hidden="false" customHeight="false" outlineLevel="0" collapsed="false">
      <c r="A2121" s="0" t="n">
        <v>4</v>
      </c>
      <c r="B2121" s="0" t="n">
        <v>16</v>
      </c>
      <c r="C2121" s="0" t="n">
        <v>697</v>
      </c>
      <c r="D2121" s="0" t="s">
        <v>4107</v>
      </c>
      <c r="E2121" s="0" t="s">
        <v>3970</v>
      </c>
      <c r="F2121" s="0" t="s">
        <v>4144</v>
      </c>
    </row>
    <row r="2122" customFormat="false" ht="12.8" hidden="false" customHeight="false" outlineLevel="0" collapsed="false">
      <c r="A2122" s="0" t="n">
        <v>4</v>
      </c>
      <c r="B2122" s="0" t="n">
        <v>16</v>
      </c>
      <c r="C2122" s="0" t="n">
        <v>698</v>
      </c>
      <c r="D2122" s="0" t="s">
        <v>4107</v>
      </c>
      <c r="E2122" s="0" t="s">
        <v>3970</v>
      </c>
      <c r="F2122" s="0" t="s">
        <v>4147</v>
      </c>
    </row>
    <row r="2123" customFormat="false" ht="12.8" hidden="false" customHeight="false" outlineLevel="0" collapsed="false">
      <c r="A2123" s="0" t="n">
        <v>4</v>
      </c>
      <c r="B2123" s="0" t="n">
        <v>16</v>
      </c>
      <c r="C2123" s="0" t="n">
        <v>770</v>
      </c>
      <c r="D2123" s="0" t="s">
        <v>4107</v>
      </c>
      <c r="E2123" s="0" t="s">
        <v>3970</v>
      </c>
      <c r="F2123" s="0" t="s">
        <v>4108</v>
      </c>
    </row>
    <row r="2124" customFormat="false" ht="12.8" hidden="false" customHeight="false" outlineLevel="0" collapsed="false">
      <c r="A2124" s="0" t="n">
        <v>4</v>
      </c>
      <c r="B2124" s="0" t="n">
        <v>16</v>
      </c>
      <c r="C2124" s="0" t="n">
        <v>771</v>
      </c>
      <c r="D2124" s="0" t="s">
        <v>4107</v>
      </c>
      <c r="E2124" s="0" t="s">
        <v>3970</v>
      </c>
      <c r="F2124" s="0" t="s">
        <v>4109</v>
      </c>
    </row>
    <row r="2125" customFormat="false" ht="12.8" hidden="false" customHeight="false" outlineLevel="0" collapsed="false">
      <c r="A2125" s="0" t="n">
        <v>4</v>
      </c>
      <c r="B2125" s="0" t="n">
        <v>16</v>
      </c>
      <c r="C2125" s="0" t="n">
        <v>772</v>
      </c>
      <c r="D2125" s="0" t="s">
        <v>4107</v>
      </c>
      <c r="E2125" s="0" t="s">
        <v>3970</v>
      </c>
      <c r="F2125" s="0" t="s">
        <v>4039</v>
      </c>
    </row>
    <row r="2126" customFormat="false" ht="12.8" hidden="false" customHeight="false" outlineLevel="0" collapsed="false">
      <c r="A2126" s="0" t="n">
        <v>4</v>
      </c>
      <c r="B2126" s="0" t="n">
        <v>16</v>
      </c>
      <c r="C2126" s="0" t="n">
        <v>773</v>
      </c>
      <c r="D2126" s="0" t="s">
        <v>4107</v>
      </c>
      <c r="E2126" s="0" t="s">
        <v>3970</v>
      </c>
      <c r="F2126" s="0" t="s">
        <v>4148</v>
      </c>
    </row>
    <row r="2127" customFormat="false" ht="12.8" hidden="false" customHeight="false" outlineLevel="0" collapsed="false">
      <c r="A2127" s="0" t="n">
        <v>4</v>
      </c>
      <c r="B2127" s="0" t="n">
        <v>16</v>
      </c>
      <c r="C2127" s="0" t="n">
        <v>774</v>
      </c>
      <c r="D2127" s="0" t="s">
        <v>4107</v>
      </c>
      <c r="E2127" s="0" t="s">
        <v>3970</v>
      </c>
      <c r="F2127" s="0" t="s">
        <v>4112</v>
      </c>
    </row>
    <row r="2128" customFormat="false" ht="12.8" hidden="false" customHeight="false" outlineLevel="0" collapsed="false">
      <c r="A2128" s="0" t="n">
        <v>4</v>
      </c>
      <c r="B2128" s="0" t="n">
        <v>16</v>
      </c>
      <c r="C2128" s="0" t="n">
        <v>775</v>
      </c>
      <c r="D2128" s="0" t="s">
        <v>4107</v>
      </c>
      <c r="E2128" s="0" t="s">
        <v>3970</v>
      </c>
      <c r="F2128" s="0" t="s">
        <v>4113</v>
      </c>
    </row>
    <row r="2129" customFormat="false" ht="12.8" hidden="false" customHeight="false" outlineLevel="0" collapsed="false">
      <c r="A2129" s="0" t="n">
        <v>4</v>
      </c>
      <c r="B2129" s="0" t="n">
        <v>16</v>
      </c>
      <c r="C2129" s="0" t="n">
        <v>776</v>
      </c>
      <c r="D2129" s="0" t="s">
        <v>4107</v>
      </c>
      <c r="E2129" s="0" t="s">
        <v>3970</v>
      </c>
      <c r="F2129" s="0" t="s">
        <v>4114</v>
      </c>
    </row>
    <row r="2130" customFormat="false" ht="12.8" hidden="false" customHeight="false" outlineLevel="0" collapsed="false">
      <c r="A2130" s="0" t="n">
        <v>4</v>
      </c>
      <c r="B2130" s="0" t="n">
        <v>16</v>
      </c>
      <c r="C2130" s="0" t="n">
        <v>777</v>
      </c>
      <c r="D2130" s="0" t="s">
        <v>4107</v>
      </c>
      <c r="E2130" s="0" t="s">
        <v>3970</v>
      </c>
      <c r="F2130" s="0" t="s">
        <v>4115</v>
      </c>
    </row>
    <row r="2131" customFormat="false" ht="12.8" hidden="false" customHeight="false" outlineLevel="0" collapsed="false">
      <c r="A2131" s="0" t="n">
        <v>4</v>
      </c>
      <c r="B2131" s="0" t="n">
        <v>16</v>
      </c>
      <c r="C2131" s="0" t="n">
        <v>778</v>
      </c>
      <c r="D2131" s="0" t="s">
        <v>4107</v>
      </c>
      <c r="E2131" s="0" t="s">
        <v>3970</v>
      </c>
      <c r="F2131" s="0" t="s">
        <v>4116</v>
      </c>
    </row>
    <row r="2132" customFormat="false" ht="12.8" hidden="false" customHeight="false" outlineLevel="0" collapsed="false">
      <c r="A2132" s="0" t="n">
        <v>4</v>
      </c>
      <c r="B2132" s="0" t="n">
        <v>16</v>
      </c>
      <c r="C2132" s="0" t="n">
        <v>779</v>
      </c>
      <c r="D2132" s="0" t="s">
        <v>4107</v>
      </c>
      <c r="E2132" s="0" t="s">
        <v>3970</v>
      </c>
      <c r="F2132" s="0" t="s">
        <v>4117</v>
      </c>
    </row>
    <row r="2133" customFormat="false" ht="12.8" hidden="false" customHeight="false" outlineLevel="0" collapsed="false">
      <c r="A2133" s="0" t="n">
        <v>4</v>
      </c>
      <c r="B2133" s="0" t="n">
        <v>16</v>
      </c>
      <c r="C2133" s="0" t="n">
        <v>780</v>
      </c>
      <c r="D2133" s="0" t="s">
        <v>4107</v>
      </c>
      <c r="E2133" s="0" t="s">
        <v>3970</v>
      </c>
      <c r="F2133" s="0" t="s">
        <v>4119</v>
      </c>
    </row>
    <row r="2134" customFormat="false" ht="12.8" hidden="false" customHeight="false" outlineLevel="0" collapsed="false">
      <c r="A2134" s="0" t="n">
        <v>4</v>
      </c>
      <c r="B2134" s="0" t="n">
        <v>16</v>
      </c>
      <c r="C2134" s="0" t="n">
        <v>781</v>
      </c>
      <c r="D2134" s="0" t="s">
        <v>4107</v>
      </c>
      <c r="E2134" s="0" t="s">
        <v>3970</v>
      </c>
      <c r="F2134" s="0" t="s">
        <v>4120</v>
      </c>
    </row>
    <row r="2135" customFormat="false" ht="12.8" hidden="false" customHeight="false" outlineLevel="0" collapsed="false">
      <c r="A2135" s="0" t="n">
        <v>4</v>
      </c>
      <c r="B2135" s="0" t="n">
        <v>16</v>
      </c>
      <c r="C2135" s="0" t="n">
        <v>782</v>
      </c>
      <c r="D2135" s="0" t="s">
        <v>4107</v>
      </c>
      <c r="E2135" s="0" t="s">
        <v>3970</v>
      </c>
      <c r="F2135" s="0" t="s">
        <v>4121</v>
      </c>
    </row>
    <row r="2136" customFormat="false" ht="12.8" hidden="false" customHeight="false" outlineLevel="0" collapsed="false">
      <c r="A2136" s="0" t="n">
        <v>4</v>
      </c>
      <c r="B2136" s="0" t="n">
        <v>16</v>
      </c>
      <c r="C2136" s="0" t="n">
        <v>783</v>
      </c>
      <c r="D2136" s="0" t="s">
        <v>4107</v>
      </c>
      <c r="E2136" s="0" t="s">
        <v>3970</v>
      </c>
      <c r="F2136" s="0" t="s">
        <v>4122</v>
      </c>
    </row>
    <row r="2137" customFormat="false" ht="12.8" hidden="false" customHeight="false" outlineLevel="0" collapsed="false">
      <c r="A2137" s="0" t="n">
        <v>4</v>
      </c>
      <c r="B2137" s="0" t="n">
        <v>16</v>
      </c>
      <c r="C2137" s="0" t="n">
        <v>784</v>
      </c>
      <c r="D2137" s="0" t="s">
        <v>4107</v>
      </c>
      <c r="E2137" s="0" t="s">
        <v>3970</v>
      </c>
      <c r="F2137" s="0" t="s">
        <v>4158</v>
      </c>
    </row>
    <row r="2138" customFormat="false" ht="12.8" hidden="false" customHeight="false" outlineLevel="0" collapsed="false">
      <c r="A2138" s="0" t="n">
        <v>4</v>
      </c>
      <c r="B2138" s="0" t="n">
        <v>16</v>
      </c>
      <c r="C2138" s="0" t="n">
        <v>785</v>
      </c>
      <c r="D2138" s="0" t="s">
        <v>4107</v>
      </c>
      <c r="E2138" s="0" t="s">
        <v>3970</v>
      </c>
      <c r="F2138" s="0" t="s">
        <v>4124</v>
      </c>
    </row>
    <row r="2139" customFormat="false" ht="12.8" hidden="false" customHeight="false" outlineLevel="0" collapsed="false">
      <c r="A2139" s="0" t="n">
        <v>4</v>
      </c>
      <c r="B2139" s="0" t="n">
        <v>16</v>
      </c>
      <c r="C2139" s="0" t="n">
        <v>786</v>
      </c>
      <c r="D2139" s="0" t="s">
        <v>4107</v>
      </c>
      <c r="E2139" s="0" t="s">
        <v>3970</v>
      </c>
      <c r="F2139" s="0" t="s">
        <v>4159</v>
      </c>
    </row>
    <row r="2140" customFormat="false" ht="12.8" hidden="false" customHeight="false" outlineLevel="0" collapsed="false">
      <c r="A2140" s="0" t="n">
        <v>4</v>
      </c>
      <c r="B2140" s="0" t="n">
        <v>16</v>
      </c>
      <c r="C2140" s="0" t="n">
        <v>787</v>
      </c>
      <c r="D2140" s="0" t="s">
        <v>4107</v>
      </c>
      <c r="E2140" s="0" t="s">
        <v>3970</v>
      </c>
      <c r="F2140" s="0" t="s">
        <v>4125</v>
      </c>
    </row>
    <row r="2141" customFormat="false" ht="12.8" hidden="false" customHeight="false" outlineLevel="0" collapsed="false">
      <c r="A2141" s="0" t="n">
        <v>4</v>
      </c>
      <c r="B2141" s="0" t="n">
        <v>16</v>
      </c>
      <c r="C2141" s="0" t="n">
        <v>788</v>
      </c>
      <c r="D2141" s="0" t="s">
        <v>4107</v>
      </c>
      <c r="E2141" s="0" t="s">
        <v>3970</v>
      </c>
      <c r="F2141" s="0" t="s">
        <v>4126</v>
      </c>
    </row>
    <row r="2142" customFormat="false" ht="12.8" hidden="false" customHeight="false" outlineLevel="0" collapsed="false">
      <c r="A2142" s="0" t="n">
        <v>4</v>
      </c>
      <c r="B2142" s="0" t="n">
        <v>16</v>
      </c>
      <c r="C2142" s="0" t="n">
        <v>789</v>
      </c>
      <c r="D2142" s="0" t="s">
        <v>4107</v>
      </c>
      <c r="E2142" s="0" t="s">
        <v>3970</v>
      </c>
      <c r="F2142" s="0" t="s">
        <v>4127</v>
      </c>
    </row>
    <row r="2143" customFormat="false" ht="12.8" hidden="false" customHeight="false" outlineLevel="0" collapsed="false">
      <c r="A2143" s="0" t="n">
        <v>4</v>
      </c>
      <c r="B2143" s="0" t="n">
        <v>16</v>
      </c>
      <c r="C2143" s="0" t="n">
        <v>790</v>
      </c>
      <c r="D2143" s="0" t="s">
        <v>4107</v>
      </c>
      <c r="E2143" s="0" t="s">
        <v>3970</v>
      </c>
      <c r="F2143" s="0" t="s">
        <v>4128</v>
      </c>
    </row>
    <row r="2144" customFormat="false" ht="12.8" hidden="false" customHeight="false" outlineLevel="0" collapsed="false">
      <c r="A2144" s="0" t="n">
        <v>4</v>
      </c>
      <c r="B2144" s="0" t="n">
        <v>16</v>
      </c>
      <c r="C2144" s="0" t="n">
        <v>791</v>
      </c>
      <c r="D2144" s="0" t="s">
        <v>4107</v>
      </c>
      <c r="E2144" s="0" t="s">
        <v>3970</v>
      </c>
      <c r="F2144" s="0" t="s">
        <v>4152</v>
      </c>
    </row>
    <row r="2145" customFormat="false" ht="12.8" hidden="false" customHeight="false" outlineLevel="0" collapsed="false">
      <c r="A2145" s="0" t="n">
        <v>4</v>
      </c>
      <c r="B2145" s="0" t="n">
        <v>16</v>
      </c>
      <c r="C2145" s="0" t="n">
        <v>792</v>
      </c>
      <c r="D2145" s="0" t="s">
        <v>4107</v>
      </c>
      <c r="E2145" s="0" t="s">
        <v>3970</v>
      </c>
      <c r="F2145" s="0" t="s">
        <v>4129</v>
      </c>
    </row>
    <row r="2146" customFormat="false" ht="12.8" hidden="false" customHeight="false" outlineLevel="0" collapsed="false">
      <c r="A2146" s="0" t="n">
        <v>4</v>
      </c>
      <c r="B2146" s="0" t="n">
        <v>16</v>
      </c>
      <c r="C2146" s="0" t="n">
        <v>793</v>
      </c>
      <c r="D2146" s="0" t="s">
        <v>4107</v>
      </c>
      <c r="E2146" s="0" t="s">
        <v>3970</v>
      </c>
      <c r="F2146" s="0" t="s">
        <v>4130</v>
      </c>
    </row>
    <row r="2147" customFormat="false" ht="12.8" hidden="false" customHeight="false" outlineLevel="0" collapsed="false">
      <c r="A2147" s="0" t="n">
        <v>4</v>
      </c>
      <c r="B2147" s="0" t="n">
        <v>16</v>
      </c>
      <c r="C2147" s="0" t="n">
        <v>794</v>
      </c>
      <c r="D2147" s="0" t="s">
        <v>4107</v>
      </c>
      <c r="E2147" s="0" t="s">
        <v>3970</v>
      </c>
      <c r="F2147" s="0" t="s">
        <v>4131</v>
      </c>
    </row>
    <row r="2148" customFormat="false" ht="12.8" hidden="false" customHeight="false" outlineLevel="0" collapsed="false">
      <c r="A2148" s="0" t="n">
        <v>4</v>
      </c>
      <c r="B2148" s="0" t="n">
        <v>16</v>
      </c>
      <c r="C2148" s="0" t="n">
        <v>795</v>
      </c>
      <c r="D2148" s="0" t="s">
        <v>4107</v>
      </c>
      <c r="E2148" s="0" t="s">
        <v>3970</v>
      </c>
      <c r="F2148" s="0" t="s">
        <v>4086</v>
      </c>
    </row>
    <row r="2149" customFormat="false" ht="12.8" hidden="false" customHeight="false" outlineLevel="0" collapsed="false">
      <c r="A2149" s="0" t="n">
        <v>4</v>
      </c>
      <c r="B2149" s="0" t="n">
        <v>16</v>
      </c>
      <c r="C2149" s="0" t="n">
        <v>796</v>
      </c>
      <c r="D2149" s="0" t="s">
        <v>4107</v>
      </c>
      <c r="E2149" s="0" t="s">
        <v>3970</v>
      </c>
      <c r="F2149" s="0" t="s">
        <v>4132</v>
      </c>
    </row>
    <row r="2150" customFormat="false" ht="12.8" hidden="false" customHeight="false" outlineLevel="0" collapsed="false">
      <c r="A2150" s="0" t="n">
        <v>4</v>
      </c>
      <c r="B2150" s="0" t="n">
        <v>16</v>
      </c>
      <c r="C2150" s="0" t="n">
        <v>797</v>
      </c>
      <c r="D2150" s="0" t="s">
        <v>4107</v>
      </c>
      <c r="E2150" s="0" t="s">
        <v>3970</v>
      </c>
      <c r="F2150" s="0" t="s">
        <v>4133</v>
      </c>
    </row>
    <row r="2151" customFormat="false" ht="12.8" hidden="false" customHeight="false" outlineLevel="0" collapsed="false">
      <c r="A2151" s="0" t="n">
        <v>4</v>
      </c>
      <c r="B2151" s="0" t="n">
        <v>16</v>
      </c>
      <c r="C2151" s="0" t="n">
        <v>798</v>
      </c>
      <c r="D2151" s="0" t="s">
        <v>4107</v>
      </c>
      <c r="E2151" s="0" t="s">
        <v>3970</v>
      </c>
      <c r="F2151" s="0" t="s">
        <v>4134</v>
      </c>
    </row>
    <row r="2152" customFormat="false" ht="12.8" hidden="false" customHeight="false" outlineLevel="0" collapsed="false">
      <c r="A2152" s="0" t="n">
        <v>4</v>
      </c>
      <c r="B2152" s="0" t="n">
        <v>16</v>
      </c>
      <c r="C2152" s="0" t="n">
        <v>799</v>
      </c>
      <c r="D2152" s="0" t="s">
        <v>4107</v>
      </c>
      <c r="E2152" s="0" t="s">
        <v>3970</v>
      </c>
      <c r="F2152" s="0" t="s">
        <v>4135</v>
      </c>
    </row>
    <row r="2153" customFormat="false" ht="12.8" hidden="false" customHeight="false" outlineLevel="0" collapsed="false">
      <c r="A2153" s="0" t="n">
        <v>4</v>
      </c>
      <c r="B2153" s="0" t="n">
        <v>16</v>
      </c>
      <c r="C2153" s="0" t="n">
        <v>800</v>
      </c>
      <c r="D2153" s="0" t="s">
        <v>4107</v>
      </c>
      <c r="E2153" s="0" t="s">
        <v>3970</v>
      </c>
      <c r="F2153" s="0" t="s">
        <v>4136</v>
      </c>
    </row>
    <row r="2154" customFormat="false" ht="12.8" hidden="false" customHeight="false" outlineLevel="0" collapsed="false">
      <c r="A2154" s="0" t="n">
        <v>4</v>
      </c>
      <c r="B2154" s="0" t="n">
        <v>16</v>
      </c>
      <c r="C2154" s="0" t="n">
        <v>801</v>
      </c>
      <c r="D2154" s="0" t="s">
        <v>4107</v>
      </c>
      <c r="E2154" s="0" t="s">
        <v>3970</v>
      </c>
      <c r="F2154" s="0" t="s">
        <v>4137</v>
      </c>
    </row>
    <row r="2155" customFormat="false" ht="12.8" hidden="false" customHeight="false" outlineLevel="0" collapsed="false">
      <c r="A2155" s="0" t="n">
        <v>4</v>
      </c>
      <c r="B2155" s="0" t="n">
        <v>16</v>
      </c>
      <c r="C2155" s="0" t="n">
        <v>802</v>
      </c>
      <c r="D2155" s="0" t="s">
        <v>4107</v>
      </c>
      <c r="E2155" s="0" t="s">
        <v>3970</v>
      </c>
      <c r="F2155" s="0" t="s">
        <v>4138</v>
      </c>
    </row>
    <row r="2156" customFormat="false" ht="12.8" hidden="false" customHeight="false" outlineLevel="0" collapsed="false">
      <c r="A2156" s="0" t="n">
        <v>4</v>
      </c>
      <c r="B2156" s="0" t="n">
        <v>16</v>
      </c>
      <c r="C2156" s="0" t="n">
        <v>803</v>
      </c>
      <c r="D2156" s="0" t="s">
        <v>4107</v>
      </c>
      <c r="E2156" s="0" t="s">
        <v>3970</v>
      </c>
      <c r="F2156" s="0" t="s">
        <v>4139</v>
      </c>
    </row>
    <row r="2157" customFormat="false" ht="12.8" hidden="false" customHeight="false" outlineLevel="0" collapsed="false">
      <c r="A2157" s="0" t="n">
        <v>4</v>
      </c>
      <c r="B2157" s="0" t="n">
        <v>16</v>
      </c>
      <c r="C2157" s="0" t="n">
        <v>804</v>
      </c>
      <c r="D2157" s="0" t="s">
        <v>4107</v>
      </c>
      <c r="E2157" s="0" t="s">
        <v>3970</v>
      </c>
      <c r="F2157" s="0" t="s">
        <v>4140</v>
      </c>
    </row>
    <row r="2158" customFormat="false" ht="12.8" hidden="false" customHeight="false" outlineLevel="0" collapsed="false">
      <c r="A2158" s="0" t="n">
        <v>4</v>
      </c>
      <c r="B2158" s="0" t="n">
        <v>16</v>
      </c>
      <c r="C2158" s="0" t="n">
        <v>805</v>
      </c>
      <c r="D2158" s="0" t="s">
        <v>4107</v>
      </c>
      <c r="E2158" s="0" t="s">
        <v>3970</v>
      </c>
      <c r="F2158" s="0" t="s">
        <v>4141</v>
      </c>
    </row>
    <row r="2159" customFormat="false" ht="12.8" hidden="false" customHeight="false" outlineLevel="0" collapsed="false">
      <c r="A2159" s="0" t="n">
        <v>4</v>
      </c>
      <c r="B2159" s="0" t="n">
        <v>16</v>
      </c>
      <c r="C2159" s="0" t="n">
        <v>806</v>
      </c>
      <c r="D2159" s="0" t="s">
        <v>4107</v>
      </c>
      <c r="E2159" s="0" t="s">
        <v>3970</v>
      </c>
      <c r="F2159" s="0" t="s">
        <v>4142</v>
      </c>
    </row>
    <row r="2160" customFormat="false" ht="12.8" hidden="false" customHeight="false" outlineLevel="0" collapsed="false">
      <c r="A2160" s="0" t="n">
        <v>4</v>
      </c>
      <c r="B2160" s="0" t="n">
        <v>16</v>
      </c>
      <c r="C2160" s="0" t="n">
        <v>807</v>
      </c>
      <c r="D2160" s="0" t="s">
        <v>4107</v>
      </c>
      <c r="E2160" s="0" t="s">
        <v>3970</v>
      </c>
      <c r="F2160" s="0" t="s">
        <v>4144</v>
      </c>
    </row>
    <row r="2161" customFormat="false" ht="12.8" hidden="false" customHeight="false" outlineLevel="0" collapsed="false">
      <c r="A2161" s="0" t="n">
        <v>4</v>
      </c>
      <c r="B2161" s="0" t="n">
        <v>16</v>
      </c>
      <c r="C2161" s="0" t="n">
        <v>808</v>
      </c>
      <c r="D2161" s="0" t="s">
        <v>4107</v>
      </c>
      <c r="E2161" s="0" t="s">
        <v>3970</v>
      </c>
      <c r="F2161" s="0" t="s">
        <v>4145</v>
      </c>
    </row>
    <row r="2162" customFormat="false" ht="12.8" hidden="false" customHeight="false" outlineLevel="0" collapsed="false">
      <c r="A2162" s="0" t="n">
        <v>4</v>
      </c>
      <c r="B2162" s="0" t="n">
        <v>16</v>
      </c>
      <c r="C2162" s="0" t="n">
        <v>809</v>
      </c>
      <c r="D2162" s="0" t="s">
        <v>4107</v>
      </c>
      <c r="E2162" s="0" t="s">
        <v>3970</v>
      </c>
      <c r="F2162" s="0" t="s">
        <v>4147</v>
      </c>
    </row>
    <row r="2163" customFormat="false" ht="12.8" hidden="false" customHeight="false" outlineLevel="0" collapsed="false">
      <c r="A2163" s="0" t="n">
        <v>4</v>
      </c>
      <c r="B2163" s="0" t="n">
        <v>16</v>
      </c>
      <c r="C2163" s="0" t="n">
        <v>887</v>
      </c>
      <c r="D2163" s="0" t="s">
        <v>4107</v>
      </c>
      <c r="E2163" s="0" t="s">
        <v>3970</v>
      </c>
      <c r="F2163" s="0" t="s">
        <v>4108</v>
      </c>
    </row>
    <row r="2164" customFormat="false" ht="12.8" hidden="false" customHeight="false" outlineLevel="0" collapsed="false">
      <c r="A2164" s="0" t="n">
        <v>4</v>
      </c>
      <c r="B2164" s="0" t="n">
        <v>16</v>
      </c>
      <c r="C2164" s="0" t="n">
        <v>888</v>
      </c>
      <c r="D2164" s="0" t="s">
        <v>4107</v>
      </c>
      <c r="E2164" s="0" t="s">
        <v>3970</v>
      </c>
      <c r="F2164" s="0" t="s">
        <v>4109</v>
      </c>
    </row>
    <row r="2165" customFormat="false" ht="12.8" hidden="false" customHeight="false" outlineLevel="0" collapsed="false">
      <c r="A2165" s="0" t="n">
        <v>4</v>
      </c>
      <c r="B2165" s="0" t="n">
        <v>16</v>
      </c>
      <c r="C2165" s="0" t="n">
        <v>889</v>
      </c>
      <c r="D2165" s="0" t="s">
        <v>4107</v>
      </c>
      <c r="E2165" s="0" t="s">
        <v>3970</v>
      </c>
      <c r="F2165" s="0" t="s">
        <v>4039</v>
      </c>
    </row>
    <row r="2166" customFormat="false" ht="12.8" hidden="false" customHeight="false" outlineLevel="0" collapsed="false">
      <c r="A2166" s="0" t="n">
        <v>4</v>
      </c>
      <c r="B2166" s="0" t="n">
        <v>16</v>
      </c>
      <c r="C2166" s="0" t="n">
        <v>890</v>
      </c>
      <c r="D2166" s="0" t="s">
        <v>4107</v>
      </c>
      <c r="E2166" s="0" t="s">
        <v>3970</v>
      </c>
      <c r="F2166" s="0" t="s">
        <v>4110</v>
      </c>
    </row>
    <row r="2167" customFormat="false" ht="12.8" hidden="false" customHeight="false" outlineLevel="0" collapsed="false">
      <c r="A2167" s="0" t="n">
        <v>4</v>
      </c>
      <c r="B2167" s="0" t="n">
        <v>16</v>
      </c>
      <c r="C2167" s="0" t="n">
        <v>891</v>
      </c>
      <c r="D2167" s="0" t="s">
        <v>4107</v>
      </c>
      <c r="E2167" s="0" t="s">
        <v>3970</v>
      </c>
      <c r="F2167" s="0" t="s">
        <v>4148</v>
      </c>
    </row>
    <row r="2168" customFormat="false" ht="12.8" hidden="false" customHeight="false" outlineLevel="0" collapsed="false">
      <c r="A2168" s="0" t="n">
        <v>4</v>
      </c>
      <c r="B2168" s="0" t="n">
        <v>16</v>
      </c>
      <c r="C2168" s="0" t="n">
        <v>892</v>
      </c>
      <c r="D2168" s="0" t="s">
        <v>4107</v>
      </c>
      <c r="E2168" s="0" t="s">
        <v>3970</v>
      </c>
      <c r="F2168" s="0" t="s">
        <v>4112</v>
      </c>
    </row>
    <row r="2169" customFormat="false" ht="12.8" hidden="false" customHeight="false" outlineLevel="0" collapsed="false">
      <c r="A2169" s="0" t="n">
        <v>4</v>
      </c>
      <c r="B2169" s="0" t="n">
        <v>16</v>
      </c>
      <c r="C2169" s="0" t="n">
        <v>893</v>
      </c>
      <c r="D2169" s="0" t="s">
        <v>4107</v>
      </c>
      <c r="E2169" s="0" t="s">
        <v>3970</v>
      </c>
      <c r="F2169" s="0" t="s">
        <v>4113</v>
      </c>
    </row>
    <row r="2170" customFormat="false" ht="12.8" hidden="false" customHeight="false" outlineLevel="0" collapsed="false">
      <c r="A2170" s="0" t="n">
        <v>4</v>
      </c>
      <c r="B2170" s="0" t="n">
        <v>16</v>
      </c>
      <c r="C2170" s="0" t="n">
        <v>894</v>
      </c>
      <c r="D2170" s="0" t="s">
        <v>4107</v>
      </c>
      <c r="E2170" s="0" t="s">
        <v>3970</v>
      </c>
      <c r="F2170" s="0" t="s">
        <v>4114</v>
      </c>
    </row>
    <row r="2171" customFormat="false" ht="12.8" hidden="false" customHeight="false" outlineLevel="0" collapsed="false">
      <c r="A2171" s="0" t="n">
        <v>4</v>
      </c>
      <c r="B2171" s="0" t="n">
        <v>16</v>
      </c>
      <c r="C2171" s="0" t="n">
        <v>895</v>
      </c>
      <c r="D2171" s="0" t="s">
        <v>4107</v>
      </c>
      <c r="E2171" s="0" t="s">
        <v>3970</v>
      </c>
      <c r="F2171" s="0" t="s">
        <v>4115</v>
      </c>
    </row>
    <row r="2172" customFormat="false" ht="12.8" hidden="false" customHeight="false" outlineLevel="0" collapsed="false">
      <c r="A2172" s="0" t="n">
        <v>4</v>
      </c>
      <c r="B2172" s="0" t="n">
        <v>16</v>
      </c>
      <c r="C2172" s="0" t="n">
        <v>896</v>
      </c>
      <c r="D2172" s="0" t="s">
        <v>4107</v>
      </c>
      <c r="E2172" s="0" t="s">
        <v>3970</v>
      </c>
      <c r="F2172" s="0" t="s">
        <v>4117</v>
      </c>
    </row>
    <row r="2173" customFormat="false" ht="12.8" hidden="false" customHeight="false" outlineLevel="0" collapsed="false">
      <c r="A2173" s="0" t="n">
        <v>4</v>
      </c>
      <c r="B2173" s="0" t="n">
        <v>16</v>
      </c>
      <c r="C2173" s="0" t="n">
        <v>897</v>
      </c>
      <c r="D2173" s="0" t="s">
        <v>4107</v>
      </c>
      <c r="E2173" s="0" t="s">
        <v>3970</v>
      </c>
      <c r="F2173" s="0" t="s">
        <v>4119</v>
      </c>
    </row>
    <row r="2174" customFormat="false" ht="12.8" hidden="false" customHeight="false" outlineLevel="0" collapsed="false">
      <c r="A2174" s="0" t="n">
        <v>4</v>
      </c>
      <c r="B2174" s="0" t="n">
        <v>16</v>
      </c>
      <c r="C2174" s="0" t="n">
        <v>898</v>
      </c>
      <c r="D2174" s="0" t="s">
        <v>4107</v>
      </c>
      <c r="E2174" s="0" t="s">
        <v>3970</v>
      </c>
      <c r="F2174" s="0" t="s">
        <v>4120</v>
      </c>
    </row>
    <row r="2175" customFormat="false" ht="12.8" hidden="false" customHeight="false" outlineLevel="0" collapsed="false">
      <c r="A2175" s="0" t="n">
        <v>4</v>
      </c>
      <c r="B2175" s="0" t="n">
        <v>16</v>
      </c>
      <c r="C2175" s="0" t="n">
        <v>899</v>
      </c>
      <c r="D2175" s="0" t="s">
        <v>4107</v>
      </c>
      <c r="E2175" s="0" t="s">
        <v>3970</v>
      </c>
      <c r="F2175" s="0" t="s">
        <v>4153</v>
      </c>
    </row>
    <row r="2176" customFormat="false" ht="12.8" hidden="false" customHeight="false" outlineLevel="0" collapsed="false">
      <c r="A2176" s="0" t="n">
        <v>4</v>
      </c>
      <c r="B2176" s="0" t="n">
        <v>16</v>
      </c>
      <c r="C2176" s="0" t="n">
        <v>900</v>
      </c>
      <c r="D2176" s="0" t="s">
        <v>4107</v>
      </c>
      <c r="E2176" s="0" t="s">
        <v>3970</v>
      </c>
      <c r="F2176" s="0" t="s">
        <v>4122</v>
      </c>
    </row>
    <row r="2177" customFormat="false" ht="12.8" hidden="false" customHeight="false" outlineLevel="0" collapsed="false">
      <c r="A2177" s="0" t="n">
        <v>4</v>
      </c>
      <c r="B2177" s="0" t="n">
        <v>16</v>
      </c>
      <c r="C2177" s="0" t="n">
        <v>901</v>
      </c>
      <c r="D2177" s="0" t="s">
        <v>4107</v>
      </c>
      <c r="E2177" s="0" t="s">
        <v>3970</v>
      </c>
      <c r="F2177" s="0" t="s">
        <v>4158</v>
      </c>
    </row>
    <row r="2178" customFormat="false" ht="12.8" hidden="false" customHeight="false" outlineLevel="0" collapsed="false">
      <c r="A2178" s="0" t="n">
        <v>4</v>
      </c>
      <c r="B2178" s="0" t="n">
        <v>16</v>
      </c>
      <c r="C2178" s="0" t="n">
        <v>902</v>
      </c>
      <c r="D2178" s="0" t="s">
        <v>4107</v>
      </c>
      <c r="E2178" s="0" t="s">
        <v>3970</v>
      </c>
      <c r="F2178" s="0" t="s">
        <v>4124</v>
      </c>
    </row>
    <row r="2179" customFormat="false" ht="12.8" hidden="false" customHeight="false" outlineLevel="0" collapsed="false">
      <c r="A2179" s="0" t="n">
        <v>4</v>
      </c>
      <c r="B2179" s="0" t="n">
        <v>16</v>
      </c>
      <c r="C2179" s="0" t="n">
        <v>903</v>
      </c>
      <c r="D2179" s="0" t="s">
        <v>4107</v>
      </c>
      <c r="E2179" s="0" t="s">
        <v>3970</v>
      </c>
      <c r="F2179" s="0" t="s">
        <v>4159</v>
      </c>
    </row>
    <row r="2180" customFormat="false" ht="12.8" hidden="false" customHeight="false" outlineLevel="0" collapsed="false">
      <c r="A2180" s="0" t="n">
        <v>4</v>
      </c>
      <c r="B2180" s="0" t="n">
        <v>16</v>
      </c>
      <c r="C2180" s="0" t="n">
        <v>904</v>
      </c>
      <c r="D2180" s="0" t="s">
        <v>4107</v>
      </c>
      <c r="E2180" s="0" t="s">
        <v>3970</v>
      </c>
      <c r="F2180" s="0" t="s">
        <v>4125</v>
      </c>
    </row>
    <row r="2181" customFormat="false" ht="12.8" hidden="false" customHeight="false" outlineLevel="0" collapsed="false">
      <c r="A2181" s="0" t="n">
        <v>4</v>
      </c>
      <c r="B2181" s="0" t="n">
        <v>16</v>
      </c>
      <c r="C2181" s="0" t="n">
        <v>905</v>
      </c>
      <c r="D2181" s="0" t="s">
        <v>4107</v>
      </c>
      <c r="E2181" s="0" t="s">
        <v>3970</v>
      </c>
      <c r="F2181" s="0" t="s">
        <v>4126</v>
      </c>
    </row>
    <row r="2182" customFormat="false" ht="12.8" hidden="false" customHeight="false" outlineLevel="0" collapsed="false">
      <c r="A2182" s="0" t="n">
        <v>4</v>
      </c>
      <c r="B2182" s="0" t="n">
        <v>16</v>
      </c>
      <c r="C2182" s="0" t="n">
        <v>906</v>
      </c>
      <c r="D2182" s="0" t="s">
        <v>4107</v>
      </c>
      <c r="E2182" s="0" t="s">
        <v>3970</v>
      </c>
      <c r="F2182" s="0" t="s">
        <v>4127</v>
      </c>
    </row>
    <row r="2183" customFormat="false" ht="12.8" hidden="false" customHeight="false" outlineLevel="0" collapsed="false">
      <c r="A2183" s="0" t="n">
        <v>4</v>
      </c>
      <c r="B2183" s="0" t="n">
        <v>16</v>
      </c>
      <c r="C2183" s="0" t="n">
        <v>907</v>
      </c>
      <c r="D2183" s="0" t="s">
        <v>4107</v>
      </c>
      <c r="E2183" s="0" t="s">
        <v>3970</v>
      </c>
      <c r="F2183" s="0" t="s">
        <v>4128</v>
      </c>
    </row>
    <row r="2184" customFormat="false" ht="12.8" hidden="false" customHeight="false" outlineLevel="0" collapsed="false">
      <c r="A2184" s="0" t="n">
        <v>4</v>
      </c>
      <c r="B2184" s="0" t="n">
        <v>16</v>
      </c>
      <c r="C2184" s="0" t="n">
        <v>908</v>
      </c>
      <c r="D2184" s="0" t="s">
        <v>4107</v>
      </c>
      <c r="E2184" s="0" t="s">
        <v>3970</v>
      </c>
      <c r="F2184" s="0" t="s">
        <v>4152</v>
      </c>
    </row>
    <row r="2185" customFormat="false" ht="12.8" hidden="false" customHeight="false" outlineLevel="0" collapsed="false">
      <c r="A2185" s="0" t="n">
        <v>4</v>
      </c>
      <c r="B2185" s="0" t="n">
        <v>16</v>
      </c>
      <c r="C2185" s="0" t="n">
        <v>909</v>
      </c>
      <c r="D2185" s="0" t="s">
        <v>4107</v>
      </c>
      <c r="E2185" s="0" t="s">
        <v>3970</v>
      </c>
      <c r="F2185" s="0" t="s">
        <v>4129</v>
      </c>
    </row>
    <row r="2186" customFormat="false" ht="12.8" hidden="false" customHeight="false" outlineLevel="0" collapsed="false">
      <c r="A2186" s="0" t="n">
        <v>4</v>
      </c>
      <c r="B2186" s="0" t="n">
        <v>16</v>
      </c>
      <c r="C2186" s="0" t="n">
        <v>910</v>
      </c>
      <c r="D2186" s="0" t="s">
        <v>4107</v>
      </c>
      <c r="E2186" s="0" t="s">
        <v>3970</v>
      </c>
      <c r="F2186" s="0" t="s">
        <v>4130</v>
      </c>
    </row>
    <row r="2187" customFormat="false" ht="12.8" hidden="false" customHeight="false" outlineLevel="0" collapsed="false">
      <c r="A2187" s="0" t="n">
        <v>4</v>
      </c>
      <c r="B2187" s="0" t="n">
        <v>16</v>
      </c>
      <c r="C2187" s="0" t="n">
        <v>911</v>
      </c>
      <c r="D2187" s="0" t="s">
        <v>4107</v>
      </c>
      <c r="E2187" s="0" t="s">
        <v>3970</v>
      </c>
      <c r="F2187" s="0" t="s">
        <v>4151</v>
      </c>
    </row>
    <row r="2188" customFormat="false" ht="12.8" hidden="false" customHeight="false" outlineLevel="0" collapsed="false">
      <c r="A2188" s="0" t="n">
        <v>4</v>
      </c>
      <c r="B2188" s="0" t="n">
        <v>16</v>
      </c>
      <c r="C2188" s="0" t="n">
        <v>912</v>
      </c>
      <c r="D2188" s="0" t="s">
        <v>4107</v>
      </c>
      <c r="E2188" s="0" t="s">
        <v>3970</v>
      </c>
      <c r="F2188" s="0" t="s">
        <v>4086</v>
      </c>
    </row>
    <row r="2189" customFormat="false" ht="12.8" hidden="false" customHeight="false" outlineLevel="0" collapsed="false">
      <c r="A2189" s="0" t="n">
        <v>4</v>
      </c>
      <c r="B2189" s="0" t="n">
        <v>16</v>
      </c>
      <c r="C2189" s="0" t="n">
        <v>913</v>
      </c>
      <c r="D2189" s="0" t="s">
        <v>4107</v>
      </c>
      <c r="E2189" s="0" t="s">
        <v>3970</v>
      </c>
      <c r="F2189" s="0" t="s">
        <v>4132</v>
      </c>
    </row>
    <row r="2190" customFormat="false" ht="12.8" hidden="false" customHeight="false" outlineLevel="0" collapsed="false">
      <c r="A2190" s="0" t="n">
        <v>4</v>
      </c>
      <c r="B2190" s="0" t="n">
        <v>16</v>
      </c>
      <c r="C2190" s="0" t="n">
        <v>914</v>
      </c>
      <c r="D2190" s="0" t="s">
        <v>4107</v>
      </c>
      <c r="E2190" s="0" t="s">
        <v>3970</v>
      </c>
      <c r="F2190" s="0" t="s">
        <v>4133</v>
      </c>
    </row>
    <row r="2191" customFormat="false" ht="12.8" hidden="false" customHeight="false" outlineLevel="0" collapsed="false">
      <c r="A2191" s="0" t="n">
        <v>4</v>
      </c>
      <c r="B2191" s="0" t="n">
        <v>16</v>
      </c>
      <c r="C2191" s="0" t="n">
        <v>915</v>
      </c>
      <c r="D2191" s="0" t="s">
        <v>4107</v>
      </c>
      <c r="E2191" s="0" t="s">
        <v>3970</v>
      </c>
      <c r="F2191" s="0" t="s">
        <v>4134</v>
      </c>
    </row>
    <row r="2192" customFormat="false" ht="12.8" hidden="false" customHeight="false" outlineLevel="0" collapsed="false">
      <c r="A2192" s="0" t="n">
        <v>4</v>
      </c>
      <c r="B2192" s="0" t="n">
        <v>16</v>
      </c>
      <c r="C2192" s="0" t="n">
        <v>916</v>
      </c>
      <c r="D2192" s="0" t="s">
        <v>4107</v>
      </c>
      <c r="E2192" s="0" t="s">
        <v>3970</v>
      </c>
      <c r="F2192" s="0" t="s">
        <v>4135</v>
      </c>
    </row>
    <row r="2193" customFormat="false" ht="12.8" hidden="false" customHeight="false" outlineLevel="0" collapsed="false">
      <c r="A2193" s="0" t="n">
        <v>4</v>
      </c>
      <c r="B2193" s="0" t="n">
        <v>16</v>
      </c>
      <c r="C2193" s="0" t="n">
        <v>917</v>
      </c>
      <c r="D2193" s="0" t="s">
        <v>4107</v>
      </c>
      <c r="E2193" s="0" t="s">
        <v>3970</v>
      </c>
      <c r="F2193" s="0" t="s">
        <v>4136</v>
      </c>
    </row>
    <row r="2194" customFormat="false" ht="12.8" hidden="false" customHeight="false" outlineLevel="0" collapsed="false">
      <c r="A2194" s="0" t="n">
        <v>4</v>
      </c>
      <c r="B2194" s="0" t="n">
        <v>16</v>
      </c>
      <c r="C2194" s="0" t="n">
        <v>918</v>
      </c>
      <c r="D2194" s="0" t="s">
        <v>4107</v>
      </c>
      <c r="E2194" s="0" t="s">
        <v>3970</v>
      </c>
      <c r="F2194" s="0" t="s">
        <v>4137</v>
      </c>
    </row>
    <row r="2195" customFormat="false" ht="12.8" hidden="false" customHeight="false" outlineLevel="0" collapsed="false">
      <c r="A2195" s="0" t="n">
        <v>4</v>
      </c>
      <c r="B2195" s="0" t="n">
        <v>16</v>
      </c>
      <c r="C2195" s="0" t="n">
        <v>919</v>
      </c>
      <c r="D2195" s="0" t="s">
        <v>4107</v>
      </c>
      <c r="E2195" s="0" t="s">
        <v>3970</v>
      </c>
      <c r="F2195" s="0" t="s">
        <v>4139</v>
      </c>
    </row>
    <row r="2196" customFormat="false" ht="12.8" hidden="false" customHeight="false" outlineLevel="0" collapsed="false">
      <c r="A2196" s="0" t="n">
        <v>4</v>
      </c>
      <c r="B2196" s="0" t="n">
        <v>16</v>
      </c>
      <c r="C2196" s="0" t="n">
        <v>920</v>
      </c>
      <c r="D2196" s="0" t="s">
        <v>4107</v>
      </c>
      <c r="E2196" s="0" t="s">
        <v>3970</v>
      </c>
      <c r="F2196" s="0" t="s">
        <v>4140</v>
      </c>
    </row>
    <row r="2197" customFormat="false" ht="12.8" hidden="false" customHeight="false" outlineLevel="0" collapsed="false">
      <c r="A2197" s="0" t="n">
        <v>4</v>
      </c>
      <c r="B2197" s="0" t="n">
        <v>16</v>
      </c>
      <c r="C2197" s="0" t="n">
        <v>921</v>
      </c>
      <c r="D2197" s="0" t="s">
        <v>4107</v>
      </c>
      <c r="E2197" s="0" t="s">
        <v>3970</v>
      </c>
      <c r="F2197" s="0" t="s">
        <v>4141</v>
      </c>
    </row>
    <row r="2198" customFormat="false" ht="12.8" hidden="false" customHeight="false" outlineLevel="0" collapsed="false">
      <c r="A2198" s="0" t="n">
        <v>4</v>
      </c>
      <c r="B2198" s="0" t="n">
        <v>16</v>
      </c>
      <c r="C2198" s="0" t="n">
        <v>922</v>
      </c>
      <c r="D2198" s="0" t="s">
        <v>4107</v>
      </c>
      <c r="E2198" s="0" t="s">
        <v>3970</v>
      </c>
      <c r="F2198" s="0" t="s">
        <v>4142</v>
      </c>
    </row>
    <row r="2199" customFormat="false" ht="12.8" hidden="false" customHeight="false" outlineLevel="0" collapsed="false">
      <c r="A2199" s="0" t="n">
        <v>4</v>
      </c>
      <c r="B2199" s="0" t="n">
        <v>16</v>
      </c>
      <c r="C2199" s="0" t="n">
        <v>923</v>
      </c>
      <c r="D2199" s="0" t="s">
        <v>4107</v>
      </c>
      <c r="E2199" s="0" t="s">
        <v>3970</v>
      </c>
      <c r="F2199" s="0" t="s">
        <v>4143</v>
      </c>
    </row>
    <row r="2200" customFormat="false" ht="12.8" hidden="false" customHeight="false" outlineLevel="0" collapsed="false">
      <c r="A2200" s="0" t="n">
        <v>4</v>
      </c>
      <c r="B2200" s="0" t="n">
        <v>16</v>
      </c>
      <c r="C2200" s="0" t="n">
        <v>924</v>
      </c>
      <c r="D2200" s="0" t="s">
        <v>4107</v>
      </c>
      <c r="E2200" s="0" t="s">
        <v>3970</v>
      </c>
      <c r="F2200" s="0" t="s">
        <v>4144</v>
      </c>
    </row>
    <row r="2201" customFormat="false" ht="12.8" hidden="false" customHeight="false" outlineLevel="0" collapsed="false">
      <c r="A2201" s="0" t="n">
        <v>4</v>
      </c>
      <c r="B2201" s="0" t="n">
        <v>16</v>
      </c>
      <c r="C2201" s="0" t="n">
        <v>925</v>
      </c>
      <c r="D2201" s="0" t="s">
        <v>4107</v>
      </c>
      <c r="E2201" s="0" t="s">
        <v>3970</v>
      </c>
      <c r="F2201" s="0" t="s">
        <v>4154</v>
      </c>
    </row>
    <row r="2202" customFormat="false" ht="12.8" hidden="false" customHeight="false" outlineLevel="0" collapsed="false">
      <c r="A2202" s="0" t="n">
        <v>4</v>
      </c>
      <c r="B2202" s="0" t="n">
        <v>16</v>
      </c>
      <c r="C2202" s="0" t="n">
        <v>947</v>
      </c>
      <c r="D2202" s="0" t="s">
        <v>4107</v>
      </c>
      <c r="E2202" s="0" t="s">
        <v>3970</v>
      </c>
      <c r="F2202" s="0" t="s">
        <v>4127</v>
      </c>
    </row>
    <row r="2203" customFormat="false" ht="12.8" hidden="false" customHeight="false" outlineLevel="0" collapsed="false">
      <c r="A2203" s="0" t="n">
        <v>4</v>
      </c>
      <c r="B2203" s="0" t="n">
        <v>16</v>
      </c>
      <c r="C2203" s="0" t="n">
        <v>957</v>
      </c>
      <c r="D2203" s="0" t="s">
        <v>4107</v>
      </c>
      <c r="E2203" s="0" t="s">
        <v>3970</v>
      </c>
      <c r="F2203" s="0" t="s">
        <v>4148</v>
      </c>
    </row>
    <row r="2204" customFormat="false" ht="12.8" hidden="false" customHeight="false" outlineLevel="0" collapsed="false">
      <c r="A2204" s="0" t="n">
        <v>4</v>
      </c>
      <c r="B2204" s="0" t="n">
        <v>16</v>
      </c>
      <c r="C2204" s="0" t="n">
        <v>958</v>
      </c>
      <c r="D2204" s="0" t="s">
        <v>4107</v>
      </c>
      <c r="E2204" s="0" t="s">
        <v>3970</v>
      </c>
      <c r="F2204" s="0" t="s">
        <v>4111</v>
      </c>
    </row>
    <row r="2205" customFormat="false" ht="12.8" hidden="false" customHeight="false" outlineLevel="0" collapsed="false">
      <c r="A2205" s="0" t="n">
        <v>4</v>
      </c>
      <c r="B2205" s="0" t="n">
        <v>16</v>
      </c>
      <c r="C2205" s="0" t="n">
        <v>959</v>
      </c>
      <c r="D2205" s="0" t="s">
        <v>4107</v>
      </c>
      <c r="E2205" s="0" t="s">
        <v>3970</v>
      </c>
      <c r="F2205" s="0" t="s">
        <v>4116</v>
      </c>
    </row>
    <row r="2206" customFormat="false" ht="12.8" hidden="false" customHeight="false" outlineLevel="0" collapsed="false">
      <c r="A2206" s="0" t="n">
        <v>4</v>
      </c>
      <c r="B2206" s="0" t="n">
        <v>16</v>
      </c>
      <c r="C2206" s="0" t="n">
        <v>960</v>
      </c>
      <c r="D2206" s="0" t="s">
        <v>4107</v>
      </c>
      <c r="E2206" s="0" t="s">
        <v>3970</v>
      </c>
      <c r="F2206" s="0" t="s">
        <v>4149</v>
      </c>
    </row>
    <row r="2207" customFormat="false" ht="12.8" hidden="false" customHeight="false" outlineLevel="0" collapsed="false">
      <c r="A2207" s="0" t="n">
        <v>4</v>
      </c>
      <c r="B2207" s="0" t="n">
        <v>16</v>
      </c>
      <c r="C2207" s="0" t="n">
        <v>961</v>
      </c>
      <c r="D2207" s="0" t="s">
        <v>4107</v>
      </c>
      <c r="E2207" s="0" t="s">
        <v>3970</v>
      </c>
      <c r="F2207" s="0" t="s">
        <v>4121</v>
      </c>
    </row>
    <row r="2208" customFormat="false" ht="12.8" hidden="false" customHeight="false" outlineLevel="0" collapsed="false">
      <c r="A2208" s="0" t="n">
        <v>4</v>
      </c>
      <c r="B2208" s="0" t="n">
        <v>16</v>
      </c>
      <c r="C2208" s="0" t="n">
        <v>962</v>
      </c>
      <c r="D2208" s="0" t="s">
        <v>4107</v>
      </c>
      <c r="E2208" s="0" t="s">
        <v>3970</v>
      </c>
      <c r="F2208" s="0" t="s">
        <v>4137</v>
      </c>
    </row>
    <row r="2209" customFormat="false" ht="12.8" hidden="false" customHeight="false" outlineLevel="0" collapsed="false">
      <c r="A2209" s="0" t="n">
        <v>4</v>
      </c>
      <c r="B2209" s="0" t="n">
        <v>16</v>
      </c>
      <c r="C2209" s="0" t="n">
        <v>963</v>
      </c>
      <c r="D2209" s="0" t="s">
        <v>4107</v>
      </c>
      <c r="E2209" s="0" t="s">
        <v>3970</v>
      </c>
      <c r="F2209" s="0" t="s">
        <v>4138</v>
      </c>
    </row>
    <row r="2210" customFormat="false" ht="12.8" hidden="false" customHeight="false" outlineLevel="0" collapsed="false">
      <c r="A2210" s="0" t="n">
        <v>4</v>
      </c>
      <c r="B2210" s="0" t="n">
        <v>16</v>
      </c>
      <c r="C2210" s="0" t="n">
        <v>964</v>
      </c>
      <c r="D2210" s="0" t="s">
        <v>4107</v>
      </c>
      <c r="E2210" s="0" t="s">
        <v>3970</v>
      </c>
      <c r="F2210" s="0" t="s">
        <v>4145</v>
      </c>
    </row>
    <row r="2211" customFormat="false" ht="12.8" hidden="false" customHeight="false" outlineLevel="0" collapsed="false">
      <c r="A2211" s="0" t="n">
        <v>4</v>
      </c>
      <c r="B2211" s="0" t="n">
        <v>16</v>
      </c>
      <c r="C2211" s="0" t="n">
        <v>965</v>
      </c>
      <c r="D2211" s="0" t="s">
        <v>4107</v>
      </c>
      <c r="E2211" s="0" t="s">
        <v>3970</v>
      </c>
      <c r="F2211" s="0" t="s">
        <v>4146</v>
      </c>
    </row>
    <row r="2212" customFormat="false" ht="12.8" hidden="false" customHeight="false" outlineLevel="0" collapsed="false">
      <c r="A2212" s="0" t="n">
        <v>4</v>
      </c>
      <c r="B2212" s="0" t="n">
        <v>16</v>
      </c>
      <c r="C2212" s="0" t="n">
        <v>966</v>
      </c>
      <c r="D2212" s="0" t="s">
        <v>4107</v>
      </c>
      <c r="E2212" s="0" t="s">
        <v>3970</v>
      </c>
      <c r="F2212" s="0" t="s">
        <v>4147</v>
      </c>
    </row>
    <row r="2213" customFormat="false" ht="12.8" hidden="false" customHeight="false" outlineLevel="0" collapsed="false">
      <c r="A2213" s="0" t="n">
        <v>4</v>
      </c>
      <c r="B2213" s="0" t="n">
        <v>16</v>
      </c>
      <c r="C2213" s="0" t="n">
        <v>967</v>
      </c>
      <c r="D2213" s="0" t="s">
        <v>4107</v>
      </c>
      <c r="E2213" s="0" t="s">
        <v>3970</v>
      </c>
      <c r="F2213" s="0" t="s">
        <v>4151</v>
      </c>
    </row>
    <row r="2214" customFormat="false" ht="12.8" hidden="false" customHeight="false" outlineLevel="0" collapsed="false">
      <c r="A2214" s="0" t="n">
        <v>4</v>
      </c>
      <c r="B2214" s="0" t="n">
        <v>16</v>
      </c>
      <c r="C2214" s="0" t="n">
        <v>968</v>
      </c>
      <c r="D2214" s="0" t="s">
        <v>4107</v>
      </c>
      <c r="E2214" s="0" t="s">
        <v>3970</v>
      </c>
      <c r="F2214" s="0" t="s">
        <v>4131</v>
      </c>
    </row>
    <row r="2215" customFormat="false" ht="12.8" hidden="false" customHeight="false" outlineLevel="0" collapsed="false">
      <c r="A2215" s="0" t="n">
        <v>4</v>
      </c>
      <c r="B2215" s="0" t="n">
        <v>16</v>
      </c>
      <c r="C2215" s="0" t="n">
        <v>1027</v>
      </c>
      <c r="D2215" s="0" t="s">
        <v>4107</v>
      </c>
      <c r="E2215" s="0" t="s">
        <v>3970</v>
      </c>
      <c r="F2215" s="0" t="s">
        <v>4157</v>
      </c>
    </row>
    <row r="2216" customFormat="false" ht="12.8" hidden="false" customHeight="false" outlineLevel="0" collapsed="false">
      <c r="A2216" s="0" t="n">
        <v>4</v>
      </c>
      <c r="B2216" s="0" t="n">
        <v>16</v>
      </c>
      <c r="C2216" s="0" t="n">
        <v>1028</v>
      </c>
      <c r="D2216" s="0" t="s">
        <v>4107</v>
      </c>
      <c r="E2216" s="0" t="s">
        <v>3970</v>
      </c>
      <c r="F2216" s="0" t="s">
        <v>4157</v>
      </c>
    </row>
    <row r="2217" customFormat="false" ht="12.8" hidden="false" customHeight="false" outlineLevel="0" collapsed="false">
      <c r="A2217" s="0" t="n">
        <v>4</v>
      </c>
      <c r="B2217" s="0" t="n">
        <v>16</v>
      </c>
      <c r="C2217" s="0" t="n">
        <v>1029</v>
      </c>
      <c r="D2217" s="0" t="s">
        <v>4107</v>
      </c>
      <c r="E2217" s="0" t="s">
        <v>3970</v>
      </c>
      <c r="F2217" s="0" t="s">
        <v>4157</v>
      </c>
    </row>
    <row r="2218" customFormat="false" ht="12.8" hidden="false" customHeight="false" outlineLevel="0" collapsed="false">
      <c r="A2218" s="0" t="n">
        <v>4</v>
      </c>
      <c r="B2218" s="0" t="n">
        <v>16</v>
      </c>
      <c r="C2218" s="0" t="n">
        <v>1030</v>
      </c>
      <c r="D2218" s="0" t="s">
        <v>4107</v>
      </c>
      <c r="E2218" s="0" t="s">
        <v>3970</v>
      </c>
      <c r="F2218" s="0" t="s">
        <v>4157</v>
      </c>
    </row>
    <row r="2219" customFormat="false" ht="12.8" hidden="false" customHeight="false" outlineLevel="0" collapsed="false">
      <c r="A2219" s="0" t="n">
        <v>4</v>
      </c>
      <c r="B2219" s="0" t="n">
        <v>16</v>
      </c>
      <c r="C2219" s="0" t="n">
        <v>1031</v>
      </c>
      <c r="D2219" s="0" t="s">
        <v>4107</v>
      </c>
      <c r="E2219" s="0" t="s">
        <v>3970</v>
      </c>
      <c r="F2219" s="0" t="s">
        <v>4157</v>
      </c>
    </row>
    <row r="2220" customFormat="false" ht="12.8" hidden="false" customHeight="false" outlineLevel="0" collapsed="false">
      <c r="A2220" s="0" t="n">
        <v>4</v>
      </c>
      <c r="B2220" s="0" t="n">
        <v>16</v>
      </c>
      <c r="C2220" s="0" t="n">
        <v>1032</v>
      </c>
      <c r="D2220" s="0" t="s">
        <v>4107</v>
      </c>
      <c r="E2220" s="0" t="s">
        <v>3970</v>
      </c>
      <c r="F2220" s="0" t="s">
        <v>4157</v>
      </c>
    </row>
    <row r="2221" customFormat="false" ht="12.8" hidden="false" customHeight="false" outlineLevel="0" collapsed="false">
      <c r="A2221" s="0" t="n">
        <v>4</v>
      </c>
      <c r="B2221" s="0" t="n">
        <v>16</v>
      </c>
      <c r="C2221" s="0" t="n">
        <v>1033</v>
      </c>
      <c r="D2221" s="0" t="s">
        <v>4107</v>
      </c>
      <c r="E2221" s="0" t="s">
        <v>3970</v>
      </c>
      <c r="F2221" s="0" t="s">
        <v>4157</v>
      </c>
    </row>
    <row r="2222" customFormat="false" ht="12.8" hidden="false" customHeight="false" outlineLevel="0" collapsed="false">
      <c r="A2222" s="0" t="n">
        <v>4</v>
      </c>
      <c r="B2222" s="0" t="n">
        <v>16</v>
      </c>
      <c r="C2222" s="0" t="n">
        <v>1042</v>
      </c>
      <c r="D2222" s="0" t="s">
        <v>4107</v>
      </c>
      <c r="E2222" s="0" t="s">
        <v>3970</v>
      </c>
      <c r="F2222" s="0" t="s">
        <v>4160</v>
      </c>
    </row>
    <row r="2223" customFormat="false" ht="12.8" hidden="false" customHeight="false" outlineLevel="0" collapsed="false">
      <c r="A2223" s="0" t="n">
        <v>4</v>
      </c>
      <c r="B2223" s="0" t="n">
        <v>16</v>
      </c>
      <c r="C2223" s="0" t="n">
        <v>1043</v>
      </c>
      <c r="D2223" s="0" t="s">
        <v>4107</v>
      </c>
      <c r="E2223" s="0" t="s">
        <v>3970</v>
      </c>
      <c r="F2223" s="0" t="s">
        <v>4161</v>
      </c>
    </row>
    <row r="2224" customFormat="false" ht="12.8" hidden="false" customHeight="false" outlineLevel="0" collapsed="false">
      <c r="A2224" s="0" t="n">
        <v>4</v>
      </c>
      <c r="B2224" s="0" t="n">
        <v>16</v>
      </c>
      <c r="C2224" s="0" t="n">
        <v>1044</v>
      </c>
      <c r="D2224" s="0" t="s">
        <v>4107</v>
      </c>
      <c r="E2224" s="0" t="s">
        <v>3970</v>
      </c>
      <c r="F2224" s="0" t="s">
        <v>4161</v>
      </c>
    </row>
    <row r="2225" customFormat="false" ht="12.8" hidden="false" customHeight="false" outlineLevel="0" collapsed="false">
      <c r="A2225" s="0" t="n">
        <v>4</v>
      </c>
      <c r="B2225" s="0" t="n">
        <v>16</v>
      </c>
      <c r="C2225" s="0" t="n">
        <v>1045</v>
      </c>
      <c r="D2225" s="0" t="s">
        <v>4107</v>
      </c>
      <c r="E2225" s="0" t="s">
        <v>3970</v>
      </c>
      <c r="F2225" s="0" t="s">
        <v>4161</v>
      </c>
    </row>
    <row r="2226" customFormat="false" ht="12.8" hidden="false" customHeight="false" outlineLevel="0" collapsed="false">
      <c r="A2226" s="0" t="n">
        <v>4</v>
      </c>
      <c r="B2226" s="0" t="n">
        <v>16</v>
      </c>
      <c r="C2226" s="0" t="n">
        <v>1046</v>
      </c>
      <c r="D2226" s="0" t="s">
        <v>4107</v>
      </c>
      <c r="E2226" s="0" t="s">
        <v>3970</v>
      </c>
      <c r="F2226" s="0" t="s">
        <v>4161</v>
      </c>
    </row>
    <row r="2227" customFormat="false" ht="12.8" hidden="false" customHeight="false" outlineLevel="0" collapsed="false">
      <c r="A2227" s="0" t="n">
        <v>4</v>
      </c>
      <c r="B2227" s="0" t="n">
        <v>16</v>
      </c>
      <c r="C2227" s="0" t="n">
        <v>1047</v>
      </c>
      <c r="D2227" s="0" t="s">
        <v>4107</v>
      </c>
      <c r="E2227" s="0" t="s">
        <v>3970</v>
      </c>
      <c r="F2227" s="0" t="s">
        <v>4161</v>
      </c>
    </row>
    <row r="2228" customFormat="false" ht="12.8" hidden="false" customHeight="false" outlineLevel="0" collapsed="false">
      <c r="A2228" s="0" t="n">
        <v>4</v>
      </c>
      <c r="B2228" s="0" t="n">
        <v>16</v>
      </c>
      <c r="C2228" s="0" t="n">
        <v>1048</v>
      </c>
      <c r="D2228" s="0" t="s">
        <v>4107</v>
      </c>
      <c r="E2228" s="0" t="s">
        <v>3970</v>
      </c>
      <c r="F2228" s="0" t="s">
        <v>4161</v>
      </c>
    </row>
    <row r="2229" customFormat="false" ht="12.8" hidden="false" customHeight="false" outlineLevel="0" collapsed="false">
      <c r="A2229" s="0" t="n">
        <v>4</v>
      </c>
      <c r="B2229" s="0" t="n">
        <v>16</v>
      </c>
      <c r="C2229" s="0" t="n">
        <v>1049</v>
      </c>
      <c r="D2229" s="0" t="s">
        <v>4107</v>
      </c>
      <c r="E2229" s="0" t="s">
        <v>3970</v>
      </c>
      <c r="F2229" s="0" t="s">
        <v>4161</v>
      </c>
    </row>
    <row r="2230" customFormat="false" ht="12.8" hidden="false" customHeight="false" outlineLevel="0" collapsed="false">
      <c r="A2230" s="0" t="n">
        <v>4</v>
      </c>
      <c r="B2230" s="0" t="n">
        <v>16</v>
      </c>
      <c r="C2230" s="0" t="n">
        <v>1050</v>
      </c>
      <c r="D2230" s="0" t="s">
        <v>4107</v>
      </c>
      <c r="E2230" s="0" t="s">
        <v>3970</v>
      </c>
      <c r="F2230" s="0" t="s">
        <v>4162</v>
      </c>
    </row>
    <row r="2231" customFormat="false" ht="12.8" hidden="false" customHeight="false" outlineLevel="0" collapsed="false">
      <c r="A2231" s="0" t="n">
        <v>4</v>
      </c>
      <c r="B2231" s="0" t="n">
        <v>16</v>
      </c>
      <c r="C2231" s="0" t="n">
        <v>1081</v>
      </c>
      <c r="D2231" s="0" t="s">
        <v>4107</v>
      </c>
      <c r="E2231" s="0" t="s">
        <v>3970</v>
      </c>
      <c r="F2231" s="0" t="s">
        <v>4163</v>
      </c>
    </row>
    <row r="2232" customFormat="false" ht="12.8" hidden="false" customHeight="false" outlineLevel="0" collapsed="false">
      <c r="A2232" s="0" t="n">
        <v>4</v>
      </c>
      <c r="B2232" s="0" t="n">
        <v>16</v>
      </c>
      <c r="C2232" s="0" t="n">
        <v>1082</v>
      </c>
      <c r="D2232" s="0" t="s">
        <v>4107</v>
      </c>
      <c r="E2232" s="0" t="s">
        <v>3970</v>
      </c>
      <c r="F2232" s="0" t="s">
        <v>4163</v>
      </c>
    </row>
    <row r="2233" customFormat="false" ht="12.8" hidden="false" customHeight="false" outlineLevel="0" collapsed="false">
      <c r="A2233" s="0" t="n">
        <v>4</v>
      </c>
      <c r="B2233" s="0" t="n">
        <v>16</v>
      </c>
      <c r="C2233" s="0" t="n">
        <v>1083</v>
      </c>
      <c r="D2233" s="0" t="s">
        <v>4107</v>
      </c>
      <c r="E2233" s="0" t="s">
        <v>3970</v>
      </c>
      <c r="F2233" s="0" t="s">
        <v>4163</v>
      </c>
    </row>
    <row r="2234" customFormat="false" ht="12.8" hidden="false" customHeight="false" outlineLevel="0" collapsed="false">
      <c r="A2234" s="0" t="n">
        <v>4</v>
      </c>
      <c r="B2234" s="0" t="n">
        <v>16</v>
      </c>
      <c r="C2234" s="0" t="n">
        <v>1084</v>
      </c>
      <c r="D2234" s="0" t="s">
        <v>4107</v>
      </c>
      <c r="E2234" s="0" t="s">
        <v>3970</v>
      </c>
      <c r="F2234" s="0" t="s">
        <v>4163</v>
      </c>
    </row>
    <row r="2235" customFormat="false" ht="12.8" hidden="false" customHeight="false" outlineLevel="0" collapsed="false">
      <c r="A2235" s="0" t="n">
        <v>4</v>
      </c>
      <c r="B2235" s="0" t="n">
        <v>16</v>
      </c>
      <c r="C2235" s="0" t="n">
        <v>1085</v>
      </c>
      <c r="D2235" s="0" t="s">
        <v>4107</v>
      </c>
      <c r="E2235" s="0" t="s">
        <v>3970</v>
      </c>
      <c r="F2235" s="0" t="s">
        <v>4164</v>
      </c>
    </row>
    <row r="2236" customFormat="false" ht="12.8" hidden="false" customHeight="false" outlineLevel="0" collapsed="false">
      <c r="A2236" s="0" t="n">
        <v>4</v>
      </c>
      <c r="B2236" s="0" t="n">
        <v>16</v>
      </c>
      <c r="C2236" s="0" t="n">
        <v>1109</v>
      </c>
      <c r="D2236" s="0" t="s">
        <v>4107</v>
      </c>
      <c r="E2236" s="0" t="s">
        <v>3970</v>
      </c>
      <c r="F2236" s="0" t="s">
        <v>4165</v>
      </c>
    </row>
    <row r="2237" customFormat="false" ht="12.8" hidden="false" customHeight="false" outlineLevel="0" collapsed="false">
      <c r="A2237" s="0" t="n">
        <v>4</v>
      </c>
      <c r="B2237" s="0" t="n">
        <v>16</v>
      </c>
      <c r="C2237" s="0" t="n">
        <v>1170</v>
      </c>
      <c r="D2237" s="0" t="s">
        <v>4107</v>
      </c>
      <c r="E2237" s="0" t="s">
        <v>3970</v>
      </c>
      <c r="F2237" s="0" t="s">
        <v>4127</v>
      </c>
    </row>
    <row r="2238" customFormat="false" ht="12.8" hidden="false" customHeight="false" outlineLevel="0" collapsed="false">
      <c r="A2238" s="0" t="n">
        <v>4</v>
      </c>
      <c r="B2238" s="0" t="n">
        <v>16</v>
      </c>
      <c r="C2238" s="0" t="n">
        <v>1171</v>
      </c>
      <c r="D2238" s="0" t="s">
        <v>4107</v>
      </c>
      <c r="E2238" s="0" t="s">
        <v>3970</v>
      </c>
      <c r="F2238" s="0" t="s">
        <v>4143</v>
      </c>
    </row>
    <row r="2239" customFormat="false" ht="12.8" hidden="false" customHeight="false" outlineLevel="0" collapsed="false">
      <c r="A2239" s="0" t="n">
        <v>4</v>
      </c>
      <c r="B2239" s="0" t="n">
        <v>16</v>
      </c>
      <c r="C2239" s="0" t="n">
        <v>1172</v>
      </c>
      <c r="D2239" s="0" t="s">
        <v>4107</v>
      </c>
      <c r="E2239" s="0" t="s">
        <v>3970</v>
      </c>
      <c r="F2239" s="0" t="s">
        <v>4143</v>
      </c>
    </row>
    <row r="2240" customFormat="false" ht="12.8" hidden="false" customHeight="false" outlineLevel="0" collapsed="false">
      <c r="A2240" s="0" t="n">
        <v>4</v>
      </c>
      <c r="B2240" s="0" t="n">
        <v>16</v>
      </c>
      <c r="C2240" s="0" t="n">
        <v>1202</v>
      </c>
      <c r="D2240" s="0" t="s">
        <v>4107</v>
      </c>
      <c r="E2240" s="0" t="s">
        <v>3970</v>
      </c>
      <c r="F2240" s="0" t="s">
        <v>4161</v>
      </c>
    </row>
    <row r="2241" customFormat="false" ht="12.8" hidden="false" customHeight="false" outlineLevel="0" collapsed="false">
      <c r="A2241" s="0" t="n">
        <v>4</v>
      </c>
      <c r="B2241" s="0" t="n">
        <v>16</v>
      </c>
      <c r="C2241" s="0" t="n">
        <v>1251</v>
      </c>
      <c r="D2241" s="0" t="s">
        <v>4107</v>
      </c>
      <c r="E2241" s="0" t="s">
        <v>3970</v>
      </c>
      <c r="F2241" s="0" t="s">
        <v>4108</v>
      </c>
    </row>
    <row r="2242" customFormat="false" ht="12.8" hidden="false" customHeight="false" outlineLevel="0" collapsed="false">
      <c r="A2242" s="0" t="n">
        <v>4</v>
      </c>
      <c r="B2242" s="0" t="n">
        <v>16</v>
      </c>
      <c r="C2242" s="0" t="n">
        <v>1252</v>
      </c>
      <c r="D2242" s="0" t="s">
        <v>4107</v>
      </c>
      <c r="E2242" s="0" t="s">
        <v>3970</v>
      </c>
      <c r="F2242" s="0" t="s">
        <v>4109</v>
      </c>
    </row>
    <row r="2243" customFormat="false" ht="12.8" hidden="false" customHeight="false" outlineLevel="0" collapsed="false">
      <c r="A2243" s="0" t="n">
        <v>4</v>
      </c>
      <c r="B2243" s="0" t="n">
        <v>16</v>
      </c>
      <c r="C2243" s="0" t="n">
        <v>1253</v>
      </c>
      <c r="D2243" s="0" t="s">
        <v>4107</v>
      </c>
      <c r="E2243" s="0" t="s">
        <v>3970</v>
      </c>
      <c r="F2243" s="0" t="s">
        <v>4039</v>
      </c>
    </row>
    <row r="2244" customFormat="false" ht="12.8" hidden="false" customHeight="false" outlineLevel="0" collapsed="false">
      <c r="A2244" s="0" t="n">
        <v>4</v>
      </c>
      <c r="B2244" s="0" t="n">
        <v>16</v>
      </c>
      <c r="C2244" s="0" t="n">
        <v>1254</v>
      </c>
      <c r="D2244" s="0" t="s">
        <v>4107</v>
      </c>
      <c r="E2244" s="0" t="s">
        <v>3970</v>
      </c>
      <c r="F2244" s="0" t="s">
        <v>4110</v>
      </c>
    </row>
    <row r="2245" customFormat="false" ht="12.8" hidden="false" customHeight="false" outlineLevel="0" collapsed="false">
      <c r="A2245" s="0" t="n">
        <v>4</v>
      </c>
      <c r="B2245" s="0" t="n">
        <v>16</v>
      </c>
      <c r="C2245" s="0" t="n">
        <v>1255</v>
      </c>
      <c r="D2245" s="0" t="s">
        <v>4107</v>
      </c>
      <c r="E2245" s="0" t="s">
        <v>3970</v>
      </c>
      <c r="F2245" s="0" t="s">
        <v>4112</v>
      </c>
    </row>
    <row r="2246" customFormat="false" ht="12.8" hidden="false" customHeight="false" outlineLevel="0" collapsed="false">
      <c r="A2246" s="0" t="n">
        <v>4</v>
      </c>
      <c r="B2246" s="0" t="n">
        <v>16</v>
      </c>
      <c r="C2246" s="0" t="n">
        <v>1256</v>
      </c>
      <c r="D2246" s="0" t="s">
        <v>4107</v>
      </c>
      <c r="E2246" s="0" t="s">
        <v>3970</v>
      </c>
      <c r="F2246" s="0" t="s">
        <v>4113</v>
      </c>
    </row>
    <row r="2247" customFormat="false" ht="12.8" hidden="false" customHeight="false" outlineLevel="0" collapsed="false">
      <c r="A2247" s="0" t="n">
        <v>4</v>
      </c>
      <c r="B2247" s="0" t="n">
        <v>16</v>
      </c>
      <c r="C2247" s="0" t="n">
        <v>1257</v>
      </c>
      <c r="D2247" s="0" t="s">
        <v>4107</v>
      </c>
      <c r="E2247" s="0" t="s">
        <v>3970</v>
      </c>
      <c r="F2247" s="0" t="s">
        <v>4114</v>
      </c>
    </row>
    <row r="2248" customFormat="false" ht="12.8" hidden="false" customHeight="false" outlineLevel="0" collapsed="false">
      <c r="A2248" s="0" t="n">
        <v>4</v>
      </c>
      <c r="B2248" s="0" t="n">
        <v>16</v>
      </c>
      <c r="C2248" s="0" t="n">
        <v>1258</v>
      </c>
      <c r="D2248" s="0" t="s">
        <v>4107</v>
      </c>
      <c r="E2248" s="0" t="s">
        <v>3970</v>
      </c>
      <c r="F2248" s="0" t="s">
        <v>4115</v>
      </c>
    </row>
    <row r="2249" customFormat="false" ht="12.8" hidden="false" customHeight="false" outlineLevel="0" collapsed="false">
      <c r="A2249" s="0" t="n">
        <v>4</v>
      </c>
      <c r="B2249" s="0" t="n">
        <v>16</v>
      </c>
      <c r="C2249" s="0" t="n">
        <v>1259</v>
      </c>
      <c r="D2249" s="0" t="s">
        <v>4107</v>
      </c>
      <c r="E2249" s="0" t="s">
        <v>3970</v>
      </c>
      <c r="F2249" s="0" t="s">
        <v>4117</v>
      </c>
    </row>
    <row r="2250" customFormat="false" ht="12.8" hidden="false" customHeight="false" outlineLevel="0" collapsed="false">
      <c r="A2250" s="0" t="n">
        <v>4</v>
      </c>
      <c r="B2250" s="0" t="n">
        <v>16</v>
      </c>
      <c r="C2250" s="0" t="n">
        <v>1260</v>
      </c>
      <c r="D2250" s="0" t="s">
        <v>4107</v>
      </c>
      <c r="E2250" s="0" t="s">
        <v>3970</v>
      </c>
      <c r="F2250" s="0" t="s">
        <v>4118</v>
      </c>
    </row>
    <row r="2251" customFormat="false" ht="12.8" hidden="false" customHeight="false" outlineLevel="0" collapsed="false">
      <c r="A2251" s="0" t="n">
        <v>4</v>
      </c>
      <c r="B2251" s="0" t="n">
        <v>16</v>
      </c>
      <c r="C2251" s="0" t="n">
        <v>1261</v>
      </c>
      <c r="D2251" s="0" t="s">
        <v>4107</v>
      </c>
      <c r="E2251" s="0" t="s">
        <v>3970</v>
      </c>
      <c r="F2251" s="0" t="s">
        <v>4119</v>
      </c>
    </row>
    <row r="2252" customFormat="false" ht="12.8" hidden="false" customHeight="false" outlineLevel="0" collapsed="false">
      <c r="A2252" s="0" t="n">
        <v>4</v>
      </c>
      <c r="B2252" s="0" t="n">
        <v>16</v>
      </c>
      <c r="C2252" s="0" t="n">
        <v>1262</v>
      </c>
      <c r="D2252" s="0" t="s">
        <v>4107</v>
      </c>
      <c r="E2252" s="0" t="s">
        <v>3970</v>
      </c>
      <c r="F2252" s="0" t="s">
        <v>4120</v>
      </c>
    </row>
    <row r="2253" customFormat="false" ht="12.8" hidden="false" customHeight="false" outlineLevel="0" collapsed="false">
      <c r="A2253" s="0" t="n">
        <v>4</v>
      </c>
      <c r="B2253" s="0" t="n">
        <v>16</v>
      </c>
      <c r="C2253" s="0" t="n">
        <v>1263</v>
      </c>
      <c r="D2253" s="0" t="s">
        <v>4107</v>
      </c>
      <c r="E2253" s="0" t="s">
        <v>3970</v>
      </c>
      <c r="F2253" s="0" t="s">
        <v>4122</v>
      </c>
    </row>
    <row r="2254" customFormat="false" ht="12.8" hidden="false" customHeight="false" outlineLevel="0" collapsed="false">
      <c r="A2254" s="0" t="n">
        <v>4</v>
      </c>
      <c r="B2254" s="0" t="n">
        <v>16</v>
      </c>
      <c r="C2254" s="0" t="n">
        <v>1264</v>
      </c>
      <c r="D2254" s="0" t="s">
        <v>4107</v>
      </c>
      <c r="E2254" s="0" t="s">
        <v>3970</v>
      </c>
      <c r="F2254" s="0" t="s">
        <v>4158</v>
      </c>
    </row>
    <row r="2255" customFormat="false" ht="12.8" hidden="false" customHeight="false" outlineLevel="0" collapsed="false">
      <c r="A2255" s="0" t="n">
        <v>4</v>
      </c>
      <c r="B2255" s="0" t="n">
        <v>16</v>
      </c>
      <c r="C2255" s="0" t="n">
        <v>1265</v>
      </c>
      <c r="D2255" s="0" t="s">
        <v>4107</v>
      </c>
      <c r="E2255" s="0" t="s">
        <v>3970</v>
      </c>
      <c r="F2255" s="0" t="s">
        <v>4124</v>
      </c>
    </row>
    <row r="2256" customFormat="false" ht="12.8" hidden="false" customHeight="false" outlineLevel="0" collapsed="false">
      <c r="A2256" s="0" t="n">
        <v>4</v>
      </c>
      <c r="B2256" s="0" t="n">
        <v>16</v>
      </c>
      <c r="C2256" s="0" t="n">
        <v>1270</v>
      </c>
      <c r="D2256" s="0" t="s">
        <v>4107</v>
      </c>
      <c r="E2256" s="0" t="s">
        <v>3970</v>
      </c>
      <c r="F2256" s="0" t="s">
        <v>4126</v>
      </c>
    </row>
    <row r="2257" customFormat="false" ht="12.8" hidden="false" customHeight="false" outlineLevel="0" collapsed="false">
      <c r="A2257" s="0" t="n">
        <v>4</v>
      </c>
      <c r="B2257" s="0" t="n">
        <v>16</v>
      </c>
      <c r="C2257" s="0" t="n">
        <v>1271</v>
      </c>
      <c r="D2257" s="0" t="s">
        <v>4107</v>
      </c>
      <c r="E2257" s="0" t="s">
        <v>3970</v>
      </c>
      <c r="F2257" s="0" t="s">
        <v>4128</v>
      </c>
    </row>
    <row r="2258" customFormat="false" ht="12.8" hidden="false" customHeight="false" outlineLevel="0" collapsed="false">
      <c r="A2258" s="0" t="n">
        <v>4</v>
      </c>
      <c r="B2258" s="0" t="n">
        <v>16</v>
      </c>
      <c r="C2258" s="0" t="n">
        <v>1272</v>
      </c>
      <c r="D2258" s="0" t="s">
        <v>4107</v>
      </c>
      <c r="E2258" s="0" t="s">
        <v>3970</v>
      </c>
      <c r="F2258" s="0" t="s">
        <v>4129</v>
      </c>
    </row>
    <row r="2259" customFormat="false" ht="12.8" hidden="false" customHeight="false" outlineLevel="0" collapsed="false">
      <c r="A2259" s="0" t="n">
        <v>4</v>
      </c>
      <c r="B2259" s="0" t="n">
        <v>16</v>
      </c>
      <c r="C2259" s="0" t="n">
        <v>1273</v>
      </c>
      <c r="D2259" s="0" t="s">
        <v>4107</v>
      </c>
      <c r="E2259" s="0" t="s">
        <v>3970</v>
      </c>
      <c r="F2259" s="0" t="s">
        <v>4130</v>
      </c>
    </row>
    <row r="2260" customFormat="false" ht="12.8" hidden="false" customHeight="false" outlineLevel="0" collapsed="false">
      <c r="A2260" s="0" t="n">
        <v>4</v>
      </c>
      <c r="B2260" s="0" t="n">
        <v>16</v>
      </c>
      <c r="C2260" s="0" t="n">
        <v>1274</v>
      </c>
      <c r="D2260" s="0" t="s">
        <v>4107</v>
      </c>
      <c r="E2260" s="0" t="s">
        <v>3970</v>
      </c>
      <c r="F2260" s="0" t="s">
        <v>4086</v>
      </c>
    </row>
    <row r="2261" customFormat="false" ht="12.8" hidden="false" customHeight="false" outlineLevel="0" collapsed="false">
      <c r="A2261" s="0" t="n">
        <v>4</v>
      </c>
      <c r="B2261" s="0" t="n">
        <v>16</v>
      </c>
      <c r="C2261" s="0" t="n">
        <v>1275</v>
      </c>
      <c r="D2261" s="0" t="s">
        <v>4107</v>
      </c>
      <c r="E2261" s="0" t="s">
        <v>3970</v>
      </c>
      <c r="F2261" s="0" t="s">
        <v>4132</v>
      </c>
    </row>
    <row r="2262" customFormat="false" ht="12.8" hidden="false" customHeight="false" outlineLevel="0" collapsed="false">
      <c r="A2262" s="0" t="n">
        <v>4</v>
      </c>
      <c r="B2262" s="0" t="n">
        <v>16</v>
      </c>
      <c r="C2262" s="0" t="n">
        <v>1276</v>
      </c>
      <c r="D2262" s="0" t="s">
        <v>4107</v>
      </c>
      <c r="E2262" s="0" t="s">
        <v>3970</v>
      </c>
      <c r="F2262" s="0" t="s">
        <v>4133</v>
      </c>
    </row>
    <row r="2263" customFormat="false" ht="12.8" hidden="false" customHeight="false" outlineLevel="0" collapsed="false">
      <c r="A2263" s="0" t="n">
        <v>4</v>
      </c>
      <c r="B2263" s="0" t="n">
        <v>16</v>
      </c>
      <c r="C2263" s="0" t="n">
        <v>1277</v>
      </c>
      <c r="D2263" s="0" t="s">
        <v>4107</v>
      </c>
      <c r="E2263" s="0" t="s">
        <v>3970</v>
      </c>
      <c r="F2263" s="0" t="s">
        <v>4134</v>
      </c>
    </row>
    <row r="2264" customFormat="false" ht="12.8" hidden="false" customHeight="false" outlineLevel="0" collapsed="false">
      <c r="A2264" s="0" t="n">
        <v>4</v>
      </c>
      <c r="B2264" s="0" t="n">
        <v>16</v>
      </c>
      <c r="C2264" s="0" t="n">
        <v>1278</v>
      </c>
      <c r="D2264" s="0" t="s">
        <v>4107</v>
      </c>
      <c r="E2264" s="0" t="s">
        <v>3970</v>
      </c>
      <c r="F2264" s="0" t="s">
        <v>4135</v>
      </c>
    </row>
    <row r="2265" customFormat="false" ht="12.8" hidden="false" customHeight="false" outlineLevel="0" collapsed="false">
      <c r="A2265" s="0" t="n">
        <v>4</v>
      </c>
      <c r="B2265" s="0" t="n">
        <v>16</v>
      </c>
      <c r="C2265" s="0" t="n">
        <v>1279</v>
      </c>
      <c r="D2265" s="0" t="s">
        <v>4107</v>
      </c>
      <c r="E2265" s="0" t="s">
        <v>3970</v>
      </c>
      <c r="F2265" s="0" t="s">
        <v>4136</v>
      </c>
    </row>
    <row r="2266" customFormat="false" ht="12.8" hidden="false" customHeight="false" outlineLevel="0" collapsed="false">
      <c r="A2266" s="0" t="n">
        <v>4</v>
      </c>
      <c r="B2266" s="0" t="n">
        <v>16</v>
      </c>
      <c r="C2266" s="0" t="n">
        <v>1280</v>
      </c>
      <c r="D2266" s="0" t="s">
        <v>4107</v>
      </c>
      <c r="E2266" s="0" t="s">
        <v>3970</v>
      </c>
      <c r="F2266" s="0" t="s">
        <v>4139</v>
      </c>
    </row>
    <row r="2267" customFormat="false" ht="12.8" hidden="false" customHeight="false" outlineLevel="0" collapsed="false">
      <c r="A2267" s="0" t="n">
        <v>4</v>
      </c>
      <c r="B2267" s="0" t="n">
        <v>16</v>
      </c>
      <c r="C2267" s="0" t="n">
        <v>1281</v>
      </c>
      <c r="D2267" s="0" t="s">
        <v>4107</v>
      </c>
      <c r="E2267" s="0" t="s">
        <v>3970</v>
      </c>
      <c r="F2267" s="0" t="s">
        <v>4140</v>
      </c>
    </row>
    <row r="2268" customFormat="false" ht="12.8" hidden="false" customHeight="false" outlineLevel="0" collapsed="false">
      <c r="A2268" s="0" t="n">
        <v>4</v>
      </c>
      <c r="B2268" s="0" t="n">
        <v>16</v>
      </c>
      <c r="C2268" s="0" t="n">
        <v>1282</v>
      </c>
      <c r="D2268" s="0" t="s">
        <v>4107</v>
      </c>
      <c r="E2268" s="0" t="s">
        <v>3970</v>
      </c>
      <c r="F2268" s="0" t="s">
        <v>4141</v>
      </c>
    </row>
    <row r="2269" customFormat="false" ht="12.8" hidden="false" customHeight="false" outlineLevel="0" collapsed="false">
      <c r="A2269" s="0" t="n">
        <v>4</v>
      </c>
      <c r="B2269" s="0" t="n">
        <v>16</v>
      </c>
      <c r="C2269" s="0" t="n">
        <v>1283</v>
      </c>
      <c r="D2269" s="0" t="s">
        <v>4107</v>
      </c>
      <c r="E2269" s="0" t="s">
        <v>3970</v>
      </c>
      <c r="F2269" s="0" t="s">
        <v>4142</v>
      </c>
    </row>
    <row r="2270" customFormat="false" ht="12.8" hidden="false" customHeight="false" outlineLevel="0" collapsed="false">
      <c r="A2270" s="0" t="n">
        <v>4</v>
      </c>
      <c r="B2270" s="0" t="n">
        <v>16</v>
      </c>
      <c r="C2270" s="0" t="n">
        <v>1284</v>
      </c>
      <c r="D2270" s="0" t="s">
        <v>4107</v>
      </c>
      <c r="E2270" s="0" t="s">
        <v>3970</v>
      </c>
      <c r="F2270" s="0" t="s">
        <v>4144</v>
      </c>
    </row>
    <row r="2271" customFormat="false" ht="12.8" hidden="false" customHeight="false" outlineLevel="0" collapsed="false">
      <c r="A2271" s="0" t="n">
        <v>4</v>
      </c>
      <c r="B2271" s="0" t="n">
        <v>16</v>
      </c>
      <c r="C2271" s="0" t="n">
        <v>1285</v>
      </c>
      <c r="D2271" s="0" t="s">
        <v>4107</v>
      </c>
      <c r="E2271" s="0" t="s">
        <v>3970</v>
      </c>
      <c r="F2271" s="0" t="s">
        <v>4125</v>
      </c>
    </row>
    <row r="2272" customFormat="false" ht="12.8" hidden="false" customHeight="false" outlineLevel="0" collapsed="false">
      <c r="A2272" s="0" t="n">
        <v>4</v>
      </c>
      <c r="B2272" s="0" t="n">
        <v>16</v>
      </c>
      <c r="C2272" s="0" t="n">
        <v>1305</v>
      </c>
      <c r="D2272" s="0" t="s">
        <v>4107</v>
      </c>
      <c r="E2272" s="0" t="s">
        <v>3970</v>
      </c>
      <c r="F2272" s="0" t="s">
        <v>4111</v>
      </c>
    </row>
    <row r="2273" customFormat="false" ht="12.8" hidden="false" customHeight="false" outlineLevel="0" collapsed="false">
      <c r="A2273" s="0" t="n">
        <v>4</v>
      </c>
      <c r="B2273" s="0" t="n">
        <v>16</v>
      </c>
      <c r="C2273" s="0" t="n">
        <v>1306</v>
      </c>
      <c r="D2273" s="0" t="s">
        <v>4107</v>
      </c>
      <c r="E2273" s="0" t="s">
        <v>3970</v>
      </c>
      <c r="F2273" s="0" t="s">
        <v>4116</v>
      </c>
    </row>
    <row r="2274" customFormat="false" ht="12.8" hidden="false" customHeight="false" outlineLevel="0" collapsed="false">
      <c r="A2274" s="0" t="n">
        <v>4</v>
      </c>
      <c r="B2274" s="0" t="n">
        <v>16</v>
      </c>
      <c r="C2274" s="0" t="n">
        <v>1307</v>
      </c>
      <c r="D2274" s="0" t="s">
        <v>4107</v>
      </c>
      <c r="E2274" s="0" t="s">
        <v>3970</v>
      </c>
      <c r="F2274" s="0" t="s">
        <v>4121</v>
      </c>
    </row>
    <row r="2275" customFormat="false" ht="12.8" hidden="false" customHeight="false" outlineLevel="0" collapsed="false">
      <c r="A2275" s="0" t="n">
        <v>4</v>
      </c>
      <c r="B2275" s="0" t="n">
        <v>16</v>
      </c>
      <c r="C2275" s="0" t="n">
        <v>1308</v>
      </c>
      <c r="D2275" s="0" t="s">
        <v>4107</v>
      </c>
      <c r="E2275" s="0" t="s">
        <v>3970</v>
      </c>
      <c r="F2275" s="0" t="s">
        <v>4137</v>
      </c>
    </row>
    <row r="2276" customFormat="false" ht="12.8" hidden="false" customHeight="false" outlineLevel="0" collapsed="false">
      <c r="A2276" s="0" t="n">
        <v>4</v>
      </c>
      <c r="B2276" s="0" t="n">
        <v>16</v>
      </c>
      <c r="C2276" s="0" t="n">
        <v>1309</v>
      </c>
      <c r="D2276" s="0" t="s">
        <v>4107</v>
      </c>
      <c r="E2276" s="0" t="s">
        <v>3970</v>
      </c>
      <c r="F2276" s="0" t="s">
        <v>4138</v>
      </c>
    </row>
    <row r="2277" customFormat="false" ht="12.8" hidden="false" customHeight="false" outlineLevel="0" collapsed="false">
      <c r="A2277" s="0" t="n">
        <v>4</v>
      </c>
      <c r="B2277" s="0" t="n">
        <v>16</v>
      </c>
      <c r="C2277" s="0" t="n">
        <v>1310</v>
      </c>
      <c r="D2277" s="0" t="s">
        <v>4107</v>
      </c>
      <c r="E2277" s="0" t="s">
        <v>3970</v>
      </c>
      <c r="F2277" s="0" t="s">
        <v>4145</v>
      </c>
    </row>
    <row r="2278" customFormat="false" ht="12.8" hidden="false" customHeight="false" outlineLevel="0" collapsed="false">
      <c r="A2278" s="0" t="n">
        <v>4</v>
      </c>
      <c r="B2278" s="0" t="n">
        <v>16</v>
      </c>
      <c r="C2278" s="0" t="n">
        <v>1311</v>
      </c>
      <c r="D2278" s="0" t="s">
        <v>4107</v>
      </c>
      <c r="E2278" s="0" t="s">
        <v>3970</v>
      </c>
      <c r="F2278" s="0" t="s">
        <v>4146</v>
      </c>
    </row>
    <row r="2279" customFormat="false" ht="12.8" hidden="false" customHeight="false" outlineLevel="0" collapsed="false">
      <c r="A2279" s="0" t="n">
        <v>4</v>
      </c>
      <c r="B2279" s="0" t="n">
        <v>16</v>
      </c>
      <c r="C2279" s="0" t="n">
        <v>1312</v>
      </c>
      <c r="D2279" s="0" t="s">
        <v>4107</v>
      </c>
      <c r="E2279" s="0" t="s">
        <v>3970</v>
      </c>
      <c r="F2279" s="0" t="s">
        <v>4147</v>
      </c>
    </row>
    <row r="2280" customFormat="false" ht="12.8" hidden="false" customHeight="false" outlineLevel="0" collapsed="false">
      <c r="A2280" s="0" t="n">
        <v>4</v>
      </c>
      <c r="B2280" s="0" t="n">
        <v>16</v>
      </c>
      <c r="C2280" s="0" t="n">
        <v>1313</v>
      </c>
      <c r="D2280" s="0" t="s">
        <v>4107</v>
      </c>
      <c r="E2280" s="0" t="s">
        <v>3970</v>
      </c>
      <c r="F2280" s="0" t="s">
        <v>4131</v>
      </c>
    </row>
    <row r="2281" customFormat="false" ht="12.8" hidden="false" customHeight="false" outlineLevel="0" collapsed="false">
      <c r="A2281" s="0" t="n">
        <v>4</v>
      </c>
      <c r="B2281" s="0" t="n">
        <v>16</v>
      </c>
      <c r="C2281" s="0" t="n">
        <v>1323</v>
      </c>
      <c r="D2281" s="0" t="s">
        <v>4107</v>
      </c>
      <c r="E2281" s="0" t="s">
        <v>3970</v>
      </c>
      <c r="F2281" s="0" t="s">
        <v>4157</v>
      </c>
    </row>
    <row r="2282" customFormat="false" ht="12.8" hidden="false" customHeight="false" outlineLevel="0" collapsed="false">
      <c r="A2282" s="0" t="n">
        <v>4</v>
      </c>
      <c r="B2282" s="0" t="n">
        <v>16</v>
      </c>
      <c r="C2282" s="0" t="n">
        <v>1332</v>
      </c>
      <c r="D2282" s="0" t="s">
        <v>4107</v>
      </c>
      <c r="E2282" s="0" t="s">
        <v>3970</v>
      </c>
      <c r="F2282" s="0" t="s">
        <v>4143</v>
      </c>
    </row>
    <row r="2283" customFormat="false" ht="12.8" hidden="false" customHeight="false" outlineLevel="0" collapsed="false">
      <c r="A2283" s="0" t="n">
        <v>4</v>
      </c>
      <c r="B2283" s="0" t="n">
        <v>16</v>
      </c>
      <c r="C2283" s="0" t="n">
        <v>1333</v>
      </c>
      <c r="D2283" s="0" t="s">
        <v>4107</v>
      </c>
      <c r="E2283" s="0" t="s">
        <v>3970</v>
      </c>
      <c r="F2283" s="0" t="s">
        <v>4127</v>
      </c>
    </row>
    <row r="2284" customFormat="false" ht="12.8" hidden="false" customHeight="false" outlineLevel="0" collapsed="false">
      <c r="A2284" s="0" t="n">
        <v>4</v>
      </c>
      <c r="B2284" s="0" t="n">
        <v>16</v>
      </c>
      <c r="C2284" s="0" t="n">
        <v>1342</v>
      </c>
      <c r="D2284" s="0" t="s">
        <v>4107</v>
      </c>
      <c r="E2284" s="0" t="s">
        <v>3970</v>
      </c>
      <c r="F2284" s="0" t="s">
        <v>4166</v>
      </c>
    </row>
    <row r="2285" customFormat="false" ht="12.8" hidden="false" customHeight="false" outlineLevel="0" collapsed="false">
      <c r="A2285" s="0" t="n">
        <v>4</v>
      </c>
      <c r="B2285" s="0" t="n">
        <v>16</v>
      </c>
      <c r="C2285" s="0" t="n">
        <v>1343</v>
      </c>
      <c r="D2285" s="0" t="s">
        <v>4107</v>
      </c>
      <c r="E2285" s="0" t="s">
        <v>3970</v>
      </c>
      <c r="F2285" s="0" t="s">
        <v>4166</v>
      </c>
    </row>
    <row r="2286" customFormat="false" ht="12.8" hidden="false" customHeight="false" outlineLevel="0" collapsed="false">
      <c r="A2286" s="0" t="n">
        <v>4</v>
      </c>
      <c r="B2286" s="0" t="n">
        <v>16</v>
      </c>
      <c r="C2286" s="0" t="n">
        <v>1344</v>
      </c>
      <c r="D2286" s="0" t="s">
        <v>4107</v>
      </c>
      <c r="E2286" s="0" t="s">
        <v>3970</v>
      </c>
      <c r="F2286" s="0" t="s">
        <v>4166</v>
      </c>
    </row>
    <row r="2287" customFormat="false" ht="12.8" hidden="false" customHeight="false" outlineLevel="0" collapsed="false">
      <c r="A2287" s="0" t="n">
        <v>4</v>
      </c>
      <c r="B2287" s="0" t="n">
        <v>16</v>
      </c>
      <c r="C2287" s="0" t="n">
        <v>1345</v>
      </c>
      <c r="D2287" s="0" t="s">
        <v>4107</v>
      </c>
      <c r="E2287" s="0" t="s">
        <v>3970</v>
      </c>
      <c r="F2287" s="0" t="s">
        <v>4142</v>
      </c>
    </row>
    <row r="2288" customFormat="false" ht="12.8" hidden="false" customHeight="false" outlineLevel="0" collapsed="false">
      <c r="A2288" s="0" t="n">
        <v>4</v>
      </c>
      <c r="B2288" s="0" t="n">
        <v>16</v>
      </c>
      <c r="C2288" s="0" t="n">
        <v>1346</v>
      </c>
      <c r="D2288" s="0" t="s">
        <v>4107</v>
      </c>
      <c r="E2288" s="0" t="s">
        <v>3970</v>
      </c>
      <c r="F2288" s="0" t="s">
        <v>4167</v>
      </c>
    </row>
    <row r="2289" customFormat="false" ht="12.8" hidden="false" customHeight="false" outlineLevel="0" collapsed="false">
      <c r="A2289" s="0" t="n">
        <v>4</v>
      </c>
      <c r="B2289" s="0" t="n">
        <v>16</v>
      </c>
      <c r="C2289" s="0" t="n">
        <v>1359</v>
      </c>
      <c r="D2289" s="0" t="s">
        <v>4107</v>
      </c>
      <c r="E2289" s="0" t="s">
        <v>3970</v>
      </c>
      <c r="F2289" s="0" t="s">
        <v>4168</v>
      </c>
    </row>
    <row r="2290" customFormat="false" ht="12.8" hidden="false" customHeight="false" outlineLevel="0" collapsed="false">
      <c r="A2290" s="0" t="n">
        <v>4</v>
      </c>
      <c r="B2290" s="0" t="n">
        <v>16</v>
      </c>
      <c r="C2290" s="0" t="n">
        <v>1360</v>
      </c>
      <c r="D2290" s="0" t="s">
        <v>4107</v>
      </c>
      <c r="E2290" s="0" t="s">
        <v>3970</v>
      </c>
      <c r="F2290" s="0" t="s">
        <v>4168</v>
      </c>
    </row>
    <row r="2291" customFormat="false" ht="12.8" hidden="false" customHeight="false" outlineLevel="0" collapsed="false">
      <c r="A2291" s="0" t="n">
        <v>4</v>
      </c>
      <c r="B2291" s="0" t="n">
        <v>16</v>
      </c>
      <c r="C2291" s="0" t="n">
        <v>1372</v>
      </c>
      <c r="D2291" s="0" t="s">
        <v>4107</v>
      </c>
      <c r="E2291" s="0" t="s">
        <v>3970</v>
      </c>
      <c r="F2291" s="0" t="s">
        <v>4169</v>
      </c>
    </row>
    <row r="2292" customFormat="false" ht="12.8" hidden="false" customHeight="false" outlineLevel="0" collapsed="false">
      <c r="A2292" s="0" t="n">
        <v>4</v>
      </c>
      <c r="B2292" s="0" t="n">
        <v>16</v>
      </c>
      <c r="C2292" s="0" t="n">
        <v>1374</v>
      </c>
      <c r="D2292" s="0" t="s">
        <v>4107</v>
      </c>
      <c r="E2292" s="0" t="s">
        <v>3970</v>
      </c>
      <c r="F2292" s="0" t="s">
        <v>4161</v>
      </c>
    </row>
    <row r="2293" customFormat="false" ht="12.8" hidden="false" customHeight="false" outlineLevel="0" collapsed="false">
      <c r="A2293" s="0" t="n">
        <v>4</v>
      </c>
      <c r="B2293" s="0" t="n">
        <v>16</v>
      </c>
      <c r="C2293" s="0" t="n">
        <v>1425</v>
      </c>
      <c r="D2293" s="0" t="s">
        <v>4107</v>
      </c>
      <c r="E2293" s="0" t="s">
        <v>3970</v>
      </c>
      <c r="F2293" s="0" t="s">
        <v>4108</v>
      </c>
    </row>
    <row r="2294" customFormat="false" ht="12.8" hidden="false" customHeight="false" outlineLevel="0" collapsed="false">
      <c r="A2294" s="0" t="n">
        <v>4</v>
      </c>
      <c r="B2294" s="0" t="n">
        <v>16</v>
      </c>
      <c r="C2294" s="0" t="n">
        <v>1426</v>
      </c>
      <c r="D2294" s="0" t="s">
        <v>4107</v>
      </c>
      <c r="E2294" s="0" t="s">
        <v>3970</v>
      </c>
      <c r="F2294" s="0" t="s">
        <v>4109</v>
      </c>
    </row>
    <row r="2295" customFormat="false" ht="12.8" hidden="false" customHeight="false" outlineLevel="0" collapsed="false">
      <c r="A2295" s="0" t="n">
        <v>4</v>
      </c>
      <c r="B2295" s="0" t="n">
        <v>16</v>
      </c>
      <c r="C2295" s="0" t="n">
        <v>1427</v>
      </c>
      <c r="D2295" s="0" t="s">
        <v>4107</v>
      </c>
      <c r="E2295" s="0" t="s">
        <v>3970</v>
      </c>
      <c r="F2295" s="0" t="s">
        <v>4039</v>
      </c>
    </row>
    <row r="2296" customFormat="false" ht="12.8" hidden="false" customHeight="false" outlineLevel="0" collapsed="false">
      <c r="A2296" s="0" t="n">
        <v>4</v>
      </c>
      <c r="B2296" s="0" t="n">
        <v>16</v>
      </c>
      <c r="C2296" s="0" t="n">
        <v>1428</v>
      </c>
      <c r="D2296" s="0" t="s">
        <v>4107</v>
      </c>
      <c r="E2296" s="0" t="s">
        <v>3970</v>
      </c>
      <c r="F2296" s="0" t="s">
        <v>4110</v>
      </c>
    </row>
    <row r="2297" customFormat="false" ht="12.8" hidden="false" customHeight="false" outlineLevel="0" collapsed="false">
      <c r="A2297" s="0" t="n">
        <v>4</v>
      </c>
      <c r="B2297" s="0" t="n">
        <v>16</v>
      </c>
      <c r="C2297" s="0" t="n">
        <v>1429</v>
      </c>
      <c r="D2297" s="0" t="s">
        <v>4107</v>
      </c>
      <c r="E2297" s="0" t="s">
        <v>3970</v>
      </c>
      <c r="F2297" s="0" t="s">
        <v>4112</v>
      </c>
    </row>
    <row r="2298" customFormat="false" ht="12.8" hidden="false" customHeight="false" outlineLevel="0" collapsed="false">
      <c r="A2298" s="0" t="n">
        <v>4</v>
      </c>
      <c r="B2298" s="0" t="n">
        <v>16</v>
      </c>
      <c r="C2298" s="0" t="n">
        <v>1430</v>
      </c>
      <c r="D2298" s="0" t="s">
        <v>4107</v>
      </c>
      <c r="E2298" s="0" t="s">
        <v>3970</v>
      </c>
      <c r="F2298" s="0" t="s">
        <v>4113</v>
      </c>
    </row>
    <row r="2299" customFormat="false" ht="12.8" hidden="false" customHeight="false" outlineLevel="0" collapsed="false">
      <c r="A2299" s="0" t="n">
        <v>4</v>
      </c>
      <c r="B2299" s="0" t="n">
        <v>16</v>
      </c>
      <c r="C2299" s="0" t="n">
        <v>1431</v>
      </c>
      <c r="D2299" s="0" t="s">
        <v>4107</v>
      </c>
      <c r="E2299" s="0" t="s">
        <v>3970</v>
      </c>
      <c r="F2299" s="0" t="s">
        <v>4114</v>
      </c>
    </row>
    <row r="2300" customFormat="false" ht="12.8" hidden="false" customHeight="false" outlineLevel="0" collapsed="false">
      <c r="A2300" s="0" t="n">
        <v>4</v>
      </c>
      <c r="B2300" s="0" t="n">
        <v>16</v>
      </c>
      <c r="C2300" s="0" t="n">
        <v>1432</v>
      </c>
      <c r="D2300" s="0" t="s">
        <v>4107</v>
      </c>
      <c r="E2300" s="0" t="s">
        <v>3970</v>
      </c>
      <c r="F2300" s="0" t="s">
        <v>4115</v>
      </c>
    </row>
    <row r="2301" customFormat="false" ht="12.8" hidden="false" customHeight="false" outlineLevel="0" collapsed="false">
      <c r="A2301" s="0" t="n">
        <v>4</v>
      </c>
      <c r="B2301" s="0" t="n">
        <v>16</v>
      </c>
      <c r="C2301" s="0" t="n">
        <v>1433</v>
      </c>
      <c r="D2301" s="0" t="s">
        <v>4107</v>
      </c>
      <c r="E2301" s="0" t="s">
        <v>3970</v>
      </c>
      <c r="F2301" s="0" t="s">
        <v>4117</v>
      </c>
    </row>
    <row r="2302" customFormat="false" ht="12.8" hidden="false" customHeight="false" outlineLevel="0" collapsed="false">
      <c r="A2302" s="0" t="n">
        <v>4</v>
      </c>
      <c r="B2302" s="0" t="n">
        <v>16</v>
      </c>
      <c r="C2302" s="0" t="n">
        <v>1434</v>
      </c>
      <c r="D2302" s="0" t="s">
        <v>4107</v>
      </c>
      <c r="E2302" s="0" t="s">
        <v>3970</v>
      </c>
      <c r="F2302" s="0" t="s">
        <v>4118</v>
      </c>
    </row>
    <row r="2303" customFormat="false" ht="12.8" hidden="false" customHeight="false" outlineLevel="0" collapsed="false">
      <c r="A2303" s="0" t="n">
        <v>4</v>
      </c>
      <c r="B2303" s="0" t="n">
        <v>16</v>
      </c>
      <c r="C2303" s="0" t="n">
        <v>1435</v>
      </c>
      <c r="D2303" s="0" t="s">
        <v>4107</v>
      </c>
      <c r="E2303" s="0" t="s">
        <v>3970</v>
      </c>
      <c r="F2303" s="0" t="s">
        <v>4119</v>
      </c>
    </row>
    <row r="2304" customFormat="false" ht="12.8" hidden="false" customHeight="false" outlineLevel="0" collapsed="false">
      <c r="A2304" s="0" t="n">
        <v>4</v>
      </c>
      <c r="B2304" s="0" t="n">
        <v>16</v>
      </c>
      <c r="C2304" s="0" t="n">
        <v>1436</v>
      </c>
      <c r="D2304" s="0" t="s">
        <v>4107</v>
      </c>
      <c r="E2304" s="0" t="s">
        <v>3970</v>
      </c>
      <c r="F2304" s="0" t="s">
        <v>4120</v>
      </c>
    </row>
    <row r="2305" customFormat="false" ht="12.8" hidden="false" customHeight="false" outlineLevel="0" collapsed="false">
      <c r="A2305" s="0" t="n">
        <v>4</v>
      </c>
      <c r="B2305" s="0" t="n">
        <v>16</v>
      </c>
      <c r="C2305" s="0" t="n">
        <v>1437</v>
      </c>
      <c r="D2305" s="0" t="s">
        <v>4107</v>
      </c>
      <c r="E2305" s="0" t="s">
        <v>3970</v>
      </c>
      <c r="F2305" s="0" t="s">
        <v>4150</v>
      </c>
    </row>
    <row r="2306" customFormat="false" ht="12.8" hidden="false" customHeight="false" outlineLevel="0" collapsed="false">
      <c r="A2306" s="0" t="n">
        <v>4</v>
      </c>
      <c r="B2306" s="0" t="n">
        <v>16</v>
      </c>
      <c r="C2306" s="0" t="n">
        <v>1438</v>
      </c>
      <c r="D2306" s="0" t="s">
        <v>4107</v>
      </c>
      <c r="E2306" s="0" t="s">
        <v>3970</v>
      </c>
      <c r="F2306" s="0" t="s">
        <v>4122</v>
      </c>
    </row>
    <row r="2307" customFormat="false" ht="12.8" hidden="false" customHeight="false" outlineLevel="0" collapsed="false">
      <c r="A2307" s="0" t="n">
        <v>4</v>
      </c>
      <c r="B2307" s="0" t="n">
        <v>16</v>
      </c>
      <c r="C2307" s="0" t="n">
        <v>1447</v>
      </c>
      <c r="D2307" s="0" t="s">
        <v>4107</v>
      </c>
      <c r="E2307" s="0" t="s">
        <v>3970</v>
      </c>
      <c r="F2307" s="0" t="s">
        <v>4111</v>
      </c>
    </row>
    <row r="2308" customFormat="false" ht="12.8" hidden="false" customHeight="false" outlineLevel="0" collapsed="false">
      <c r="A2308" s="0" t="n">
        <v>4</v>
      </c>
      <c r="B2308" s="0" t="n">
        <v>16</v>
      </c>
      <c r="C2308" s="0" t="n">
        <v>1448</v>
      </c>
      <c r="D2308" s="0" t="s">
        <v>4107</v>
      </c>
      <c r="E2308" s="0" t="s">
        <v>3970</v>
      </c>
      <c r="F2308" s="0" t="s">
        <v>4116</v>
      </c>
    </row>
    <row r="2309" customFormat="false" ht="12.8" hidden="false" customHeight="false" outlineLevel="0" collapsed="false">
      <c r="A2309" s="0" t="n">
        <v>4</v>
      </c>
      <c r="B2309" s="0" t="n">
        <v>16</v>
      </c>
      <c r="C2309" s="0" t="n">
        <v>1449</v>
      </c>
      <c r="D2309" s="0" t="s">
        <v>4107</v>
      </c>
      <c r="E2309" s="0" t="s">
        <v>3970</v>
      </c>
      <c r="F2309" s="0" t="s">
        <v>4149</v>
      </c>
    </row>
    <row r="2310" customFormat="false" ht="12.8" hidden="false" customHeight="false" outlineLevel="0" collapsed="false">
      <c r="A2310" s="0" t="n">
        <v>4</v>
      </c>
      <c r="B2310" s="0" t="n">
        <v>16</v>
      </c>
      <c r="C2310" s="0" t="n">
        <v>1450</v>
      </c>
      <c r="D2310" s="0" t="s">
        <v>4107</v>
      </c>
      <c r="E2310" s="0" t="s">
        <v>3970</v>
      </c>
      <c r="F2310" s="0" t="s">
        <v>4121</v>
      </c>
    </row>
    <row r="2311" customFormat="false" ht="12.8" hidden="false" customHeight="false" outlineLevel="0" collapsed="false">
      <c r="A2311" s="0" t="n">
        <v>4</v>
      </c>
      <c r="B2311" s="0" t="n">
        <v>16</v>
      </c>
      <c r="C2311" s="0" t="n">
        <v>1452</v>
      </c>
      <c r="D2311" s="0" t="s">
        <v>4107</v>
      </c>
      <c r="E2311" s="0" t="s">
        <v>3970</v>
      </c>
      <c r="F2311" s="0" t="s">
        <v>4158</v>
      </c>
    </row>
    <row r="2312" customFormat="false" ht="12.8" hidden="false" customHeight="false" outlineLevel="0" collapsed="false">
      <c r="A2312" s="0" t="n">
        <v>4</v>
      </c>
      <c r="B2312" s="0" t="n">
        <v>16</v>
      </c>
      <c r="C2312" s="0" t="n">
        <v>1453</v>
      </c>
      <c r="D2312" s="0" t="s">
        <v>4107</v>
      </c>
      <c r="E2312" s="0" t="s">
        <v>3970</v>
      </c>
      <c r="F2312" s="0" t="s">
        <v>4124</v>
      </c>
    </row>
    <row r="2313" customFormat="false" ht="12.8" hidden="false" customHeight="false" outlineLevel="0" collapsed="false">
      <c r="A2313" s="0" t="n">
        <v>4</v>
      </c>
      <c r="B2313" s="0" t="n">
        <v>16</v>
      </c>
      <c r="C2313" s="0" t="n">
        <v>1454</v>
      </c>
      <c r="D2313" s="0" t="s">
        <v>4107</v>
      </c>
      <c r="E2313" s="0" t="s">
        <v>3970</v>
      </c>
      <c r="F2313" s="0" t="s">
        <v>4126</v>
      </c>
    </row>
    <row r="2314" customFormat="false" ht="12.8" hidden="false" customHeight="false" outlineLevel="0" collapsed="false">
      <c r="A2314" s="0" t="n">
        <v>4</v>
      </c>
      <c r="B2314" s="0" t="n">
        <v>16</v>
      </c>
      <c r="C2314" s="0" t="n">
        <v>1455</v>
      </c>
      <c r="D2314" s="0" t="s">
        <v>4107</v>
      </c>
      <c r="E2314" s="0" t="s">
        <v>3970</v>
      </c>
      <c r="F2314" s="0" t="s">
        <v>4128</v>
      </c>
    </row>
    <row r="2315" customFormat="false" ht="12.8" hidden="false" customHeight="false" outlineLevel="0" collapsed="false">
      <c r="A2315" s="0" t="n">
        <v>4</v>
      </c>
      <c r="B2315" s="0" t="n">
        <v>16</v>
      </c>
      <c r="C2315" s="0" t="n">
        <v>1456</v>
      </c>
      <c r="D2315" s="0" t="s">
        <v>4107</v>
      </c>
      <c r="E2315" s="0" t="s">
        <v>3970</v>
      </c>
      <c r="F2315" s="0" t="s">
        <v>4129</v>
      </c>
    </row>
    <row r="2316" customFormat="false" ht="12.8" hidden="false" customHeight="false" outlineLevel="0" collapsed="false">
      <c r="A2316" s="0" t="n">
        <v>4</v>
      </c>
      <c r="B2316" s="0" t="n">
        <v>16</v>
      </c>
      <c r="C2316" s="0" t="n">
        <v>1457</v>
      </c>
      <c r="D2316" s="0" t="s">
        <v>4107</v>
      </c>
      <c r="E2316" s="0" t="s">
        <v>3970</v>
      </c>
      <c r="F2316" s="0" t="s">
        <v>4130</v>
      </c>
    </row>
    <row r="2317" customFormat="false" ht="12.8" hidden="false" customHeight="false" outlineLevel="0" collapsed="false">
      <c r="A2317" s="0" t="n">
        <v>4</v>
      </c>
      <c r="B2317" s="0" t="n">
        <v>16</v>
      </c>
      <c r="C2317" s="0" t="n">
        <v>1458</v>
      </c>
      <c r="D2317" s="0" t="s">
        <v>4107</v>
      </c>
      <c r="E2317" s="0" t="s">
        <v>3970</v>
      </c>
      <c r="F2317" s="0" t="s">
        <v>4086</v>
      </c>
    </row>
    <row r="2318" customFormat="false" ht="12.8" hidden="false" customHeight="false" outlineLevel="0" collapsed="false">
      <c r="A2318" s="0" t="n">
        <v>4</v>
      </c>
      <c r="B2318" s="0" t="n">
        <v>16</v>
      </c>
      <c r="C2318" s="0" t="n">
        <v>1459</v>
      </c>
      <c r="D2318" s="0" t="s">
        <v>4107</v>
      </c>
      <c r="E2318" s="0" t="s">
        <v>3970</v>
      </c>
      <c r="F2318" s="0" t="s">
        <v>4132</v>
      </c>
    </row>
    <row r="2319" customFormat="false" ht="12.8" hidden="false" customHeight="false" outlineLevel="0" collapsed="false">
      <c r="A2319" s="0" t="n">
        <v>4</v>
      </c>
      <c r="B2319" s="0" t="n">
        <v>16</v>
      </c>
      <c r="C2319" s="0" t="n">
        <v>1460</v>
      </c>
      <c r="D2319" s="0" t="s">
        <v>4107</v>
      </c>
      <c r="E2319" s="0" t="s">
        <v>3970</v>
      </c>
      <c r="F2319" s="0" t="s">
        <v>4133</v>
      </c>
    </row>
    <row r="2320" customFormat="false" ht="12.8" hidden="false" customHeight="false" outlineLevel="0" collapsed="false">
      <c r="A2320" s="0" t="n">
        <v>4</v>
      </c>
      <c r="B2320" s="0" t="n">
        <v>16</v>
      </c>
      <c r="C2320" s="0" t="n">
        <v>1461</v>
      </c>
      <c r="D2320" s="0" t="s">
        <v>4107</v>
      </c>
      <c r="E2320" s="0" t="s">
        <v>3970</v>
      </c>
      <c r="F2320" s="0" t="s">
        <v>4134</v>
      </c>
    </row>
    <row r="2321" customFormat="false" ht="12.8" hidden="false" customHeight="false" outlineLevel="0" collapsed="false">
      <c r="A2321" s="0" t="n">
        <v>4</v>
      </c>
      <c r="B2321" s="0" t="n">
        <v>16</v>
      </c>
      <c r="C2321" s="0" t="n">
        <v>1462</v>
      </c>
      <c r="D2321" s="0" t="s">
        <v>4107</v>
      </c>
      <c r="E2321" s="0" t="s">
        <v>3970</v>
      </c>
      <c r="F2321" s="0" t="s">
        <v>4135</v>
      </c>
    </row>
    <row r="2322" customFormat="false" ht="12.8" hidden="false" customHeight="false" outlineLevel="0" collapsed="false">
      <c r="A2322" s="0" t="n">
        <v>4</v>
      </c>
      <c r="B2322" s="0" t="n">
        <v>16</v>
      </c>
      <c r="C2322" s="0" t="n">
        <v>1463</v>
      </c>
      <c r="D2322" s="0" t="s">
        <v>4107</v>
      </c>
      <c r="E2322" s="0" t="s">
        <v>3970</v>
      </c>
      <c r="F2322" s="0" t="s">
        <v>4136</v>
      </c>
    </row>
    <row r="2323" customFormat="false" ht="12.8" hidden="false" customHeight="false" outlineLevel="0" collapsed="false">
      <c r="A2323" s="0" t="n">
        <v>4</v>
      </c>
      <c r="B2323" s="0" t="n">
        <v>16</v>
      </c>
      <c r="C2323" s="0" t="n">
        <v>1464</v>
      </c>
      <c r="D2323" s="0" t="s">
        <v>4107</v>
      </c>
      <c r="E2323" s="0" t="s">
        <v>3970</v>
      </c>
      <c r="F2323" s="0" t="s">
        <v>4139</v>
      </c>
    </row>
    <row r="2324" customFormat="false" ht="12.8" hidden="false" customHeight="false" outlineLevel="0" collapsed="false">
      <c r="A2324" s="0" t="n">
        <v>4</v>
      </c>
      <c r="B2324" s="0" t="n">
        <v>16</v>
      </c>
      <c r="C2324" s="0" t="n">
        <v>1465</v>
      </c>
      <c r="D2324" s="0" t="s">
        <v>4107</v>
      </c>
      <c r="E2324" s="0" t="s">
        <v>3970</v>
      </c>
      <c r="F2324" s="0" t="s">
        <v>4140</v>
      </c>
    </row>
    <row r="2325" customFormat="false" ht="12.8" hidden="false" customHeight="false" outlineLevel="0" collapsed="false">
      <c r="A2325" s="0" t="n">
        <v>4</v>
      </c>
      <c r="B2325" s="0" t="n">
        <v>16</v>
      </c>
      <c r="C2325" s="0" t="n">
        <v>1466</v>
      </c>
      <c r="D2325" s="0" t="s">
        <v>4107</v>
      </c>
      <c r="E2325" s="0" t="s">
        <v>3970</v>
      </c>
      <c r="F2325" s="0" t="s">
        <v>4141</v>
      </c>
    </row>
    <row r="2326" customFormat="false" ht="12.8" hidden="false" customHeight="false" outlineLevel="0" collapsed="false">
      <c r="A2326" s="0" t="n">
        <v>4</v>
      </c>
      <c r="B2326" s="0" t="n">
        <v>16</v>
      </c>
      <c r="C2326" s="0" t="n">
        <v>1467</v>
      </c>
      <c r="D2326" s="0" t="s">
        <v>4107</v>
      </c>
      <c r="E2326" s="0" t="s">
        <v>3970</v>
      </c>
      <c r="F2326" s="0" t="s">
        <v>4144</v>
      </c>
    </row>
    <row r="2327" customFormat="false" ht="12.8" hidden="false" customHeight="false" outlineLevel="0" collapsed="false">
      <c r="A2327" s="0" t="n">
        <v>4</v>
      </c>
      <c r="B2327" s="0" t="n">
        <v>16</v>
      </c>
      <c r="C2327" s="0" t="n">
        <v>1468</v>
      </c>
      <c r="D2327" s="0" t="s">
        <v>4107</v>
      </c>
      <c r="E2327" s="0" t="s">
        <v>3970</v>
      </c>
      <c r="F2327" s="0" t="s">
        <v>4142</v>
      </c>
    </row>
    <row r="2328" customFormat="false" ht="12.8" hidden="false" customHeight="false" outlineLevel="0" collapsed="false">
      <c r="A2328" s="0" t="n">
        <v>4</v>
      </c>
      <c r="B2328" s="0" t="n">
        <v>16</v>
      </c>
      <c r="C2328" s="0" t="n">
        <v>1470</v>
      </c>
      <c r="D2328" s="0" t="s">
        <v>4107</v>
      </c>
      <c r="E2328" s="0" t="s">
        <v>3970</v>
      </c>
      <c r="F2328" s="0" t="s">
        <v>4137</v>
      </c>
    </row>
    <row r="2329" customFormat="false" ht="12.8" hidden="false" customHeight="false" outlineLevel="0" collapsed="false">
      <c r="A2329" s="0" t="n">
        <v>4</v>
      </c>
      <c r="B2329" s="0" t="n">
        <v>16</v>
      </c>
      <c r="C2329" s="0" t="n">
        <v>1471</v>
      </c>
      <c r="D2329" s="0" t="s">
        <v>4107</v>
      </c>
      <c r="E2329" s="0" t="s">
        <v>3970</v>
      </c>
      <c r="F2329" s="0" t="s">
        <v>4138</v>
      </c>
    </row>
    <row r="2330" customFormat="false" ht="12.8" hidden="false" customHeight="false" outlineLevel="0" collapsed="false">
      <c r="A2330" s="0" t="n">
        <v>4</v>
      </c>
      <c r="B2330" s="0" t="n">
        <v>16</v>
      </c>
      <c r="C2330" s="0" t="n">
        <v>1472</v>
      </c>
      <c r="D2330" s="0" t="s">
        <v>4107</v>
      </c>
      <c r="E2330" s="0" t="s">
        <v>3970</v>
      </c>
      <c r="F2330" s="0" t="s">
        <v>4147</v>
      </c>
    </row>
    <row r="2331" customFormat="false" ht="12.8" hidden="false" customHeight="false" outlineLevel="0" collapsed="false">
      <c r="A2331" s="0" t="n">
        <v>4</v>
      </c>
      <c r="B2331" s="0" t="n">
        <v>16</v>
      </c>
      <c r="C2331" s="0" t="n">
        <v>1473</v>
      </c>
      <c r="D2331" s="0" t="s">
        <v>4107</v>
      </c>
      <c r="E2331" s="0" t="s">
        <v>3970</v>
      </c>
      <c r="F2331" s="0" t="s">
        <v>4131</v>
      </c>
    </row>
    <row r="2332" customFormat="false" ht="12.8" hidden="false" customHeight="false" outlineLevel="0" collapsed="false">
      <c r="A2332" s="0" t="n">
        <v>4</v>
      </c>
      <c r="B2332" s="0" t="n">
        <v>16</v>
      </c>
      <c r="C2332" s="0" t="n">
        <v>1475</v>
      </c>
      <c r="D2332" s="0" t="s">
        <v>4107</v>
      </c>
      <c r="E2332" s="0" t="s">
        <v>3970</v>
      </c>
      <c r="F2332" s="0" t="s">
        <v>4168</v>
      </c>
    </row>
    <row r="2333" customFormat="false" ht="12.8" hidden="false" customHeight="false" outlineLevel="0" collapsed="false">
      <c r="A2333" s="0" t="n">
        <v>4</v>
      </c>
      <c r="B2333" s="0" t="n">
        <v>16</v>
      </c>
      <c r="C2333" s="0" t="n">
        <v>1479</v>
      </c>
      <c r="D2333" s="0" t="s">
        <v>4107</v>
      </c>
      <c r="E2333" s="0" t="s">
        <v>3970</v>
      </c>
      <c r="F2333" s="0" t="s">
        <v>4163</v>
      </c>
    </row>
    <row r="2334" customFormat="false" ht="12.8" hidden="false" customHeight="false" outlineLevel="0" collapsed="false">
      <c r="A2334" s="0" t="n">
        <v>4</v>
      </c>
      <c r="B2334" s="0" t="n">
        <v>16</v>
      </c>
      <c r="C2334" s="0" t="n">
        <v>1487</v>
      </c>
      <c r="D2334" s="0" t="s">
        <v>4107</v>
      </c>
      <c r="E2334" s="0" t="s">
        <v>3970</v>
      </c>
      <c r="F2334" s="0" t="s">
        <v>4148</v>
      </c>
    </row>
    <row r="2335" customFormat="false" ht="12.8" hidden="false" customHeight="false" outlineLevel="0" collapsed="false">
      <c r="A2335" s="0" t="n">
        <v>4</v>
      </c>
      <c r="B2335" s="0" t="n">
        <v>16</v>
      </c>
      <c r="C2335" s="0" t="n">
        <v>1495</v>
      </c>
      <c r="D2335" s="0" t="s">
        <v>4107</v>
      </c>
      <c r="E2335" s="0" t="s">
        <v>3970</v>
      </c>
      <c r="F2335" s="0" t="s">
        <v>4157</v>
      </c>
    </row>
    <row r="2336" customFormat="false" ht="12.8" hidden="false" customHeight="false" outlineLevel="0" collapsed="false">
      <c r="A2336" s="0" t="n">
        <v>4</v>
      </c>
      <c r="B2336" s="0" t="n">
        <v>16</v>
      </c>
      <c r="C2336" s="0" t="n">
        <v>1504</v>
      </c>
      <c r="D2336" s="0" t="s">
        <v>4107</v>
      </c>
      <c r="E2336" s="0" t="s">
        <v>3970</v>
      </c>
      <c r="F2336" s="0" t="s">
        <v>4143</v>
      </c>
    </row>
    <row r="2337" customFormat="false" ht="12.8" hidden="false" customHeight="false" outlineLevel="0" collapsed="false">
      <c r="A2337" s="0" t="n">
        <v>4</v>
      </c>
      <c r="B2337" s="0" t="n">
        <v>16</v>
      </c>
      <c r="C2337" s="0" t="n">
        <v>1505</v>
      </c>
      <c r="D2337" s="0" t="s">
        <v>4107</v>
      </c>
      <c r="E2337" s="0" t="s">
        <v>3970</v>
      </c>
      <c r="F2337" s="0" t="s">
        <v>4127</v>
      </c>
    </row>
    <row r="2338" customFormat="false" ht="12.8" hidden="false" customHeight="false" outlineLevel="0" collapsed="false">
      <c r="A2338" s="0" t="n">
        <v>4</v>
      </c>
      <c r="B2338" s="0" t="n">
        <v>16</v>
      </c>
      <c r="C2338" s="0" t="n">
        <v>1513</v>
      </c>
      <c r="D2338" s="0" t="s">
        <v>4107</v>
      </c>
      <c r="E2338" s="0" t="s">
        <v>3970</v>
      </c>
      <c r="F2338" s="0" t="s">
        <v>4166</v>
      </c>
    </row>
    <row r="2339" customFormat="false" ht="12.8" hidden="false" customHeight="false" outlineLevel="0" collapsed="false">
      <c r="A2339" s="0" t="n">
        <v>4</v>
      </c>
      <c r="B2339" s="0" t="n">
        <v>16</v>
      </c>
      <c r="C2339" s="0" t="n">
        <v>1550</v>
      </c>
      <c r="D2339" s="0" t="s">
        <v>4107</v>
      </c>
      <c r="E2339" s="0" t="s">
        <v>3970</v>
      </c>
      <c r="F2339" s="0" t="s">
        <v>4161</v>
      </c>
    </row>
    <row r="2340" customFormat="false" ht="12.8" hidden="false" customHeight="false" outlineLevel="0" collapsed="false">
      <c r="A2340" s="0" t="n">
        <v>4</v>
      </c>
      <c r="B2340" s="0" t="n">
        <v>16</v>
      </c>
      <c r="C2340" s="0" t="n">
        <v>1603</v>
      </c>
      <c r="D2340" s="0" t="s">
        <v>4107</v>
      </c>
      <c r="E2340" s="0" t="s">
        <v>3970</v>
      </c>
      <c r="F2340" s="0" t="s">
        <v>4108</v>
      </c>
    </row>
    <row r="2341" customFormat="false" ht="12.8" hidden="false" customHeight="false" outlineLevel="0" collapsed="false">
      <c r="A2341" s="0" t="n">
        <v>4</v>
      </c>
      <c r="B2341" s="0" t="n">
        <v>16</v>
      </c>
      <c r="C2341" s="0" t="n">
        <v>1604</v>
      </c>
      <c r="D2341" s="0" t="s">
        <v>4107</v>
      </c>
      <c r="E2341" s="0" t="s">
        <v>3970</v>
      </c>
      <c r="F2341" s="0" t="s">
        <v>4109</v>
      </c>
    </row>
    <row r="2342" customFormat="false" ht="12.8" hidden="false" customHeight="false" outlineLevel="0" collapsed="false">
      <c r="A2342" s="0" t="n">
        <v>4</v>
      </c>
      <c r="B2342" s="0" t="n">
        <v>16</v>
      </c>
      <c r="C2342" s="0" t="n">
        <v>1605</v>
      </c>
      <c r="D2342" s="0" t="s">
        <v>4107</v>
      </c>
      <c r="E2342" s="0" t="s">
        <v>3970</v>
      </c>
      <c r="F2342" s="0" t="s">
        <v>4039</v>
      </c>
    </row>
    <row r="2343" customFormat="false" ht="12.8" hidden="false" customHeight="false" outlineLevel="0" collapsed="false">
      <c r="A2343" s="0" t="n">
        <v>4</v>
      </c>
      <c r="B2343" s="0" t="n">
        <v>16</v>
      </c>
      <c r="C2343" s="0" t="n">
        <v>1606</v>
      </c>
      <c r="D2343" s="0" t="s">
        <v>4107</v>
      </c>
      <c r="E2343" s="0" t="s">
        <v>3970</v>
      </c>
      <c r="F2343" s="0" t="s">
        <v>4110</v>
      </c>
    </row>
    <row r="2344" customFormat="false" ht="12.8" hidden="false" customHeight="false" outlineLevel="0" collapsed="false">
      <c r="A2344" s="0" t="n">
        <v>4</v>
      </c>
      <c r="B2344" s="0" t="n">
        <v>16</v>
      </c>
      <c r="C2344" s="0" t="n">
        <v>1607</v>
      </c>
      <c r="D2344" s="0" t="s">
        <v>4107</v>
      </c>
      <c r="E2344" s="0" t="s">
        <v>3970</v>
      </c>
      <c r="F2344" s="0" t="s">
        <v>4112</v>
      </c>
    </row>
    <row r="2345" customFormat="false" ht="12.8" hidden="false" customHeight="false" outlineLevel="0" collapsed="false">
      <c r="A2345" s="0" t="n">
        <v>4</v>
      </c>
      <c r="B2345" s="0" t="n">
        <v>16</v>
      </c>
      <c r="C2345" s="0" t="n">
        <v>1608</v>
      </c>
      <c r="D2345" s="0" t="s">
        <v>4107</v>
      </c>
      <c r="E2345" s="0" t="s">
        <v>3970</v>
      </c>
      <c r="F2345" s="0" t="s">
        <v>4113</v>
      </c>
    </row>
    <row r="2346" customFormat="false" ht="12.8" hidden="false" customHeight="false" outlineLevel="0" collapsed="false">
      <c r="A2346" s="0" t="n">
        <v>4</v>
      </c>
      <c r="B2346" s="0" t="n">
        <v>16</v>
      </c>
      <c r="C2346" s="0" t="n">
        <v>1609</v>
      </c>
      <c r="D2346" s="0" t="s">
        <v>4107</v>
      </c>
      <c r="E2346" s="0" t="s">
        <v>3970</v>
      </c>
      <c r="F2346" s="0" t="s">
        <v>4114</v>
      </c>
    </row>
    <row r="2347" customFormat="false" ht="12.8" hidden="false" customHeight="false" outlineLevel="0" collapsed="false">
      <c r="A2347" s="0" t="n">
        <v>4</v>
      </c>
      <c r="B2347" s="0" t="n">
        <v>16</v>
      </c>
      <c r="C2347" s="0" t="n">
        <v>1610</v>
      </c>
      <c r="D2347" s="0" t="s">
        <v>4107</v>
      </c>
      <c r="E2347" s="0" t="s">
        <v>3970</v>
      </c>
      <c r="F2347" s="0" t="s">
        <v>4115</v>
      </c>
    </row>
    <row r="2348" customFormat="false" ht="12.8" hidden="false" customHeight="false" outlineLevel="0" collapsed="false">
      <c r="A2348" s="0" t="n">
        <v>4</v>
      </c>
      <c r="B2348" s="0" t="n">
        <v>16</v>
      </c>
      <c r="C2348" s="0" t="n">
        <v>1611</v>
      </c>
      <c r="D2348" s="0" t="s">
        <v>4107</v>
      </c>
      <c r="E2348" s="0" t="s">
        <v>3970</v>
      </c>
      <c r="F2348" s="0" t="s">
        <v>4117</v>
      </c>
    </row>
    <row r="2349" customFormat="false" ht="12.8" hidden="false" customHeight="false" outlineLevel="0" collapsed="false">
      <c r="A2349" s="0" t="n">
        <v>4</v>
      </c>
      <c r="B2349" s="0" t="n">
        <v>16</v>
      </c>
      <c r="C2349" s="0" t="n">
        <v>1612</v>
      </c>
      <c r="D2349" s="0" t="s">
        <v>4107</v>
      </c>
      <c r="E2349" s="0" t="s">
        <v>3970</v>
      </c>
      <c r="F2349" s="0" t="s">
        <v>4118</v>
      </c>
    </row>
    <row r="2350" customFormat="false" ht="12.8" hidden="false" customHeight="false" outlineLevel="0" collapsed="false">
      <c r="A2350" s="0" t="n">
        <v>4</v>
      </c>
      <c r="B2350" s="0" t="n">
        <v>16</v>
      </c>
      <c r="C2350" s="0" t="n">
        <v>1613</v>
      </c>
      <c r="D2350" s="0" t="s">
        <v>4107</v>
      </c>
      <c r="E2350" s="0" t="s">
        <v>3970</v>
      </c>
      <c r="F2350" s="0" t="s">
        <v>4119</v>
      </c>
    </row>
    <row r="2351" customFormat="false" ht="12.8" hidden="false" customHeight="false" outlineLevel="0" collapsed="false">
      <c r="A2351" s="0" t="n">
        <v>4</v>
      </c>
      <c r="B2351" s="0" t="n">
        <v>16</v>
      </c>
      <c r="C2351" s="0" t="n">
        <v>1614</v>
      </c>
      <c r="D2351" s="0" t="s">
        <v>4107</v>
      </c>
      <c r="E2351" s="0" t="s">
        <v>3970</v>
      </c>
      <c r="F2351" s="0" t="s">
        <v>4120</v>
      </c>
    </row>
    <row r="2352" customFormat="false" ht="12.8" hidden="false" customHeight="false" outlineLevel="0" collapsed="false">
      <c r="A2352" s="0" t="n">
        <v>4</v>
      </c>
      <c r="B2352" s="0" t="n">
        <v>16</v>
      </c>
      <c r="C2352" s="0" t="n">
        <v>1615</v>
      </c>
      <c r="D2352" s="0" t="s">
        <v>4107</v>
      </c>
      <c r="E2352" s="0" t="s">
        <v>3970</v>
      </c>
      <c r="F2352" s="0" t="s">
        <v>4122</v>
      </c>
    </row>
    <row r="2353" customFormat="false" ht="12.8" hidden="false" customHeight="false" outlineLevel="0" collapsed="false">
      <c r="A2353" s="0" t="n">
        <v>4</v>
      </c>
      <c r="B2353" s="0" t="n">
        <v>16</v>
      </c>
      <c r="C2353" s="0" t="n">
        <v>1616</v>
      </c>
      <c r="D2353" s="0" t="s">
        <v>4107</v>
      </c>
      <c r="E2353" s="0" t="s">
        <v>3970</v>
      </c>
      <c r="F2353" s="0" t="s">
        <v>4158</v>
      </c>
    </row>
    <row r="2354" customFormat="false" ht="12.8" hidden="false" customHeight="false" outlineLevel="0" collapsed="false">
      <c r="A2354" s="0" t="n">
        <v>4</v>
      </c>
      <c r="B2354" s="0" t="n">
        <v>16</v>
      </c>
      <c r="C2354" s="0" t="n">
        <v>1617</v>
      </c>
      <c r="D2354" s="0" t="s">
        <v>4107</v>
      </c>
      <c r="E2354" s="0" t="s">
        <v>3970</v>
      </c>
      <c r="F2354" s="0" t="s">
        <v>4124</v>
      </c>
    </row>
    <row r="2355" customFormat="false" ht="12.8" hidden="false" customHeight="false" outlineLevel="0" collapsed="false">
      <c r="A2355" s="0" t="n">
        <v>4</v>
      </c>
      <c r="B2355" s="0" t="n">
        <v>16</v>
      </c>
      <c r="C2355" s="0" t="n">
        <v>1619</v>
      </c>
      <c r="D2355" s="0" t="s">
        <v>4107</v>
      </c>
      <c r="E2355" s="0" t="s">
        <v>3970</v>
      </c>
      <c r="F2355" s="0" t="s">
        <v>4126</v>
      </c>
    </row>
    <row r="2356" customFormat="false" ht="12.8" hidden="false" customHeight="false" outlineLevel="0" collapsed="false">
      <c r="A2356" s="0" t="n">
        <v>4</v>
      </c>
      <c r="B2356" s="0" t="n">
        <v>16</v>
      </c>
      <c r="C2356" s="0" t="n">
        <v>1620</v>
      </c>
      <c r="D2356" s="0" t="s">
        <v>4107</v>
      </c>
      <c r="E2356" s="0" t="s">
        <v>3970</v>
      </c>
      <c r="F2356" s="0" t="s">
        <v>4128</v>
      </c>
    </row>
    <row r="2357" customFormat="false" ht="12.8" hidden="false" customHeight="false" outlineLevel="0" collapsed="false">
      <c r="A2357" s="0" t="n">
        <v>4</v>
      </c>
      <c r="B2357" s="0" t="n">
        <v>16</v>
      </c>
      <c r="C2357" s="0" t="n">
        <v>1621</v>
      </c>
      <c r="D2357" s="0" t="s">
        <v>4107</v>
      </c>
      <c r="E2357" s="0" t="s">
        <v>3970</v>
      </c>
      <c r="F2357" s="0" t="s">
        <v>4129</v>
      </c>
    </row>
    <row r="2358" customFormat="false" ht="12.8" hidden="false" customHeight="false" outlineLevel="0" collapsed="false">
      <c r="A2358" s="0" t="n">
        <v>4</v>
      </c>
      <c r="B2358" s="0" t="n">
        <v>16</v>
      </c>
      <c r="C2358" s="0" t="n">
        <v>1622</v>
      </c>
      <c r="D2358" s="0" t="s">
        <v>4107</v>
      </c>
      <c r="E2358" s="0" t="s">
        <v>3970</v>
      </c>
      <c r="F2358" s="0" t="s">
        <v>4130</v>
      </c>
    </row>
    <row r="2359" customFormat="false" ht="12.8" hidden="false" customHeight="false" outlineLevel="0" collapsed="false">
      <c r="A2359" s="0" t="n">
        <v>4</v>
      </c>
      <c r="B2359" s="0" t="n">
        <v>16</v>
      </c>
      <c r="C2359" s="0" t="n">
        <v>1623</v>
      </c>
      <c r="D2359" s="0" t="s">
        <v>4107</v>
      </c>
      <c r="E2359" s="0" t="s">
        <v>3970</v>
      </c>
      <c r="F2359" s="0" t="s">
        <v>4086</v>
      </c>
    </row>
    <row r="2360" customFormat="false" ht="12.8" hidden="false" customHeight="false" outlineLevel="0" collapsed="false">
      <c r="A2360" s="0" t="n">
        <v>4</v>
      </c>
      <c r="B2360" s="0" t="n">
        <v>16</v>
      </c>
      <c r="C2360" s="0" t="n">
        <v>1624</v>
      </c>
      <c r="D2360" s="0" t="s">
        <v>4107</v>
      </c>
      <c r="E2360" s="0" t="s">
        <v>3970</v>
      </c>
      <c r="F2360" s="0" t="s">
        <v>4132</v>
      </c>
    </row>
    <row r="2361" customFormat="false" ht="12.8" hidden="false" customHeight="false" outlineLevel="0" collapsed="false">
      <c r="A2361" s="0" t="n">
        <v>4</v>
      </c>
      <c r="B2361" s="0" t="n">
        <v>16</v>
      </c>
      <c r="C2361" s="0" t="n">
        <v>1625</v>
      </c>
      <c r="D2361" s="0" t="s">
        <v>4107</v>
      </c>
      <c r="E2361" s="0" t="s">
        <v>3970</v>
      </c>
      <c r="F2361" s="0" t="s">
        <v>4133</v>
      </c>
    </row>
    <row r="2362" customFormat="false" ht="12.8" hidden="false" customHeight="false" outlineLevel="0" collapsed="false">
      <c r="A2362" s="0" t="n">
        <v>4</v>
      </c>
      <c r="B2362" s="0" t="n">
        <v>16</v>
      </c>
      <c r="C2362" s="0" t="n">
        <v>1626</v>
      </c>
      <c r="D2362" s="0" t="s">
        <v>4107</v>
      </c>
      <c r="E2362" s="0" t="s">
        <v>3970</v>
      </c>
      <c r="F2362" s="0" t="s">
        <v>4134</v>
      </c>
    </row>
    <row r="2363" customFormat="false" ht="12.8" hidden="false" customHeight="false" outlineLevel="0" collapsed="false">
      <c r="A2363" s="0" t="n">
        <v>4</v>
      </c>
      <c r="B2363" s="0" t="n">
        <v>16</v>
      </c>
      <c r="C2363" s="0" t="n">
        <v>1627</v>
      </c>
      <c r="D2363" s="0" t="s">
        <v>4107</v>
      </c>
      <c r="E2363" s="0" t="s">
        <v>3970</v>
      </c>
      <c r="F2363" s="0" t="s">
        <v>4135</v>
      </c>
    </row>
    <row r="2364" customFormat="false" ht="12.8" hidden="false" customHeight="false" outlineLevel="0" collapsed="false">
      <c r="A2364" s="0" t="n">
        <v>4</v>
      </c>
      <c r="B2364" s="0" t="n">
        <v>16</v>
      </c>
      <c r="C2364" s="0" t="n">
        <v>1628</v>
      </c>
      <c r="D2364" s="0" t="s">
        <v>4107</v>
      </c>
      <c r="E2364" s="0" t="s">
        <v>3970</v>
      </c>
      <c r="F2364" s="0" t="s">
        <v>4136</v>
      </c>
    </row>
    <row r="2365" customFormat="false" ht="12.8" hidden="false" customHeight="false" outlineLevel="0" collapsed="false">
      <c r="A2365" s="0" t="n">
        <v>4</v>
      </c>
      <c r="B2365" s="0" t="n">
        <v>16</v>
      </c>
      <c r="C2365" s="0" t="n">
        <v>1629</v>
      </c>
      <c r="D2365" s="0" t="s">
        <v>4107</v>
      </c>
      <c r="E2365" s="0" t="s">
        <v>3970</v>
      </c>
      <c r="F2365" s="0" t="s">
        <v>4139</v>
      </c>
    </row>
    <row r="2366" customFormat="false" ht="12.8" hidden="false" customHeight="false" outlineLevel="0" collapsed="false">
      <c r="A2366" s="0" t="n">
        <v>4</v>
      </c>
      <c r="B2366" s="0" t="n">
        <v>16</v>
      </c>
      <c r="C2366" s="0" t="n">
        <v>1630</v>
      </c>
      <c r="D2366" s="0" t="s">
        <v>4107</v>
      </c>
      <c r="E2366" s="0" t="s">
        <v>3970</v>
      </c>
      <c r="F2366" s="0" t="s">
        <v>4140</v>
      </c>
    </row>
    <row r="2367" customFormat="false" ht="12.8" hidden="false" customHeight="false" outlineLevel="0" collapsed="false">
      <c r="A2367" s="0" t="n">
        <v>4</v>
      </c>
      <c r="B2367" s="0" t="n">
        <v>16</v>
      </c>
      <c r="C2367" s="0" t="n">
        <v>1631</v>
      </c>
      <c r="D2367" s="0" t="s">
        <v>4107</v>
      </c>
      <c r="E2367" s="0" t="s">
        <v>3970</v>
      </c>
      <c r="F2367" s="0" t="s">
        <v>4141</v>
      </c>
    </row>
    <row r="2368" customFormat="false" ht="12.8" hidden="false" customHeight="false" outlineLevel="0" collapsed="false">
      <c r="A2368" s="0" t="n">
        <v>4</v>
      </c>
      <c r="B2368" s="0" t="n">
        <v>16</v>
      </c>
      <c r="C2368" s="0" t="n">
        <v>1632</v>
      </c>
      <c r="D2368" s="0" t="s">
        <v>4107</v>
      </c>
      <c r="E2368" s="0" t="s">
        <v>3970</v>
      </c>
      <c r="F2368" s="0" t="s">
        <v>4144</v>
      </c>
    </row>
    <row r="2369" customFormat="false" ht="12.8" hidden="false" customHeight="false" outlineLevel="0" collapsed="false">
      <c r="A2369" s="0" t="n">
        <v>4</v>
      </c>
      <c r="B2369" s="0" t="n">
        <v>16</v>
      </c>
      <c r="C2369" s="0" t="n">
        <v>1633</v>
      </c>
      <c r="D2369" s="0" t="s">
        <v>4107</v>
      </c>
      <c r="E2369" s="0" t="s">
        <v>3970</v>
      </c>
      <c r="F2369" s="0" t="s">
        <v>4125</v>
      </c>
    </row>
    <row r="2370" customFormat="false" ht="12.8" hidden="false" customHeight="false" outlineLevel="0" collapsed="false">
      <c r="A2370" s="0" t="n">
        <v>4</v>
      </c>
      <c r="B2370" s="0" t="n">
        <v>16</v>
      </c>
      <c r="C2370" s="0" t="n">
        <v>1653</v>
      </c>
      <c r="D2370" s="0" t="s">
        <v>4107</v>
      </c>
      <c r="E2370" s="0" t="s">
        <v>3970</v>
      </c>
      <c r="F2370" s="0" t="s">
        <v>4111</v>
      </c>
    </row>
    <row r="2371" customFormat="false" ht="12.8" hidden="false" customHeight="false" outlineLevel="0" collapsed="false">
      <c r="A2371" s="0" t="n">
        <v>4</v>
      </c>
      <c r="B2371" s="0" t="n">
        <v>16</v>
      </c>
      <c r="C2371" s="0" t="n">
        <v>1654</v>
      </c>
      <c r="D2371" s="0" t="s">
        <v>4107</v>
      </c>
      <c r="E2371" s="0" t="s">
        <v>3970</v>
      </c>
      <c r="F2371" s="0" t="s">
        <v>4116</v>
      </c>
    </row>
    <row r="2372" customFormat="false" ht="12.8" hidden="false" customHeight="false" outlineLevel="0" collapsed="false">
      <c r="A2372" s="0" t="n">
        <v>4</v>
      </c>
      <c r="B2372" s="0" t="n">
        <v>16</v>
      </c>
      <c r="C2372" s="0" t="n">
        <v>1655</v>
      </c>
      <c r="D2372" s="0" t="s">
        <v>4107</v>
      </c>
      <c r="E2372" s="0" t="s">
        <v>3970</v>
      </c>
      <c r="F2372" s="0" t="s">
        <v>4121</v>
      </c>
    </row>
    <row r="2373" customFormat="false" ht="12.8" hidden="false" customHeight="false" outlineLevel="0" collapsed="false">
      <c r="A2373" s="0" t="n">
        <v>4</v>
      </c>
      <c r="B2373" s="0" t="n">
        <v>16</v>
      </c>
      <c r="C2373" s="0" t="n">
        <v>1656</v>
      </c>
      <c r="D2373" s="0" t="s">
        <v>4107</v>
      </c>
      <c r="E2373" s="0" t="s">
        <v>3970</v>
      </c>
      <c r="F2373" s="0" t="s">
        <v>4137</v>
      </c>
    </row>
    <row r="2374" customFormat="false" ht="12.8" hidden="false" customHeight="false" outlineLevel="0" collapsed="false">
      <c r="A2374" s="0" t="n">
        <v>4</v>
      </c>
      <c r="B2374" s="0" t="n">
        <v>16</v>
      </c>
      <c r="C2374" s="0" t="n">
        <v>1657</v>
      </c>
      <c r="D2374" s="0" t="s">
        <v>4107</v>
      </c>
      <c r="E2374" s="0" t="s">
        <v>3970</v>
      </c>
      <c r="F2374" s="0" t="s">
        <v>4138</v>
      </c>
    </row>
    <row r="2375" customFormat="false" ht="12.8" hidden="false" customHeight="false" outlineLevel="0" collapsed="false">
      <c r="A2375" s="0" t="n">
        <v>4</v>
      </c>
      <c r="B2375" s="0" t="n">
        <v>16</v>
      </c>
      <c r="C2375" s="0" t="n">
        <v>1658</v>
      </c>
      <c r="D2375" s="0" t="s">
        <v>4107</v>
      </c>
      <c r="E2375" s="0" t="s">
        <v>3970</v>
      </c>
      <c r="F2375" s="0" t="s">
        <v>4145</v>
      </c>
    </row>
    <row r="2376" customFormat="false" ht="12.8" hidden="false" customHeight="false" outlineLevel="0" collapsed="false">
      <c r="A2376" s="0" t="n">
        <v>4</v>
      </c>
      <c r="B2376" s="0" t="n">
        <v>16</v>
      </c>
      <c r="C2376" s="0" t="n">
        <v>1659</v>
      </c>
      <c r="D2376" s="0" t="s">
        <v>4107</v>
      </c>
      <c r="E2376" s="0" t="s">
        <v>3970</v>
      </c>
      <c r="F2376" s="0" t="s">
        <v>4146</v>
      </c>
    </row>
    <row r="2377" customFormat="false" ht="12.8" hidden="false" customHeight="false" outlineLevel="0" collapsed="false">
      <c r="A2377" s="0" t="n">
        <v>4</v>
      </c>
      <c r="B2377" s="0" t="n">
        <v>16</v>
      </c>
      <c r="C2377" s="0" t="n">
        <v>1660</v>
      </c>
      <c r="D2377" s="0" t="s">
        <v>4107</v>
      </c>
      <c r="E2377" s="0" t="s">
        <v>3970</v>
      </c>
      <c r="F2377" s="0" t="s">
        <v>4147</v>
      </c>
    </row>
    <row r="2378" customFormat="false" ht="12.8" hidden="false" customHeight="false" outlineLevel="0" collapsed="false">
      <c r="A2378" s="0" t="n">
        <v>4</v>
      </c>
      <c r="B2378" s="0" t="n">
        <v>16</v>
      </c>
      <c r="C2378" s="0" t="n">
        <v>1661</v>
      </c>
      <c r="D2378" s="0" t="s">
        <v>4107</v>
      </c>
      <c r="E2378" s="0" t="s">
        <v>3970</v>
      </c>
      <c r="F2378" s="0" t="s">
        <v>4131</v>
      </c>
    </row>
    <row r="2379" customFormat="false" ht="12.8" hidden="false" customHeight="false" outlineLevel="0" collapsed="false">
      <c r="A2379" s="0" t="n">
        <v>4</v>
      </c>
      <c r="B2379" s="0" t="n">
        <v>16</v>
      </c>
      <c r="C2379" s="0" t="n">
        <v>1671</v>
      </c>
      <c r="D2379" s="0" t="s">
        <v>4107</v>
      </c>
      <c r="E2379" s="0" t="s">
        <v>3970</v>
      </c>
      <c r="F2379" s="0" t="s">
        <v>4157</v>
      </c>
    </row>
    <row r="2380" customFormat="false" ht="12.8" hidden="false" customHeight="false" outlineLevel="0" collapsed="false">
      <c r="A2380" s="0" t="n">
        <v>4</v>
      </c>
      <c r="B2380" s="0" t="n">
        <v>16</v>
      </c>
      <c r="C2380" s="0" t="n">
        <v>1679</v>
      </c>
      <c r="D2380" s="0" t="s">
        <v>4107</v>
      </c>
      <c r="E2380" s="0" t="s">
        <v>3970</v>
      </c>
      <c r="F2380" s="0" t="s">
        <v>4143</v>
      </c>
    </row>
    <row r="2381" customFormat="false" ht="12.8" hidden="false" customHeight="false" outlineLevel="0" collapsed="false">
      <c r="A2381" s="0" t="n">
        <v>4</v>
      </c>
      <c r="B2381" s="0" t="n">
        <v>16</v>
      </c>
      <c r="C2381" s="0" t="n">
        <v>1680</v>
      </c>
      <c r="D2381" s="0" t="s">
        <v>4107</v>
      </c>
      <c r="E2381" s="0" t="s">
        <v>3970</v>
      </c>
      <c r="F2381" s="0" t="s">
        <v>4127</v>
      </c>
    </row>
    <row r="2382" customFormat="false" ht="12.8" hidden="false" customHeight="false" outlineLevel="0" collapsed="false">
      <c r="A2382" s="0" t="n">
        <v>4</v>
      </c>
      <c r="B2382" s="0" t="n">
        <v>16</v>
      </c>
      <c r="C2382" s="0" t="n">
        <v>1689</v>
      </c>
      <c r="D2382" s="0" t="s">
        <v>4107</v>
      </c>
      <c r="E2382" s="0" t="s">
        <v>3970</v>
      </c>
      <c r="F2382" s="0" t="s">
        <v>4142</v>
      </c>
    </row>
    <row r="2383" customFormat="false" ht="12.8" hidden="false" customHeight="false" outlineLevel="0" collapsed="false">
      <c r="A2383" s="0" t="n">
        <v>4</v>
      </c>
      <c r="B2383" s="0" t="n">
        <v>16</v>
      </c>
      <c r="C2383" s="0" t="n">
        <v>1703</v>
      </c>
      <c r="D2383" s="0" t="s">
        <v>4107</v>
      </c>
      <c r="E2383" s="0" t="s">
        <v>3970</v>
      </c>
      <c r="F2383" s="0" t="s">
        <v>4170</v>
      </c>
    </row>
    <row r="2384" customFormat="false" ht="12.8" hidden="false" customHeight="false" outlineLevel="0" collapsed="false">
      <c r="A2384" s="0" t="n">
        <v>4</v>
      </c>
      <c r="B2384" s="0" t="n">
        <v>16</v>
      </c>
      <c r="C2384" s="0" t="n">
        <v>1704</v>
      </c>
      <c r="D2384" s="0" t="s">
        <v>4107</v>
      </c>
      <c r="E2384" s="0" t="s">
        <v>3970</v>
      </c>
      <c r="F2384" s="0" t="s">
        <v>4170</v>
      </c>
    </row>
    <row r="2385" customFormat="false" ht="12.8" hidden="false" customHeight="false" outlineLevel="0" collapsed="false">
      <c r="A2385" s="0" t="n">
        <v>4</v>
      </c>
      <c r="B2385" s="0" t="n">
        <v>16</v>
      </c>
      <c r="C2385" s="0" t="n">
        <v>1705</v>
      </c>
      <c r="D2385" s="0" t="s">
        <v>4107</v>
      </c>
      <c r="E2385" s="0" t="s">
        <v>3970</v>
      </c>
      <c r="F2385" s="0" t="s">
        <v>4171</v>
      </c>
    </row>
    <row r="2386" customFormat="false" ht="12.8" hidden="false" customHeight="false" outlineLevel="0" collapsed="false">
      <c r="A2386" s="0" t="n">
        <v>4</v>
      </c>
      <c r="B2386" s="0" t="n">
        <v>16</v>
      </c>
      <c r="C2386" s="0" t="n">
        <v>1706</v>
      </c>
      <c r="D2386" s="0" t="s">
        <v>4107</v>
      </c>
      <c r="E2386" s="0" t="s">
        <v>3970</v>
      </c>
      <c r="F2386" s="0" t="s">
        <v>4171</v>
      </c>
    </row>
    <row r="2387" customFormat="false" ht="12.8" hidden="false" customHeight="false" outlineLevel="0" collapsed="false">
      <c r="A2387" s="0" t="n">
        <v>4</v>
      </c>
      <c r="B2387" s="0" t="n">
        <v>16</v>
      </c>
      <c r="C2387" s="0" t="n">
        <v>1709</v>
      </c>
      <c r="D2387" s="0" t="s">
        <v>4107</v>
      </c>
      <c r="E2387" s="0" t="s">
        <v>3970</v>
      </c>
      <c r="F2387" s="0" t="s">
        <v>4172</v>
      </c>
    </row>
    <row r="2388" customFormat="false" ht="12.8" hidden="false" customHeight="false" outlineLevel="0" collapsed="false">
      <c r="A2388" s="0" t="n">
        <v>4</v>
      </c>
      <c r="B2388" s="0" t="n">
        <v>16</v>
      </c>
      <c r="C2388" s="0" t="n">
        <v>1710</v>
      </c>
      <c r="D2388" s="0" t="s">
        <v>4107</v>
      </c>
      <c r="E2388" s="0" t="s">
        <v>3970</v>
      </c>
      <c r="F2388" s="0" t="s">
        <v>4172</v>
      </c>
    </row>
    <row r="2389" customFormat="false" ht="12.8" hidden="false" customHeight="false" outlineLevel="0" collapsed="false">
      <c r="A2389" s="0" t="n">
        <v>4</v>
      </c>
      <c r="B2389" s="0" t="n">
        <v>16</v>
      </c>
      <c r="C2389" s="0" t="n">
        <v>1749</v>
      </c>
      <c r="D2389" s="0" t="s">
        <v>4107</v>
      </c>
      <c r="E2389" s="0" t="s">
        <v>3970</v>
      </c>
      <c r="F2389" s="0" t="s">
        <v>4173</v>
      </c>
    </row>
    <row r="2390" customFormat="false" ht="12.8" hidden="false" customHeight="false" outlineLevel="0" collapsed="false">
      <c r="A2390" s="0" t="n">
        <v>4</v>
      </c>
      <c r="B2390" s="0" t="n">
        <v>16</v>
      </c>
      <c r="C2390" s="0" t="n">
        <v>1750</v>
      </c>
      <c r="D2390" s="0" t="s">
        <v>4107</v>
      </c>
      <c r="E2390" s="0" t="s">
        <v>3970</v>
      </c>
      <c r="F2390" s="0" t="s">
        <v>4156</v>
      </c>
    </row>
    <row r="2391" customFormat="false" ht="12.8" hidden="false" customHeight="false" outlineLevel="0" collapsed="false">
      <c r="A2391" s="0" t="n">
        <v>4</v>
      </c>
      <c r="B2391" s="0" t="n">
        <v>16</v>
      </c>
      <c r="C2391" s="0" t="n">
        <v>1751</v>
      </c>
      <c r="D2391" s="0" t="s">
        <v>4107</v>
      </c>
      <c r="E2391" s="0" t="s">
        <v>3970</v>
      </c>
      <c r="F2391" s="0" t="s">
        <v>4156</v>
      </c>
    </row>
    <row r="2392" customFormat="false" ht="12.8" hidden="false" customHeight="false" outlineLevel="0" collapsed="false">
      <c r="A2392" s="0" t="n">
        <v>4</v>
      </c>
      <c r="B2392" s="0" t="n">
        <v>16</v>
      </c>
      <c r="C2392" s="0" t="n">
        <v>1752</v>
      </c>
      <c r="D2392" s="0" t="s">
        <v>4107</v>
      </c>
      <c r="E2392" s="0" t="s">
        <v>3970</v>
      </c>
      <c r="F2392" s="0" t="s">
        <v>4156</v>
      </c>
    </row>
    <row r="2393" customFormat="false" ht="12.8" hidden="false" customHeight="false" outlineLevel="0" collapsed="false">
      <c r="A2393" s="0" t="n">
        <v>4</v>
      </c>
      <c r="B2393" s="0" t="n">
        <v>16</v>
      </c>
      <c r="C2393" s="0" t="n">
        <v>1753</v>
      </c>
      <c r="D2393" s="0" t="s">
        <v>4107</v>
      </c>
      <c r="E2393" s="0" t="s">
        <v>3970</v>
      </c>
      <c r="F2393" s="0" t="s">
        <v>4156</v>
      </c>
    </row>
    <row r="2394" customFormat="false" ht="12.8" hidden="false" customHeight="false" outlineLevel="0" collapsed="false">
      <c r="A2394" s="0" t="n">
        <v>4</v>
      </c>
      <c r="B2394" s="0" t="n">
        <v>16</v>
      </c>
      <c r="C2394" s="0" t="n">
        <v>1754</v>
      </c>
      <c r="D2394" s="0" t="s">
        <v>4107</v>
      </c>
      <c r="E2394" s="0" t="s">
        <v>3970</v>
      </c>
      <c r="F2394" s="0" t="s">
        <v>4156</v>
      </c>
    </row>
    <row r="2395" customFormat="false" ht="12.8" hidden="false" customHeight="false" outlineLevel="0" collapsed="false">
      <c r="A2395" s="0" t="n">
        <v>4</v>
      </c>
      <c r="B2395" s="0" t="n">
        <v>16</v>
      </c>
      <c r="C2395" s="0" t="n">
        <v>1755</v>
      </c>
      <c r="D2395" s="0" t="s">
        <v>4107</v>
      </c>
      <c r="E2395" s="0" t="s">
        <v>3970</v>
      </c>
      <c r="F2395" s="0" t="s">
        <v>4156</v>
      </c>
    </row>
    <row r="2396" customFormat="false" ht="12.8" hidden="false" customHeight="false" outlineLevel="0" collapsed="false">
      <c r="A2396" s="0" t="n">
        <v>4</v>
      </c>
      <c r="B2396" s="0" t="n">
        <v>16</v>
      </c>
      <c r="C2396" s="0" t="n">
        <v>1756</v>
      </c>
      <c r="D2396" s="0" t="s">
        <v>4107</v>
      </c>
      <c r="E2396" s="0" t="s">
        <v>3970</v>
      </c>
      <c r="F2396" s="0" t="s">
        <v>4156</v>
      </c>
    </row>
    <row r="2397" customFormat="false" ht="12.8" hidden="false" customHeight="false" outlineLevel="0" collapsed="false">
      <c r="A2397" s="0" t="n">
        <v>4</v>
      </c>
      <c r="B2397" s="0" t="n">
        <v>16</v>
      </c>
      <c r="C2397" s="0" t="n">
        <v>1757</v>
      </c>
      <c r="D2397" s="0" t="s">
        <v>4107</v>
      </c>
      <c r="E2397" s="0" t="s">
        <v>3970</v>
      </c>
      <c r="F2397" s="0" t="s">
        <v>4156</v>
      </c>
    </row>
    <row r="2398" customFormat="false" ht="12.8" hidden="false" customHeight="false" outlineLevel="0" collapsed="false">
      <c r="A2398" s="0" t="n">
        <v>4</v>
      </c>
      <c r="B2398" s="0" t="n">
        <v>16</v>
      </c>
      <c r="C2398" s="0" t="n">
        <v>1758</v>
      </c>
      <c r="D2398" s="0" t="s">
        <v>4107</v>
      </c>
      <c r="E2398" s="0" t="s">
        <v>3970</v>
      </c>
      <c r="F2398" s="0" t="s">
        <v>4156</v>
      </c>
    </row>
    <row r="2399" customFormat="false" ht="12.8" hidden="false" customHeight="false" outlineLevel="0" collapsed="false">
      <c r="A2399" s="0" t="n">
        <v>4</v>
      </c>
      <c r="B2399" s="0" t="n">
        <v>16</v>
      </c>
      <c r="C2399" s="0" t="n">
        <v>1759</v>
      </c>
      <c r="D2399" s="0" t="s">
        <v>4107</v>
      </c>
      <c r="E2399" s="0" t="s">
        <v>3970</v>
      </c>
      <c r="F2399" s="0" t="s">
        <v>4156</v>
      </c>
    </row>
    <row r="2400" customFormat="false" ht="12.8" hidden="false" customHeight="false" outlineLevel="0" collapsed="false">
      <c r="A2400" s="0" t="n">
        <v>4</v>
      </c>
      <c r="B2400" s="0" t="n">
        <v>16</v>
      </c>
      <c r="C2400" s="0" t="n">
        <v>1760</v>
      </c>
      <c r="D2400" s="0" t="s">
        <v>4107</v>
      </c>
      <c r="E2400" s="0" t="s">
        <v>3970</v>
      </c>
      <c r="F2400" s="0" t="s">
        <v>4156</v>
      </c>
    </row>
    <row r="2401" customFormat="false" ht="12.8" hidden="false" customHeight="false" outlineLevel="0" collapsed="false">
      <c r="A2401" s="0" t="n">
        <v>4</v>
      </c>
      <c r="B2401" s="0" t="n">
        <v>16</v>
      </c>
      <c r="C2401" s="0" t="n">
        <v>1761</v>
      </c>
      <c r="D2401" s="0" t="s">
        <v>4107</v>
      </c>
      <c r="E2401" s="0" t="s">
        <v>3970</v>
      </c>
      <c r="F2401" s="0" t="s">
        <v>4156</v>
      </c>
    </row>
    <row r="2402" customFormat="false" ht="12.8" hidden="false" customHeight="false" outlineLevel="0" collapsed="false">
      <c r="A2402" s="0" t="n">
        <v>4</v>
      </c>
      <c r="B2402" s="0" t="n">
        <v>16</v>
      </c>
      <c r="C2402" s="0" t="n">
        <v>1890</v>
      </c>
      <c r="D2402" s="0" t="s">
        <v>4107</v>
      </c>
      <c r="E2402" s="0" t="s">
        <v>3970</v>
      </c>
      <c r="F2402" s="0" t="s">
        <v>4122</v>
      </c>
    </row>
    <row r="2403" customFormat="false" ht="12.8" hidden="false" customHeight="false" outlineLevel="0" collapsed="false">
      <c r="A2403" s="0" t="n">
        <v>4</v>
      </c>
      <c r="B2403" s="0" t="n">
        <v>16</v>
      </c>
      <c r="C2403" s="0" t="n">
        <v>1891</v>
      </c>
      <c r="D2403" s="0" t="s">
        <v>4107</v>
      </c>
      <c r="E2403" s="0" t="s">
        <v>3970</v>
      </c>
      <c r="F2403" s="0" t="s">
        <v>4158</v>
      </c>
    </row>
    <row r="2404" customFormat="false" ht="12.8" hidden="false" customHeight="false" outlineLevel="0" collapsed="false">
      <c r="A2404" s="0" t="n">
        <v>4</v>
      </c>
      <c r="B2404" s="0" t="n">
        <v>16</v>
      </c>
      <c r="C2404" s="0" t="n">
        <v>1892</v>
      </c>
      <c r="D2404" s="0" t="s">
        <v>4107</v>
      </c>
      <c r="E2404" s="0" t="s">
        <v>3970</v>
      </c>
      <c r="F2404" s="0" t="s">
        <v>4124</v>
      </c>
    </row>
    <row r="2405" customFormat="false" ht="12.8" hidden="false" customHeight="false" outlineLevel="0" collapsed="false">
      <c r="A2405" s="0" t="n">
        <v>4</v>
      </c>
      <c r="B2405" s="0" t="n">
        <v>16</v>
      </c>
      <c r="C2405" s="0" t="n">
        <v>1893</v>
      </c>
      <c r="D2405" s="0" t="s">
        <v>4107</v>
      </c>
      <c r="E2405" s="0" t="s">
        <v>3970</v>
      </c>
      <c r="F2405" s="0" t="s">
        <v>4126</v>
      </c>
    </row>
    <row r="2406" customFormat="false" ht="12.8" hidden="false" customHeight="false" outlineLevel="0" collapsed="false">
      <c r="A2406" s="0" t="n">
        <v>4</v>
      </c>
      <c r="B2406" s="0" t="n">
        <v>16</v>
      </c>
      <c r="C2406" s="0" t="n">
        <v>1894</v>
      </c>
      <c r="D2406" s="0" t="s">
        <v>4107</v>
      </c>
      <c r="E2406" s="0" t="s">
        <v>3970</v>
      </c>
      <c r="F2406" s="0" t="s">
        <v>4128</v>
      </c>
    </row>
    <row r="2407" customFormat="false" ht="12.8" hidden="false" customHeight="false" outlineLevel="0" collapsed="false">
      <c r="A2407" s="0" t="n">
        <v>4</v>
      </c>
      <c r="B2407" s="0" t="n">
        <v>16</v>
      </c>
      <c r="C2407" s="0" t="n">
        <v>1895</v>
      </c>
      <c r="D2407" s="0" t="s">
        <v>4107</v>
      </c>
      <c r="E2407" s="0" t="s">
        <v>3970</v>
      </c>
      <c r="F2407" s="0" t="s">
        <v>4129</v>
      </c>
    </row>
    <row r="2408" customFormat="false" ht="12.8" hidden="false" customHeight="false" outlineLevel="0" collapsed="false">
      <c r="A2408" s="0" t="n">
        <v>4</v>
      </c>
      <c r="B2408" s="0" t="n">
        <v>16</v>
      </c>
      <c r="C2408" s="0" t="n">
        <v>1896</v>
      </c>
      <c r="D2408" s="0" t="s">
        <v>4107</v>
      </c>
      <c r="E2408" s="0" t="s">
        <v>3970</v>
      </c>
      <c r="F2408" s="0" t="s">
        <v>4130</v>
      </c>
    </row>
    <row r="2409" customFormat="false" ht="12.8" hidden="false" customHeight="false" outlineLevel="0" collapsed="false">
      <c r="A2409" s="0" t="n">
        <v>4</v>
      </c>
      <c r="B2409" s="0" t="n">
        <v>16</v>
      </c>
      <c r="C2409" s="0" t="n">
        <v>1897</v>
      </c>
      <c r="D2409" s="0" t="s">
        <v>4107</v>
      </c>
      <c r="E2409" s="0" t="s">
        <v>3970</v>
      </c>
      <c r="F2409" s="0" t="s">
        <v>4086</v>
      </c>
    </row>
    <row r="2410" customFormat="false" ht="12.8" hidden="false" customHeight="false" outlineLevel="0" collapsed="false">
      <c r="A2410" s="0" t="n">
        <v>4</v>
      </c>
      <c r="B2410" s="0" t="n">
        <v>16</v>
      </c>
      <c r="C2410" s="0" t="n">
        <v>1902</v>
      </c>
      <c r="D2410" s="0" t="s">
        <v>4107</v>
      </c>
      <c r="E2410" s="0" t="s">
        <v>3970</v>
      </c>
      <c r="F2410" s="0" t="s">
        <v>4108</v>
      </c>
    </row>
    <row r="2411" customFormat="false" ht="12.8" hidden="false" customHeight="false" outlineLevel="0" collapsed="false">
      <c r="A2411" s="0" t="n">
        <v>4</v>
      </c>
      <c r="B2411" s="0" t="n">
        <v>16</v>
      </c>
      <c r="C2411" s="0" t="n">
        <v>1903</v>
      </c>
      <c r="D2411" s="0" t="s">
        <v>4107</v>
      </c>
      <c r="E2411" s="0" t="s">
        <v>3970</v>
      </c>
      <c r="F2411" s="0" t="s">
        <v>4113</v>
      </c>
    </row>
    <row r="2412" customFormat="false" ht="12.8" hidden="false" customHeight="false" outlineLevel="0" collapsed="false">
      <c r="A2412" s="0" t="n">
        <v>4</v>
      </c>
      <c r="B2412" s="0" t="n">
        <v>16</v>
      </c>
      <c r="C2412" s="0" t="n">
        <v>1904</v>
      </c>
      <c r="D2412" s="0" t="s">
        <v>4107</v>
      </c>
      <c r="E2412" s="0" t="s">
        <v>3970</v>
      </c>
      <c r="F2412" s="0" t="s">
        <v>4114</v>
      </c>
    </row>
    <row r="2413" customFormat="false" ht="12.8" hidden="false" customHeight="false" outlineLevel="0" collapsed="false">
      <c r="A2413" s="0" t="n">
        <v>4</v>
      </c>
      <c r="B2413" s="0" t="n">
        <v>16</v>
      </c>
      <c r="C2413" s="0" t="n">
        <v>1905</v>
      </c>
      <c r="D2413" s="0" t="s">
        <v>4107</v>
      </c>
      <c r="E2413" s="0" t="s">
        <v>3970</v>
      </c>
      <c r="F2413" s="0" t="s">
        <v>4115</v>
      </c>
    </row>
    <row r="2414" customFormat="false" ht="12.8" hidden="false" customHeight="false" outlineLevel="0" collapsed="false">
      <c r="A2414" s="0" t="n">
        <v>4</v>
      </c>
      <c r="B2414" s="0" t="n">
        <v>16</v>
      </c>
      <c r="C2414" s="0" t="n">
        <v>1906</v>
      </c>
      <c r="D2414" s="0" t="s">
        <v>4107</v>
      </c>
      <c r="E2414" s="0" t="s">
        <v>3970</v>
      </c>
      <c r="F2414" s="0" t="s">
        <v>4117</v>
      </c>
    </row>
    <row r="2415" customFormat="false" ht="12.8" hidden="false" customHeight="false" outlineLevel="0" collapsed="false">
      <c r="A2415" s="0" t="n">
        <v>4</v>
      </c>
      <c r="B2415" s="0" t="n">
        <v>16</v>
      </c>
      <c r="C2415" s="0" t="n">
        <v>1907</v>
      </c>
      <c r="D2415" s="0" t="s">
        <v>4107</v>
      </c>
      <c r="E2415" s="0" t="s">
        <v>3970</v>
      </c>
      <c r="F2415" s="0" t="s">
        <v>4118</v>
      </c>
    </row>
    <row r="2416" customFormat="false" ht="12.8" hidden="false" customHeight="false" outlineLevel="0" collapsed="false">
      <c r="A2416" s="0" t="n">
        <v>4</v>
      </c>
      <c r="B2416" s="0" t="n">
        <v>16</v>
      </c>
      <c r="C2416" s="0" t="n">
        <v>1908</v>
      </c>
      <c r="D2416" s="0" t="s">
        <v>4107</v>
      </c>
      <c r="E2416" s="0" t="s">
        <v>3970</v>
      </c>
      <c r="F2416" s="0" t="s">
        <v>4119</v>
      </c>
    </row>
    <row r="2417" customFormat="false" ht="12.8" hidden="false" customHeight="false" outlineLevel="0" collapsed="false">
      <c r="A2417" s="0" t="n">
        <v>4</v>
      </c>
      <c r="B2417" s="0" t="n">
        <v>16</v>
      </c>
      <c r="C2417" s="0" t="n">
        <v>1909</v>
      </c>
      <c r="D2417" s="0" t="s">
        <v>4107</v>
      </c>
      <c r="E2417" s="0" t="s">
        <v>3970</v>
      </c>
      <c r="F2417" s="0" t="s">
        <v>4120</v>
      </c>
    </row>
    <row r="2418" customFormat="false" ht="12.8" hidden="false" customHeight="false" outlineLevel="0" collapsed="false">
      <c r="A2418" s="0" t="n">
        <v>4</v>
      </c>
      <c r="B2418" s="0" t="n">
        <v>16</v>
      </c>
      <c r="C2418" s="0" t="n">
        <v>1920</v>
      </c>
      <c r="D2418" s="0" t="s">
        <v>4107</v>
      </c>
      <c r="E2418" s="0" t="s">
        <v>3970</v>
      </c>
      <c r="F2418" s="0" t="s">
        <v>4142</v>
      </c>
    </row>
    <row r="2419" customFormat="false" ht="12.8" hidden="false" customHeight="false" outlineLevel="0" collapsed="false">
      <c r="A2419" s="0" t="n">
        <v>4</v>
      </c>
      <c r="B2419" s="0" t="n">
        <v>16</v>
      </c>
      <c r="C2419" s="0" t="n">
        <v>1922</v>
      </c>
      <c r="D2419" s="0" t="s">
        <v>4107</v>
      </c>
      <c r="E2419" s="0" t="s">
        <v>3970</v>
      </c>
      <c r="F2419" s="0" t="s">
        <v>4132</v>
      </c>
    </row>
    <row r="2420" customFormat="false" ht="12.8" hidden="false" customHeight="false" outlineLevel="0" collapsed="false">
      <c r="A2420" s="0" t="n">
        <v>4</v>
      </c>
      <c r="B2420" s="0" t="n">
        <v>16</v>
      </c>
      <c r="C2420" s="0" t="n">
        <v>1923</v>
      </c>
      <c r="D2420" s="0" t="s">
        <v>4107</v>
      </c>
      <c r="E2420" s="0" t="s">
        <v>3970</v>
      </c>
      <c r="F2420" s="0" t="s">
        <v>4135</v>
      </c>
    </row>
    <row r="2421" customFormat="false" ht="12.8" hidden="false" customHeight="false" outlineLevel="0" collapsed="false">
      <c r="A2421" s="0" t="n">
        <v>4</v>
      </c>
      <c r="B2421" s="0" t="n">
        <v>16</v>
      </c>
      <c r="C2421" s="0" t="n">
        <v>1924</v>
      </c>
      <c r="D2421" s="0" t="s">
        <v>4107</v>
      </c>
      <c r="E2421" s="0" t="s">
        <v>3970</v>
      </c>
      <c r="F2421" s="0" t="s">
        <v>4139</v>
      </c>
    </row>
    <row r="2422" customFormat="false" ht="12.8" hidden="false" customHeight="false" outlineLevel="0" collapsed="false">
      <c r="A2422" s="0" t="n">
        <v>4</v>
      </c>
      <c r="B2422" s="0" t="n">
        <v>16</v>
      </c>
      <c r="C2422" s="0" t="n">
        <v>1925</v>
      </c>
      <c r="D2422" s="0" t="s">
        <v>4107</v>
      </c>
      <c r="E2422" s="0" t="s">
        <v>3970</v>
      </c>
      <c r="F2422" s="0" t="s">
        <v>4140</v>
      </c>
    </row>
    <row r="2423" customFormat="false" ht="12.8" hidden="false" customHeight="false" outlineLevel="0" collapsed="false">
      <c r="A2423" s="0" t="n">
        <v>4</v>
      </c>
      <c r="B2423" s="0" t="n">
        <v>16</v>
      </c>
      <c r="C2423" s="0" t="n">
        <v>1926</v>
      </c>
      <c r="D2423" s="0" t="s">
        <v>4107</v>
      </c>
      <c r="E2423" s="0" t="s">
        <v>3970</v>
      </c>
      <c r="F2423" s="0" t="s">
        <v>4141</v>
      </c>
    </row>
    <row r="2424" customFormat="false" ht="12.8" hidden="false" customHeight="false" outlineLevel="0" collapsed="false">
      <c r="A2424" s="0" t="n">
        <v>4</v>
      </c>
      <c r="B2424" s="0" t="n">
        <v>16</v>
      </c>
      <c r="C2424" s="0" t="n">
        <v>1927</v>
      </c>
      <c r="D2424" s="0" t="s">
        <v>4107</v>
      </c>
      <c r="E2424" s="0" t="s">
        <v>3970</v>
      </c>
      <c r="F2424" s="0" t="s">
        <v>4144</v>
      </c>
    </row>
    <row r="2425" customFormat="false" ht="12.8" hidden="false" customHeight="false" outlineLevel="0" collapsed="false">
      <c r="A2425" s="0" t="n">
        <v>4</v>
      </c>
      <c r="B2425" s="0" t="n">
        <v>16</v>
      </c>
      <c r="C2425" s="0" t="n">
        <v>1928</v>
      </c>
      <c r="D2425" s="0" t="s">
        <v>4107</v>
      </c>
      <c r="E2425" s="0" t="s">
        <v>3970</v>
      </c>
      <c r="F2425" s="0" t="s">
        <v>4133</v>
      </c>
    </row>
    <row r="2426" customFormat="false" ht="12.8" hidden="false" customHeight="false" outlineLevel="0" collapsed="false">
      <c r="A2426" s="0" t="n">
        <v>4</v>
      </c>
      <c r="B2426" s="0" t="n">
        <v>16</v>
      </c>
      <c r="C2426" s="0" t="n">
        <v>1929</v>
      </c>
      <c r="D2426" s="0" t="s">
        <v>4107</v>
      </c>
      <c r="E2426" s="0" t="s">
        <v>3970</v>
      </c>
      <c r="F2426" s="0" t="s">
        <v>4156</v>
      </c>
    </row>
    <row r="2427" customFormat="false" ht="12.8" hidden="false" customHeight="false" outlineLevel="0" collapsed="false">
      <c r="A2427" s="0" t="n">
        <v>4</v>
      </c>
      <c r="B2427" s="0" t="n">
        <v>16</v>
      </c>
      <c r="C2427" s="0" t="n">
        <v>1930</v>
      </c>
      <c r="D2427" s="0" t="s">
        <v>4107</v>
      </c>
      <c r="E2427" s="0" t="s">
        <v>3970</v>
      </c>
      <c r="F2427" s="0" t="s">
        <v>4134</v>
      </c>
    </row>
    <row r="2428" customFormat="false" ht="12.8" hidden="false" customHeight="false" outlineLevel="0" collapsed="false">
      <c r="A2428" s="0" t="n">
        <v>4</v>
      </c>
      <c r="B2428" s="0" t="n">
        <v>16</v>
      </c>
      <c r="C2428" s="0" t="n">
        <v>1938</v>
      </c>
      <c r="D2428" s="0" t="s">
        <v>4107</v>
      </c>
      <c r="E2428" s="0" t="s">
        <v>3970</v>
      </c>
      <c r="F2428" s="0" t="s">
        <v>4136</v>
      </c>
    </row>
    <row r="2429" customFormat="false" ht="12.8" hidden="false" customHeight="false" outlineLevel="0" collapsed="false">
      <c r="A2429" s="0" t="n">
        <v>4</v>
      </c>
      <c r="B2429" s="0" t="n">
        <v>16</v>
      </c>
      <c r="C2429" s="0" t="n">
        <v>1950</v>
      </c>
      <c r="D2429" s="0" t="s">
        <v>4107</v>
      </c>
      <c r="E2429" s="0" t="s">
        <v>3970</v>
      </c>
      <c r="F2429" s="0" t="s">
        <v>4125</v>
      </c>
    </row>
    <row r="2430" customFormat="false" ht="12.8" hidden="false" customHeight="false" outlineLevel="0" collapsed="false">
      <c r="A2430" s="0" t="n">
        <v>4</v>
      </c>
      <c r="B2430" s="0" t="n">
        <v>16</v>
      </c>
      <c r="C2430" s="0" t="n">
        <v>1968</v>
      </c>
      <c r="D2430" s="0" t="s">
        <v>4107</v>
      </c>
      <c r="E2430" s="0" t="s">
        <v>3970</v>
      </c>
      <c r="F2430" s="0" t="s">
        <v>4111</v>
      </c>
    </row>
    <row r="2431" customFormat="false" ht="12.8" hidden="false" customHeight="false" outlineLevel="0" collapsed="false">
      <c r="A2431" s="0" t="n">
        <v>4</v>
      </c>
      <c r="B2431" s="0" t="n">
        <v>16</v>
      </c>
      <c r="C2431" s="0" t="n">
        <v>1969</v>
      </c>
      <c r="D2431" s="0" t="s">
        <v>4107</v>
      </c>
      <c r="E2431" s="0" t="s">
        <v>3970</v>
      </c>
      <c r="F2431" s="0" t="s">
        <v>4116</v>
      </c>
    </row>
    <row r="2432" customFormat="false" ht="12.8" hidden="false" customHeight="false" outlineLevel="0" collapsed="false">
      <c r="A2432" s="0" t="n">
        <v>4</v>
      </c>
      <c r="B2432" s="0" t="n">
        <v>16</v>
      </c>
      <c r="C2432" s="0" t="n">
        <v>1970</v>
      </c>
      <c r="D2432" s="0" t="s">
        <v>4107</v>
      </c>
      <c r="E2432" s="0" t="s">
        <v>3970</v>
      </c>
      <c r="F2432" s="0" t="s">
        <v>4121</v>
      </c>
    </row>
    <row r="2433" customFormat="false" ht="12.8" hidden="false" customHeight="false" outlineLevel="0" collapsed="false">
      <c r="A2433" s="0" t="n">
        <v>4</v>
      </c>
      <c r="B2433" s="0" t="n">
        <v>16</v>
      </c>
      <c r="C2433" s="0" t="n">
        <v>1971</v>
      </c>
      <c r="D2433" s="0" t="s">
        <v>4107</v>
      </c>
      <c r="E2433" s="0" t="s">
        <v>3970</v>
      </c>
      <c r="F2433" s="0" t="s">
        <v>4137</v>
      </c>
    </row>
    <row r="2434" customFormat="false" ht="12.8" hidden="false" customHeight="false" outlineLevel="0" collapsed="false">
      <c r="A2434" s="0" t="n">
        <v>4</v>
      </c>
      <c r="B2434" s="0" t="n">
        <v>16</v>
      </c>
      <c r="C2434" s="0" t="n">
        <v>1972</v>
      </c>
      <c r="D2434" s="0" t="s">
        <v>4107</v>
      </c>
      <c r="E2434" s="0" t="s">
        <v>3970</v>
      </c>
      <c r="F2434" s="0" t="s">
        <v>4138</v>
      </c>
    </row>
    <row r="2435" customFormat="false" ht="12.8" hidden="false" customHeight="false" outlineLevel="0" collapsed="false">
      <c r="A2435" s="0" t="n">
        <v>4</v>
      </c>
      <c r="B2435" s="0" t="n">
        <v>16</v>
      </c>
      <c r="C2435" s="0" t="n">
        <v>1973</v>
      </c>
      <c r="D2435" s="0" t="s">
        <v>4107</v>
      </c>
      <c r="E2435" s="0" t="s">
        <v>3970</v>
      </c>
      <c r="F2435" s="0" t="s">
        <v>4145</v>
      </c>
    </row>
    <row r="2436" customFormat="false" ht="12.8" hidden="false" customHeight="false" outlineLevel="0" collapsed="false">
      <c r="A2436" s="0" t="n">
        <v>4</v>
      </c>
      <c r="B2436" s="0" t="n">
        <v>16</v>
      </c>
      <c r="C2436" s="0" t="n">
        <v>1974</v>
      </c>
      <c r="D2436" s="0" t="s">
        <v>4107</v>
      </c>
      <c r="E2436" s="0" t="s">
        <v>3970</v>
      </c>
      <c r="F2436" s="0" t="s">
        <v>4146</v>
      </c>
    </row>
    <row r="2437" customFormat="false" ht="12.8" hidden="false" customHeight="false" outlineLevel="0" collapsed="false">
      <c r="A2437" s="0" t="n">
        <v>4</v>
      </c>
      <c r="B2437" s="0" t="n">
        <v>16</v>
      </c>
      <c r="C2437" s="0" t="n">
        <v>1975</v>
      </c>
      <c r="D2437" s="0" t="s">
        <v>4107</v>
      </c>
      <c r="E2437" s="0" t="s">
        <v>3970</v>
      </c>
      <c r="F2437" s="0" t="s">
        <v>4147</v>
      </c>
    </row>
    <row r="2438" customFormat="false" ht="12.8" hidden="false" customHeight="false" outlineLevel="0" collapsed="false">
      <c r="A2438" s="0" t="n">
        <v>4</v>
      </c>
      <c r="B2438" s="0" t="n">
        <v>16</v>
      </c>
      <c r="C2438" s="0" t="n">
        <v>1976</v>
      </c>
      <c r="D2438" s="0" t="s">
        <v>4107</v>
      </c>
      <c r="E2438" s="0" t="s">
        <v>3970</v>
      </c>
      <c r="F2438" s="0" t="s">
        <v>4131</v>
      </c>
    </row>
    <row r="2439" customFormat="false" ht="12.8" hidden="false" customHeight="false" outlineLevel="0" collapsed="false">
      <c r="A2439" s="0" t="n">
        <v>4</v>
      </c>
      <c r="B2439" s="0" t="n">
        <v>16</v>
      </c>
      <c r="C2439" s="0" t="n">
        <v>1981</v>
      </c>
      <c r="D2439" s="0" t="s">
        <v>4107</v>
      </c>
      <c r="E2439" s="0" t="s">
        <v>3970</v>
      </c>
      <c r="F2439" s="0" t="s">
        <v>4157</v>
      </c>
    </row>
    <row r="2440" customFormat="false" ht="12.8" hidden="false" customHeight="false" outlineLevel="0" collapsed="false">
      <c r="A2440" s="0" t="n">
        <v>4</v>
      </c>
      <c r="B2440" s="0" t="n">
        <v>16</v>
      </c>
      <c r="C2440" s="0" t="n">
        <v>1986</v>
      </c>
      <c r="D2440" s="0" t="s">
        <v>4107</v>
      </c>
      <c r="E2440" s="0" t="s">
        <v>3970</v>
      </c>
      <c r="F2440" s="0" t="s">
        <v>4143</v>
      </c>
    </row>
    <row r="2441" customFormat="false" ht="12.8" hidden="false" customHeight="false" outlineLevel="0" collapsed="false">
      <c r="A2441" s="0" t="n">
        <v>4</v>
      </c>
      <c r="B2441" s="0" t="n">
        <v>16</v>
      </c>
      <c r="C2441" s="0" t="n">
        <v>1987</v>
      </c>
      <c r="D2441" s="0" t="s">
        <v>4107</v>
      </c>
      <c r="E2441" s="0" t="s">
        <v>3970</v>
      </c>
      <c r="F2441" s="0" t="s">
        <v>4127</v>
      </c>
    </row>
    <row r="2442" customFormat="false" ht="12.8" hidden="false" customHeight="false" outlineLevel="0" collapsed="false">
      <c r="A2442" s="0" t="n">
        <v>4</v>
      </c>
      <c r="B2442" s="0" t="n">
        <v>16</v>
      </c>
      <c r="C2442" s="0" t="n">
        <v>1993</v>
      </c>
      <c r="D2442" s="0" t="s">
        <v>4107</v>
      </c>
      <c r="E2442" s="0" t="s">
        <v>3970</v>
      </c>
      <c r="F2442" s="0" t="s">
        <v>4166</v>
      </c>
    </row>
    <row r="2443" customFormat="false" ht="12.8" hidden="false" customHeight="false" outlineLevel="0" collapsed="false">
      <c r="A2443" s="0" t="n">
        <v>4</v>
      </c>
      <c r="B2443" s="0" t="n">
        <v>16</v>
      </c>
      <c r="C2443" s="0" t="n">
        <v>2011</v>
      </c>
      <c r="D2443" s="0" t="s">
        <v>4107</v>
      </c>
      <c r="E2443" s="0" t="s">
        <v>3970</v>
      </c>
      <c r="F2443" s="0" t="s">
        <v>4039</v>
      </c>
    </row>
    <row r="2444" customFormat="false" ht="12.8" hidden="false" customHeight="false" outlineLevel="0" collapsed="false">
      <c r="A2444" s="0" t="n">
        <v>4</v>
      </c>
      <c r="B2444" s="0" t="n">
        <v>16</v>
      </c>
      <c r="C2444" s="0" t="n">
        <v>2012</v>
      </c>
      <c r="D2444" s="0" t="s">
        <v>4107</v>
      </c>
      <c r="E2444" s="0" t="s">
        <v>3970</v>
      </c>
      <c r="F2444" s="0" t="s">
        <v>4109</v>
      </c>
    </row>
    <row r="2445" customFormat="false" ht="12.8" hidden="false" customHeight="false" outlineLevel="0" collapsed="false">
      <c r="A2445" s="0" t="n">
        <v>4</v>
      </c>
      <c r="B2445" s="0" t="n">
        <v>16</v>
      </c>
      <c r="C2445" s="0" t="n">
        <v>2013</v>
      </c>
      <c r="D2445" s="0" t="s">
        <v>4107</v>
      </c>
      <c r="E2445" s="0" t="s">
        <v>3970</v>
      </c>
      <c r="F2445" s="0" t="s">
        <v>4110</v>
      </c>
    </row>
    <row r="2446" customFormat="false" ht="12.8" hidden="false" customHeight="false" outlineLevel="0" collapsed="false">
      <c r="A2446" s="0" t="n">
        <v>4</v>
      </c>
      <c r="B2446" s="0" t="n">
        <v>16</v>
      </c>
      <c r="C2446" s="0" t="n">
        <v>2014</v>
      </c>
      <c r="D2446" s="0" t="s">
        <v>4107</v>
      </c>
      <c r="E2446" s="0" t="s">
        <v>3970</v>
      </c>
      <c r="F2446" s="0" t="s">
        <v>4112</v>
      </c>
    </row>
    <row r="2447" customFormat="false" ht="12.8" hidden="false" customHeight="false" outlineLevel="0" collapsed="false">
      <c r="A2447" s="0" t="n">
        <v>4</v>
      </c>
      <c r="B2447" s="0" t="n">
        <v>16</v>
      </c>
      <c r="C2447" s="0" t="n">
        <v>2019</v>
      </c>
      <c r="D2447" s="0" t="s">
        <v>4107</v>
      </c>
      <c r="E2447" s="0" t="s">
        <v>3970</v>
      </c>
      <c r="F2447" s="0" t="s">
        <v>4174</v>
      </c>
    </row>
    <row r="2448" customFormat="false" ht="12.8" hidden="false" customHeight="false" outlineLevel="0" collapsed="false">
      <c r="A2448" s="0" t="n">
        <v>4</v>
      </c>
      <c r="B2448" s="0" t="n">
        <v>16</v>
      </c>
      <c r="C2448" s="0" t="n">
        <v>2020</v>
      </c>
      <c r="D2448" s="0" t="s">
        <v>4107</v>
      </c>
      <c r="E2448" s="0" t="s">
        <v>3970</v>
      </c>
      <c r="F2448" s="0" t="s">
        <v>4174</v>
      </c>
    </row>
    <row r="2449" customFormat="false" ht="12.8" hidden="false" customHeight="false" outlineLevel="0" collapsed="false">
      <c r="A2449" s="0" t="n">
        <v>4</v>
      </c>
      <c r="B2449" s="0" t="n">
        <v>16</v>
      </c>
      <c r="C2449" s="0" t="n">
        <v>2021</v>
      </c>
      <c r="D2449" s="0" t="s">
        <v>4107</v>
      </c>
      <c r="E2449" s="0" t="s">
        <v>3970</v>
      </c>
      <c r="F2449" s="0" t="s">
        <v>4174</v>
      </c>
    </row>
    <row r="2450" customFormat="false" ht="12.8" hidden="false" customHeight="false" outlineLevel="0" collapsed="false">
      <c r="A2450" s="0" t="n">
        <v>4</v>
      </c>
      <c r="B2450" s="0" t="n">
        <v>16</v>
      </c>
      <c r="C2450" s="0" t="n">
        <v>2065</v>
      </c>
      <c r="D2450" s="0" t="s">
        <v>4107</v>
      </c>
      <c r="E2450" s="0" t="s">
        <v>3970</v>
      </c>
      <c r="F2450" s="0" t="s">
        <v>4175</v>
      </c>
    </row>
    <row r="2451" customFormat="false" ht="12.8" hidden="false" customHeight="false" outlineLevel="0" collapsed="false">
      <c r="A2451" s="0" t="n">
        <v>4</v>
      </c>
      <c r="B2451" s="0" t="n">
        <v>16</v>
      </c>
      <c r="C2451" s="0" t="n">
        <v>2066</v>
      </c>
      <c r="D2451" s="0" t="s">
        <v>4107</v>
      </c>
      <c r="E2451" s="0" t="s">
        <v>3970</v>
      </c>
      <c r="F2451" s="0" t="s">
        <v>4175</v>
      </c>
    </row>
    <row r="2452" customFormat="false" ht="12.8" hidden="false" customHeight="false" outlineLevel="0" collapsed="false">
      <c r="A2452" s="0" t="n">
        <v>4</v>
      </c>
      <c r="B2452" s="0" t="n">
        <v>16</v>
      </c>
      <c r="C2452" s="0" t="n">
        <v>2067</v>
      </c>
      <c r="D2452" s="0" t="s">
        <v>4107</v>
      </c>
      <c r="E2452" s="0" t="s">
        <v>3970</v>
      </c>
      <c r="F2452" s="0" t="s">
        <v>4175</v>
      </c>
    </row>
    <row r="2453" customFormat="false" ht="12.8" hidden="false" customHeight="false" outlineLevel="0" collapsed="false">
      <c r="A2453" s="0" t="n">
        <v>4</v>
      </c>
      <c r="B2453" s="0" t="n">
        <v>16</v>
      </c>
      <c r="C2453" s="0" t="n">
        <v>2068</v>
      </c>
      <c r="D2453" s="0" t="s">
        <v>4107</v>
      </c>
      <c r="E2453" s="0" t="s">
        <v>3970</v>
      </c>
      <c r="F2453" s="0" t="s">
        <v>4175</v>
      </c>
    </row>
    <row r="2454" customFormat="false" ht="12.8" hidden="false" customHeight="false" outlineLevel="0" collapsed="false">
      <c r="A2454" s="0" t="n">
        <v>4</v>
      </c>
      <c r="B2454" s="0" t="n">
        <v>16</v>
      </c>
      <c r="C2454" s="0" t="n">
        <v>2069</v>
      </c>
      <c r="D2454" s="0" t="s">
        <v>4107</v>
      </c>
      <c r="E2454" s="0" t="s">
        <v>3970</v>
      </c>
      <c r="F2454" s="0" t="s">
        <v>4175</v>
      </c>
    </row>
    <row r="2455" customFormat="false" ht="12.8" hidden="false" customHeight="false" outlineLevel="0" collapsed="false">
      <c r="A2455" s="0" t="n">
        <v>4</v>
      </c>
      <c r="B2455" s="0" t="n">
        <v>16</v>
      </c>
      <c r="C2455" s="0" t="n">
        <v>2070</v>
      </c>
      <c r="D2455" s="0" t="s">
        <v>4107</v>
      </c>
      <c r="E2455" s="0" t="s">
        <v>3970</v>
      </c>
      <c r="F2455" s="0" t="s">
        <v>4175</v>
      </c>
    </row>
    <row r="2456" customFormat="false" ht="12.8" hidden="false" customHeight="false" outlineLevel="0" collapsed="false">
      <c r="A2456" s="0" t="n">
        <v>4</v>
      </c>
      <c r="B2456" s="0" t="n">
        <v>16</v>
      </c>
      <c r="C2456" s="0" t="n">
        <v>2071</v>
      </c>
      <c r="D2456" s="0" t="s">
        <v>4107</v>
      </c>
      <c r="E2456" s="0" t="s">
        <v>3970</v>
      </c>
      <c r="F2456" s="0" t="s">
        <v>4175</v>
      </c>
    </row>
    <row r="2457" customFormat="false" ht="12.8" hidden="false" customHeight="false" outlineLevel="0" collapsed="false">
      <c r="A2457" s="0" t="n">
        <v>4</v>
      </c>
      <c r="B2457" s="0" t="n">
        <v>16</v>
      </c>
      <c r="C2457" s="0" t="n">
        <v>2072</v>
      </c>
      <c r="D2457" s="0" t="s">
        <v>4107</v>
      </c>
      <c r="E2457" s="0" t="s">
        <v>3970</v>
      </c>
      <c r="F2457" s="0" t="s">
        <v>4175</v>
      </c>
    </row>
    <row r="2458" customFormat="false" ht="12.8" hidden="false" customHeight="false" outlineLevel="0" collapsed="false">
      <c r="A2458" s="0" t="n">
        <v>4</v>
      </c>
      <c r="B2458" s="0" t="n">
        <v>16</v>
      </c>
      <c r="C2458" s="0" t="n">
        <v>2073</v>
      </c>
      <c r="D2458" s="0" t="s">
        <v>4107</v>
      </c>
      <c r="E2458" s="0" t="s">
        <v>3970</v>
      </c>
      <c r="F2458" s="0" t="s">
        <v>4175</v>
      </c>
    </row>
    <row r="2459" customFormat="false" ht="12.8" hidden="false" customHeight="false" outlineLevel="0" collapsed="false">
      <c r="A2459" s="0" t="n">
        <v>4</v>
      </c>
      <c r="B2459" s="0" t="n">
        <v>16</v>
      </c>
      <c r="C2459" s="0" t="n">
        <v>2074</v>
      </c>
      <c r="D2459" s="0" t="s">
        <v>4107</v>
      </c>
      <c r="E2459" s="0" t="s">
        <v>3970</v>
      </c>
      <c r="F2459" s="0" t="s">
        <v>4175</v>
      </c>
    </row>
    <row r="2460" customFormat="false" ht="12.8" hidden="false" customHeight="false" outlineLevel="0" collapsed="false">
      <c r="A2460" s="0" t="n">
        <v>4</v>
      </c>
      <c r="B2460" s="0" t="n">
        <v>16</v>
      </c>
      <c r="C2460" s="0" t="n">
        <v>2075</v>
      </c>
      <c r="D2460" s="0" t="s">
        <v>4107</v>
      </c>
      <c r="E2460" s="0" t="s">
        <v>3970</v>
      </c>
      <c r="F2460" s="0" t="s">
        <v>4175</v>
      </c>
    </row>
    <row r="2461" customFormat="false" ht="12.8" hidden="false" customHeight="false" outlineLevel="0" collapsed="false">
      <c r="A2461" s="0" t="n">
        <v>4</v>
      </c>
      <c r="B2461" s="0" t="n">
        <v>16</v>
      </c>
      <c r="C2461" s="0" t="n">
        <v>2185</v>
      </c>
      <c r="D2461" s="0" t="s">
        <v>4107</v>
      </c>
      <c r="E2461" s="0" t="s">
        <v>3970</v>
      </c>
      <c r="F2461" s="0" t="s">
        <v>4123</v>
      </c>
    </row>
    <row r="2462" customFormat="false" ht="12.8" hidden="false" customHeight="false" outlineLevel="0" collapsed="false">
      <c r="A2462" s="0" t="n">
        <v>4</v>
      </c>
      <c r="B2462" s="0" t="n">
        <v>16</v>
      </c>
      <c r="C2462" s="0" t="n">
        <v>2186</v>
      </c>
      <c r="D2462" s="0" t="s">
        <v>4107</v>
      </c>
      <c r="E2462" s="0" t="s">
        <v>3970</v>
      </c>
      <c r="F2462" s="0" t="s">
        <v>4123</v>
      </c>
    </row>
    <row r="2463" customFormat="false" ht="12.8" hidden="false" customHeight="false" outlineLevel="0" collapsed="false">
      <c r="A2463" s="0" t="n">
        <v>4</v>
      </c>
      <c r="B2463" s="0" t="n">
        <v>16</v>
      </c>
      <c r="C2463" s="0" t="n">
        <v>2187</v>
      </c>
      <c r="D2463" s="0" t="s">
        <v>4107</v>
      </c>
      <c r="E2463" s="0" t="s">
        <v>3970</v>
      </c>
      <c r="F2463" s="0" t="s">
        <v>4123</v>
      </c>
    </row>
    <row r="2464" customFormat="false" ht="12.8" hidden="false" customHeight="false" outlineLevel="0" collapsed="false">
      <c r="A2464" s="0" t="n">
        <v>4</v>
      </c>
      <c r="B2464" s="0" t="n">
        <v>16</v>
      </c>
      <c r="C2464" s="0" t="n">
        <v>2188</v>
      </c>
      <c r="D2464" s="0" t="s">
        <v>4107</v>
      </c>
      <c r="E2464" s="0" t="s">
        <v>3970</v>
      </c>
      <c r="F2464" s="0" t="s">
        <v>4123</v>
      </c>
    </row>
    <row r="2465" customFormat="false" ht="12.8" hidden="false" customHeight="false" outlineLevel="0" collapsed="false">
      <c r="A2465" s="0" t="n">
        <v>4</v>
      </c>
      <c r="B2465" s="0" t="n">
        <v>16</v>
      </c>
      <c r="C2465" s="0" t="n">
        <v>2189</v>
      </c>
      <c r="D2465" s="0" t="s">
        <v>4107</v>
      </c>
      <c r="E2465" s="0" t="s">
        <v>3970</v>
      </c>
      <c r="F2465" s="0" t="s">
        <v>4123</v>
      </c>
    </row>
    <row r="2466" customFormat="false" ht="12.8" hidden="false" customHeight="false" outlineLevel="0" collapsed="false">
      <c r="A2466" s="0" t="n">
        <v>4</v>
      </c>
      <c r="B2466" s="0" t="n">
        <v>16</v>
      </c>
      <c r="C2466" s="0" t="n">
        <v>2190</v>
      </c>
      <c r="D2466" s="0" t="s">
        <v>4107</v>
      </c>
      <c r="E2466" s="0" t="s">
        <v>3970</v>
      </c>
      <c r="F2466" s="0" t="s">
        <v>4123</v>
      </c>
    </row>
    <row r="2467" customFormat="false" ht="12.8" hidden="false" customHeight="false" outlineLevel="0" collapsed="false">
      <c r="A2467" s="0" t="n">
        <v>4</v>
      </c>
      <c r="B2467" s="0" t="n">
        <v>16</v>
      </c>
      <c r="C2467" s="0" t="n">
        <v>2218</v>
      </c>
      <c r="D2467" s="0" t="s">
        <v>4107</v>
      </c>
      <c r="E2467" s="0" t="s">
        <v>3970</v>
      </c>
      <c r="F2467" s="0" t="s">
        <v>4109</v>
      </c>
    </row>
    <row r="2468" customFormat="false" ht="12.8" hidden="false" customHeight="false" outlineLevel="0" collapsed="false">
      <c r="A2468" s="0" t="n">
        <v>4</v>
      </c>
      <c r="B2468" s="0" t="n">
        <v>16</v>
      </c>
      <c r="C2468" s="0" t="n">
        <v>2220</v>
      </c>
      <c r="D2468" s="0" t="s">
        <v>4107</v>
      </c>
      <c r="E2468" s="0" t="s">
        <v>3970</v>
      </c>
      <c r="F2468" s="0" t="s">
        <v>4108</v>
      </c>
    </row>
    <row r="2469" customFormat="false" ht="12.8" hidden="false" customHeight="false" outlineLevel="0" collapsed="false">
      <c r="A2469" s="0" t="n">
        <v>4</v>
      </c>
      <c r="B2469" s="0" t="n">
        <v>16</v>
      </c>
      <c r="C2469" s="0" t="n">
        <v>2221</v>
      </c>
      <c r="D2469" s="0" t="s">
        <v>4107</v>
      </c>
      <c r="E2469" s="0" t="s">
        <v>3970</v>
      </c>
      <c r="F2469" s="0" t="s">
        <v>4039</v>
      </c>
    </row>
    <row r="2470" customFormat="false" ht="12.8" hidden="false" customHeight="false" outlineLevel="0" collapsed="false">
      <c r="A2470" s="0" t="n">
        <v>4</v>
      </c>
      <c r="B2470" s="0" t="n">
        <v>16</v>
      </c>
      <c r="C2470" s="0" t="n">
        <v>2222</v>
      </c>
      <c r="D2470" s="0" t="s">
        <v>4107</v>
      </c>
      <c r="E2470" s="0" t="s">
        <v>3970</v>
      </c>
      <c r="F2470" s="0" t="s">
        <v>4112</v>
      </c>
    </row>
    <row r="2471" customFormat="false" ht="12.8" hidden="false" customHeight="false" outlineLevel="0" collapsed="false">
      <c r="A2471" s="0" t="n">
        <v>4</v>
      </c>
      <c r="B2471" s="0" t="n">
        <v>16</v>
      </c>
      <c r="C2471" s="0" t="n">
        <v>2223</v>
      </c>
      <c r="D2471" s="0" t="s">
        <v>4107</v>
      </c>
      <c r="E2471" s="0" t="s">
        <v>3970</v>
      </c>
      <c r="F2471" s="0" t="s">
        <v>4113</v>
      </c>
    </row>
    <row r="2472" customFormat="false" ht="12.8" hidden="false" customHeight="false" outlineLevel="0" collapsed="false">
      <c r="A2472" s="0" t="n">
        <v>4</v>
      </c>
      <c r="B2472" s="0" t="n">
        <v>16</v>
      </c>
      <c r="C2472" s="0" t="n">
        <v>2224</v>
      </c>
      <c r="D2472" s="0" t="s">
        <v>4107</v>
      </c>
      <c r="E2472" s="0" t="s">
        <v>3970</v>
      </c>
      <c r="F2472" s="0" t="s">
        <v>4114</v>
      </c>
    </row>
    <row r="2473" customFormat="false" ht="12.8" hidden="false" customHeight="false" outlineLevel="0" collapsed="false">
      <c r="A2473" s="0" t="n">
        <v>4</v>
      </c>
      <c r="B2473" s="0" t="n">
        <v>16</v>
      </c>
      <c r="C2473" s="0" t="n">
        <v>2225</v>
      </c>
      <c r="D2473" s="0" t="s">
        <v>4107</v>
      </c>
      <c r="E2473" s="0" t="s">
        <v>3970</v>
      </c>
      <c r="F2473" s="0" t="s">
        <v>4115</v>
      </c>
    </row>
    <row r="2474" customFormat="false" ht="12.8" hidden="false" customHeight="false" outlineLevel="0" collapsed="false">
      <c r="A2474" s="0" t="n">
        <v>4</v>
      </c>
      <c r="B2474" s="0" t="n">
        <v>16</v>
      </c>
      <c r="C2474" s="0" t="n">
        <v>2226</v>
      </c>
      <c r="D2474" s="0" t="s">
        <v>4107</v>
      </c>
      <c r="E2474" s="0" t="s">
        <v>3970</v>
      </c>
      <c r="F2474" s="0" t="s">
        <v>4116</v>
      </c>
    </row>
    <row r="2475" customFormat="false" ht="12.8" hidden="false" customHeight="false" outlineLevel="0" collapsed="false">
      <c r="A2475" s="0" t="n">
        <v>4</v>
      </c>
      <c r="B2475" s="0" t="n">
        <v>16</v>
      </c>
      <c r="C2475" s="0" t="n">
        <v>2227</v>
      </c>
      <c r="D2475" s="0" t="s">
        <v>4107</v>
      </c>
      <c r="E2475" s="0" t="s">
        <v>3970</v>
      </c>
      <c r="F2475" s="0" t="s">
        <v>4156</v>
      </c>
    </row>
    <row r="2476" customFormat="false" ht="12.8" hidden="false" customHeight="false" outlineLevel="0" collapsed="false">
      <c r="A2476" s="0" t="n">
        <v>4</v>
      </c>
      <c r="B2476" s="0" t="n">
        <v>16</v>
      </c>
      <c r="C2476" s="0" t="n">
        <v>2228</v>
      </c>
      <c r="D2476" s="0" t="s">
        <v>4107</v>
      </c>
      <c r="E2476" s="0" t="s">
        <v>3970</v>
      </c>
      <c r="F2476" s="0" t="s">
        <v>4117</v>
      </c>
    </row>
    <row r="2477" customFormat="false" ht="12.8" hidden="false" customHeight="false" outlineLevel="0" collapsed="false">
      <c r="A2477" s="0" t="n">
        <v>4</v>
      </c>
      <c r="B2477" s="0" t="n">
        <v>16</v>
      </c>
      <c r="C2477" s="0" t="n">
        <v>2229</v>
      </c>
      <c r="D2477" s="0" t="s">
        <v>4107</v>
      </c>
      <c r="E2477" s="0" t="s">
        <v>3970</v>
      </c>
      <c r="F2477" s="0" t="s">
        <v>4119</v>
      </c>
    </row>
    <row r="2478" customFormat="false" ht="12.8" hidden="false" customHeight="false" outlineLevel="0" collapsed="false">
      <c r="A2478" s="0" t="n">
        <v>4</v>
      </c>
      <c r="B2478" s="0" t="n">
        <v>16</v>
      </c>
      <c r="C2478" s="0" t="n">
        <v>2230</v>
      </c>
      <c r="D2478" s="0" t="s">
        <v>4107</v>
      </c>
      <c r="E2478" s="0" t="s">
        <v>3970</v>
      </c>
      <c r="F2478" s="0" t="s">
        <v>4120</v>
      </c>
    </row>
    <row r="2479" customFormat="false" ht="12.8" hidden="false" customHeight="false" outlineLevel="0" collapsed="false">
      <c r="A2479" s="0" t="n">
        <v>4</v>
      </c>
      <c r="B2479" s="0" t="n">
        <v>16</v>
      </c>
      <c r="C2479" s="0" t="n">
        <v>2231</v>
      </c>
      <c r="D2479" s="0" t="s">
        <v>4107</v>
      </c>
      <c r="E2479" s="0" t="s">
        <v>3970</v>
      </c>
      <c r="F2479" s="0" t="s">
        <v>4121</v>
      </c>
    </row>
    <row r="2480" customFormat="false" ht="12.8" hidden="false" customHeight="false" outlineLevel="0" collapsed="false">
      <c r="A2480" s="0" t="n">
        <v>4</v>
      </c>
      <c r="B2480" s="0" t="n">
        <v>16</v>
      </c>
      <c r="C2480" s="0" t="n">
        <v>2232</v>
      </c>
      <c r="D2480" s="0" t="s">
        <v>4107</v>
      </c>
      <c r="E2480" s="0" t="s">
        <v>3970</v>
      </c>
      <c r="F2480" s="0" t="s">
        <v>4157</v>
      </c>
    </row>
    <row r="2481" customFormat="false" ht="12.8" hidden="false" customHeight="false" outlineLevel="0" collapsed="false">
      <c r="A2481" s="0" t="n">
        <v>4</v>
      </c>
      <c r="B2481" s="0" t="n">
        <v>16</v>
      </c>
      <c r="C2481" s="0" t="n">
        <v>2233</v>
      </c>
      <c r="D2481" s="0" t="s">
        <v>4107</v>
      </c>
      <c r="E2481" s="0" t="s">
        <v>3970</v>
      </c>
      <c r="F2481" s="0" t="s">
        <v>4122</v>
      </c>
    </row>
    <row r="2482" customFormat="false" ht="12.8" hidden="false" customHeight="false" outlineLevel="0" collapsed="false">
      <c r="A2482" s="0" t="n">
        <v>4</v>
      </c>
      <c r="B2482" s="0" t="n">
        <v>16</v>
      </c>
      <c r="C2482" s="0" t="n">
        <v>2234</v>
      </c>
      <c r="D2482" s="0" t="s">
        <v>4107</v>
      </c>
      <c r="E2482" s="0" t="s">
        <v>3970</v>
      </c>
      <c r="F2482" s="0" t="s">
        <v>4124</v>
      </c>
    </row>
    <row r="2483" customFormat="false" ht="12.8" hidden="false" customHeight="false" outlineLevel="0" collapsed="false">
      <c r="A2483" s="0" t="n">
        <v>4</v>
      </c>
      <c r="B2483" s="0" t="n">
        <v>16</v>
      </c>
      <c r="C2483" s="0" t="n">
        <v>2235</v>
      </c>
      <c r="D2483" s="0" t="s">
        <v>4107</v>
      </c>
      <c r="E2483" s="0" t="s">
        <v>3970</v>
      </c>
      <c r="F2483" s="0" t="s">
        <v>4125</v>
      </c>
    </row>
    <row r="2484" customFormat="false" ht="12.8" hidden="false" customHeight="false" outlineLevel="0" collapsed="false">
      <c r="A2484" s="0" t="n">
        <v>4</v>
      </c>
      <c r="B2484" s="0" t="n">
        <v>16</v>
      </c>
      <c r="C2484" s="0" t="n">
        <v>2236</v>
      </c>
      <c r="D2484" s="0" t="s">
        <v>4107</v>
      </c>
      <c r="E2484" s="0" t="s">
        <v>3970</v>
      </c>
      <c r="F2484" s="0" t="s">
        <v>4127</v>
      </c>
    </row>
    <row r="2485" customFormat="false" ht="12.8" hidden="false" customHeight="false" outlineLevel="0" collapsed="false">
      <c r="A2485" s="0" t="n">
        <v>4</v>
      </c>
      <c r="B2485" s="0" t="n">
        <v>16</v>
      </c>
      <c r="C2485" s="0" t="n">
        <v>2237</v>
      </c>
      <c r="D2485" s="0" t="s">
        <v>4107</v>
      </c>
      <c r="E2485" s="0" t="s">
        <v>3970</v>
      </c>
      <c r="F2485" s="0" t="s">
        <v>4158</v>
      </c>
    </row>
    <row r="2486" customFormat="false" ht="12.8" hidden="false" customHeight="false" outlineLevel="0" collapsed="false">
      <c r="A2486" s="0" t="n">
        <v>4</v>
      </c>
      <c r="B2486" s="0" t="n">
        <v>16</v>
      </c>
      <c r="C2486" s="0" t="n">
        <v>2238</v>
      </c>
      <c r="D2486" s="0" t="s">
        <v>4107</v>
      </c>
      <c r="E2486" s="0" t="s">
        <v>3970</v>
      </c>
      <c r="F2486" s="0" t="s">
        <v>4130</v>
      </c>
    </row>
    <row r="2487" customFormat="false" ht="12.8" hidden="false" customHeight="false" outlineLevel="0" collapsed="false">
      <c r="A2487" s="0" t="n">
        <v>4</v>
      </c>
      <c r="B2487" s="0" t="n">
        <v>16</v>
      </c>
      <c r="C2487" s="0" t="n">
        <v>2239</v>
      </c>
      <c r="D2487" s="0" t="s">
        <v>4107</v>
      </c>
      <c r="E2487" s="0" t="s">
        <v>3970</v>
      </c>
      <c r="F2487" s="0" t="s">
        <v>4131</v>
      </c>
    </row>
    <row r="2488" customFormat="false" ht="12.8" hidden="false" customHeight="false" outlineLevel="0" collapsed="false">
      <c r="A2488" s="0" t="n">
        <v>4</v>
      </c>
      <c r="B2488" s="0" t="n">
        <v>16</v>
      </c>
      <c r="C2488" s="0" t="n">
        <v>2240</v>
      </c>
      <c r="D2488" s="0" t="s">
        <v>4107</v>
      </c>
      <c r="E2488" s="0" t="s">
        <v>3970</v>
      </c>
      <c r="F2488" s="0" t="s">
        <v>4086</v>
      </c>
    </row>
    <row r="2489" customFormat="false" ht="12.8" hidden="false" customHeight="false" outlineLevel="0" collapsed="false">
      <c r="A2489" s="0" t="n">
        <v>4</v>
      </c>
      <c r="B2489" s="0" t="n">
        <v>16</v>
      </c>
      <c r="C2489" s="0" t="n">
        <v>2241</v>
      </c>
      <c r="D2489" s="0" t="s">
        <v>4107</v>
      </c>
      <c r="E2489" s="0" t="s">
        <v>3970</v>
      </c>
      <c r="F2489" s="0" t="s">
        <v>4132</v>
      </c>
    </row>
    <row r="2490" customFormat="false" ht="12.8" hidden="false" customHeight="false" outlineLevel="0" collapsed="false">
      <c r="A2490" s="0" t="n">
        <v>4</v>
      </c>
      <c r="B2490" s="0" t="n">
        <v>16</v>
      </c>
      <c r="C2490" s="0" t="n">
        <v>2242</v>
      </c>
      <c r="D2490" s="0" t="s">
        <v>4107</v>
      </c>
      <c r="E2490" s="0" t="s">
        <v>3970</v>
      </c>
      <c r="F2490" s="0" t="s">
        <v>4133</v>
      </c>
    </row>
    <row r="2491" customFormat="false" ht="12.8" hidden="false" customHeight="false" outlineLevel="0" collapsed="false">
      <c r="A2491" s="0" t="n">
        <v>4</v>
      </c>
      <c r="B2491" s="0" t="n">
        <v>16</v>
      </c>
      <c r="C2491" s="0" t="n">
        <v>2243</v>
      </c>
      <c r="D2491" s="0" t="s">
        <v>4107</v>
      </c>
      <c r="E2491" s="0" t="s">
        <v>3970</v>
      </c>
      <c r="F2491" s="0" t="s">
        <v>4134</v>
      </c>
    </row>
    <row r="2492" customFormat="false" ht="12.8" hidden="false" customHeight="false" outlineLevel="0" collapsed="false">
      <c r="A2492" s="0" t="n">
        <v>4</v>
      </c>
      <c r="B2492" s="0" t="n">
        <v>16</v>
      </c>
      <c r="C2492" s="0" t="n">
        <v>2244</v>
      </c>
      <c r="D2492" s="0" t="s">
        <v>4107</v>
      </c>
      <c r="E2492" s="0" t="s">
        <v>3970</v>
      </c>
      <c r="F2492" s="0" t="s">
        <v>4135</v>
      </c>
    </row>
    <row r="2493" customFormat="false" ht="12.8" hidden="false" customHeight="false" outlineLevel="0" collapsed="false">
      <c r="A2493" s="0" t="n">
        <v>4</v>
      </c>
      <c r="B2493" s="0" t="n">
        <v>16</v>
      </c>
      <c r="C2493" s="0" t="n">
        <v>2245</v>
      </c>
      <c r="D2493" s="0" t="s">
        <v>4107</v>
      </c>
      <c r="E2493" s="0" t="s">
        <v>3970</v>
      </c>
      <c r="F2493" s="0" t="s">
        <v>4136</v>
      </c>
    </row>
    <row r="2494" customFormat="false" ht="12.8" hidden="false" customHeight="false" outlineLevel="0" collapsed="false">
      <c r="A2494" s="0" t="n">
        <v>4</v>
      </c>
      <c r="B2494" s="0" t="n">
        <v>16</v>
      </c>
      <c r="C2494" s="0" t="n">
        <v>2246</v>
      </c>
      <c r="D2494" s="0" t="s">
        <v>4107</v>
      </c>
      <c r="E2494" s="0" t="s">
        <v>3970</v>
      </c>
      <c r="F2494" s="0" t="s">
        <v>4137</v>
      </c>
    </row>
    <row r="2495" customFormat="false" ht="12.8" hidden="false" customHeight="false" outlineLevel="0" collapsed="false">
      <c r="A2495" s="0" t="n">
        <v>4</v>
      </c>
      <c r="B2495" s="0" t="n">
        <v>16</v>
      </c>
      <c r="C2495" s="0" t="n">
        <v>2247</v>
      </c>
      <c r="D2495" s="0" t="s">
        <v>4107</v>
      </c>
      <c r="E2495" s="0" t="s">
        <v>3970</v>
      </c>
      <c r="F2495" s="0" t="s">
        <v>4138</v>
      </c>
    </row>
    <row r="2496" customFormat="false" ht="12.8" hidden="false" customHeight="false" outlineLevel="0" collapsed="false">
      <c r="A2496" s="0" t="n">
        <v>4</v>
      </c>
      <c r="B2496" s="0" t="n">
        <v>16</v>
      </c>
      <c r="C2496" s="0" t="n">
        <v>2248</v>
      </c>
      <c r="D2496" s="0" t="s">
        <v>4107</v>
      </c>
      <c r="E2496" s="0" t="s">
        <v>3970</v>
      </c>
      <c r="F2496" s="0" t="s">
        <v>4139</v>
      </c>
    </row>
    <row r="2497" customFormat="false" ht="12.8" hidden="false" customHeight="false" outlineLevel="0" collapsed="false">
      <c r="A2497" s="0" t="n">
        <v>4</v>
      </c>
      <c r="B2497" s="0" t="n">
        <v>16</v>
      </c>
      <c r="C2497" s="0" t="n">
        <v>2249</v>
      </c>
      <c r="D2497" s="0" t="s">
        <v>4107</v>
      </c>
      <c r="E2497" s="0" t="s">
        <v>3970</v>
      </c>
      <c r="F2497" s="0" t="s">
        <v>4140</v>
      </c>
    </row>
    <row r="2498" customFormat="false" ht="12.8" hidden="false" customHeight="false" outlineLevel="0" collapsed="false">
      <c r="A2498" s="0" t="n">
        <v>4</v>
      </c>
      <c r="B2498" s="0" t="n">
        <v>16</v>
      </c>
      <c r="C2498" s="0" t="n">
        <v>2250</v>
      </c>
      <c r="D2498" s="0" t="s">
        <v>4107</v>
      </c>
      <c r="E2498" s="0" t="s">
        <v>3970</v>
      </c>
      <c r="F2498" s="0" t="s">
        <v>4141</v>
      </c>
    </row>
    <row r="2499" customFormat="false" ht="12.8" hidden="false" customHeight="false" outlineLevel="0" collapsed="false">
      <c r="A2499" s="0" t="n">
        <v>4</v>
      </c>
      <c r="B2499" s="0" t="n">
        <v>16</v>
      </c>
      <c r="C2499" s="0" t="n">
        <v>2251</v>
      </c>
      <c r="D2499" s="0" t="s">
        <v>4107</v>
      </c>
      <c r="E2499" s="0" t="s">
        <v>3970</v>
      </c>
      <c r="F2499" s="0" t="s">
        <v>4142</v>
      </c>
    </row>
    <row r="2500" customFormat="false" ht="12.8" hidden="false" customHeight="false" outlineLevel="0" collapsed="false">
      <c r="A2500" s="0" t="n">
        <v>4</v>
      </c>
      <c r="B2500" s="0" t="n">
        <v>16</v>
      </c>
      <c r="C2500" s="0" t="n">
        <v>2252</v>
      </c>
      <c r="D2500" s="0" t="s">
        <v>4107</v>
      </c>
      <c r="E2500" s="0" t="s">
        <v>3970</v>
      </c>
      <c r="F2500" s="0" t="s">
        <v>4143</v>
      </c>
    </row>
    <row r="2501" customFormat="false" ht="12.8" hidden="false" customHeight="false" outlineLevel="0" collapsed="false">
      <c r="A2501" s="0" t="n">
        <v>4</v>
      </c>
      <c r="B2501" s="0" t="n">
        <v>16</v>
      </c>
      <c r="C2501" s="0" t="n">
        <v>2253</v>
      </c>
      <c r="D2501" s="0" t="s">
        <v>4107</v>
      </c>
      <c r="E2501" s="0" t="s">
        <v>3970</v>
      </c>
      <c r="F2501" s="0" t="s">
        <v>4144</v>
      </c>
    </row>
    <row r="2502" customFormat="false" ht="12.8" hidden="false" customHeight="false" outlineLevel="0" collapsed="false">
      <c r="A2502" s="0" t="n">
        <v>4</v>
      </c>
      <c r="B2502" s="0" t="n">
        <v>16</v>
      </c>
      <c r="C2502" s="0" t="n">
        <v>2254</v>
      </c>
      <c r="D2502" s="0" t="s">
        <v>4107</v>
      </c>
      <c r="E2502" s="0" t="s">
        <v>3970</v>
      </c>
      <c r="F2502" s="0" t="s">
        <v>4145</v>
      </c>
    </row>
    <row r="2503" customFormat="false" ht="12.8" hidden="false" customHeight="false" outlineLevel="0" collapsed="false">
      <c r="A2503" s="0" t="n">
        <v>4</v>
      </c>
      <c r="B2503" s="0" t="n">
        <v>16</v>
      </c>
      <c r="C2503" s="0" t="n">
        <v>2255</v>
      </c>
      <c r="D2503" s="0" t="s">
        <v>4107</v>
      </c>
      <c r="E2503" s="0" t="s">
        <v>3970</v>
      </c>
      <c r="F2503" s="0" t="s">
        <v>4146</v>
      </c>
    </row>
    <row r="2504" customFormat="false" ht="12.8" hidden="false" customHeight="false" outlineLevel="0" collapsed="false">
      <c r="A2504" s="0" t="n">
        <v>4</v>
      </c>
      <c r="B2504" s="0" t="n">
        <v>16</v>
      </c>
      <c r="C2504" s="0" t="n">
        <v>2256</v>
      </c>
      <c r="D2504" s="0" t="s">
        <v>4107</v>
      </c>
      <c r="E2504" s="0" t="s">
        <v>3970</v>
      </c>
      <c r="F2504" s="0" t="s">
        <v>4147</v>
      </c>
    </row>
    <row r="2505" customFormat="false" ht="12.8" hidden="false" customHeight="false" outlineLevel="0" collapsed="false">
      <c r="A2505" s="0" t="n">
        <v>4</v>
      </c>
      <c r="B2505" s="0" t="n">
        <v>16</v>
      </c>
      <c r="C2505" s="0" t="n">
        <v>2317</v>
      </c>
      <c r="D2505" s="0" t="s">
        <v>4107</v>
      </c>
      <c r="E2505" s="0" t="s">
        <v>3970</v>
      </c>
      <c r="F2505" s="0" t="s">
        <v>4176</v>
      </c>
    </row>
    <row r="2506" customFormat="false" ht="12.8" hidden="false" customHeight="false" outlineLevel="0" collapsed="false">
      <c r="A2506" s="0" t="n">
        <v>4</v>
      </c>
      <c r="B2506" s="0" t="n">
        <v>16</v>
      </c>
      <c r="C2506" s="0" t="n">
        <v>2318</v>
      </c>
      <c r="D2506" s="0" t="s">
        <v>4107</v>
      </c>
      <c r="E2506" s="0" t="s">
        <v>3970</v>
      </c>
      <c r="F2506" s="0" t="s">
        <v>4176</v>
      </c>
    </row>
    <row r="2507" customFormat="false" ht="12.8" hidden="false" customHeight="false" outlineLevel="0" collapsed="false">
      <c r="A2507" s="0" t="n">
        <v>4</v>
      </c>
      <c r="B2507" s="0" t="n">
        <v>16</v>
      </c>
      <c r="C2507" s="0" t="n">
        <v>2319</v>
      </c>
      <c r="D2507" s="0" t="s">
        <v>4107</v>
      </c>
      <c r="E2507" s="0" t="s">
        <v>3970</v>
      </c>
      <c r="F2507" s="0" t="s">
        <v>4177</v>
      </c>
    </row>
    <row r="2508" customFormat="false" ht="12.8" hidden="false" customHeight="false" outlineLevel="0" collapsed="false">
      <c r="A2508" s="0" t="n">
        <v>4</v>
      </c>
      <c r="B2508" s="0" t="n">
        <v>16</v>
      </c>
      <c r="C2508" s="0" t="n">
        <v>2320</v>
      </c>
      <c r="D2508" s="0" t="s">
        <v>4107</v>
      </c>
      <c r="E2508" s="0" t="s">
        <v>3970</v>
      </c>
      <c r="F2508" s="0" t="s">
        <v>4177</v>
      </c>
    </row>
    <row r="2509" customFormat="false" ht="12.8" hidden="false" customHeight="false" outlineLevel="0" collapsed="false">
      <c r="A2509" s="0" t="n">
        <v>4</v>
      </c>
      <c r="B2509" s="0" t="n">
        <v>16</v>
      </c>
      <c r="C2509" s="0" t="n">
        <v>2321</v>
      </c>
      <c r="D2509" s="0" t="s">
        <v>4107</v>
      </c>
      <c r="E2509" s="0" t="s">
        <v>3970</v>
      </c>
      <c r="F2509" s="0" t="s">
        <v>4177</v>
      </c>
    </row>
    <row r="2510" customFormat="false" ht="12.8" hidden="false" customHeight="false" outlineLevel="0" collapsed="false">
      <c r="A2510" s="0" t="n">
        <v>4</v>
      </c>
      <c r="B2510" s="0" t="n">
        <v>16</v>
      </c>
      <c r="C2510" s="0" t="n">
        <v>2322</v>
      </c>
      <c r="D2510" s="0" t="s">
        <v>4107</v>
      </c>
      <c r="E2510" s="0" t="s">
        <v>3970</v>
      </c>
      <c r="F2510" s="0" t="s">
        <v>4177</v>
      </c>
    </row>
    <row r="2511" customFormat="false" ht="12.8" hidden="false" customHeight="false" outlineLevel="0" collapsed="false">
      <c r="A2511" s="0" t="n">
        <v>4</v>
      </c>
      <c r="B2511" s="0" t="n">
        <v>16</v>
      </c>
      <c r="C2511" s="0" t="n">
        <v>2323</v>
      </c>
      <c r="D2511" s="0" t="s">
        <v>4107</v>
      </c>
      <c r="E2511" s="0" t="s">
        <v>3970</v>
      </c>
      <c r="F2511" s="0" t="s">
        <v>4177</v>
      </c>
    </row>
    <row r="2512" customFormat="false" ht="12.8" hidden="false" customHeight="false" outlineLevel="0" collapsed="false">
      <c r="A2512" s="0" t="n">
        <v>4</v>
      </c>
      <c r="B2512" s="0" t="n">
        <v>16</v>
      </c>
      <c r="C2512" s="0" t="n">
        <v>2324</v>
      </c>
      <c r="D2512" s="0" t="s">
        <v>4107</v>
      </c>
      <c r="E2512" s="0" t="s">
        <v>3970</v>
      </c>
      <c r="F2512" s="0" t="s">
        <v>4177</v>
      </c>
    </row>
    <row r="2513" customFormat="false" ht="12.8" hidden="false" customHeight="false" outlineLevel="0" collapsed="false">
      <c r="A2513" s="0" t="n">
        <v>4</v>
      </c>
      <c r="B2513" s="0" t="n">
        <v>16</v>
      </c>
      <c r="C2513" s="0" t="n">
        <v>2325</v>
      </c>
      <c r="D2513" s="0" t="s">
        <v>4107</v>
      </c>
      <c r="E2513" s="0" t="s">
        <v>3970</v>
      </c>
      <c r="F2513" s="0" t="s">
        <v>4177</v>
      </c>
    </row>
    <row r="2514" customFormat="false" ht="12.8" hidden="false" customHeight="false" outlineLevel="0" collapsed="false">
      <c r="A2514" s="0" t="n">
        <v>4</v>
      </c>
      <c r="B2514" s="0" t="n">
        <v>16</v>
      </c>
      <c r="C2514" s="0" t="n">
        <v>2326</v>
      </c>
      <c r="D2514" s="0" t="s">
        <v>4107</v>
      </c>
      <c r="E2514" s="0" t="s">
        <v>3970</v>
      </c>
      <c r="F2514" s="0" t="s">
        <v>4177</v>
      </c>
    </row>
    <row r="2515" customFormat="false" ht="12.8" hidden="false" customHeight="false" outlineLevel="0" collapsed="false">
      <c r="A2515" s="0" t="n">
        <v>4</v>
      </c>
      <c r="B2515" s="0" t="n">
        <v>16</v>
      </c>
      <c r="C2515" s="0" t="n">
        <v>2327</v>
      </c>
      <c r="D2515" s="0" t="s">
        <v>4107</v>
      </c>
      <c r="E2515" s="0" t="s">
        <v>3970</v>
      </c>
      <c r="F2515" s="0" t="s">
        <v>4177</v>
      </c>
    </row>
    <row r="2516" customFormat="false" ht="12.8" hidden="false" customHeight="false" outlineLevel="0" collapsed="false">
      <c r="A2516" s="0" t="n">
        <v>4</v>
      </c>
      <c r="B2516" s="0" t="n">
        <v>16</v>
      </c>
      <c r="C2516" s="0" t="n">
        <v>2328</v>
      </c>
      <c r="D2516" s="0" t="s">
        <v>4107</v>
      </c>
      <c r="E2516" s="0" t="s">
        <v>3970</v>
      </c>
      <c r="F2516" s="0" t="s">
        <v>4177</v>
      </c>
    </row>
    <row r="2517" customFormat="false" ht="12.8" hidden="false" customHeight="false" outlineLevel="0" collapsed="false">
      <c r="A2517" s="0" t="n">
        <v>4</v>
      </c>
      <c r="B2517" s="0" t="n">
        <v>16</v>
      </c>
      <c r="C2517" s="0" t="n">
        <v>2329</v>
      </c>
      <c r="D2517" s="0" t="s">
        <v>4107</v>
      </c>
      <c r="E2517" s="0" t="s">
        <v>3970</v>
      </c>
      <c r="F2517" s="0" t="s">
        <v>4177</v>
      </c>
    </row>
    <row r="2518" customFormat="false" ht="12.8" hidden="false" customHeight="false" outlineLevel="0" collapsed="false">
      <c r="A2518" s="0" t="n">
        <v>4</v>
      </c>
      <c r="B2518" s="0" t="n">
        <v>16</v>
      </c>
      <c r="C2518" s="0" t="n">
        <v>2330</v>
      </c>
      <c r="D2518" s="0" t="s">
        <v>4107</v>
      </c>
      <c r="E2518" s="0" t="s">
        <v>3970</v>
      </c>
      <c r="F2518" s="0" t="s">
        <v>4177</v>
      </c>
    </row>
    <row r="2519" customFormat="false" ht="12.8" hidden="false" customHeight="false" outlineLevel="0" collapsed="false">
      <c r="A2519" s="0" t="n">
        <v>4</v>
      </c>
      <c r="B2519" s="0" t="n">
        <v>16</v>
      </c>
      <c r="C2519" s="0" t="n">
        <v>2331</v>
      </c>
      <c r="D2519" s="0" t="s">
        <v>4107</v>
      </c>
      <c r="E2519" s="0" t="s">
        <v>3970</v>
      </c>
      <c r="F2519" s="0" t="s">
        <v>4177</v>
      </c>
    </row>
    <row r="2520" customFormat="false" ht="12.8" hidden="false" customHeight="false" outlineLevel="0" collapsed="false">
      <c r="A2520" s="0" t="n">
        <v>4</v>
      </c>
      <c r="B2520" s="0" t="n">
        <v>16</v>
      </c>
      <c r="C2520" s="0" t="n">
        <v>2332</v>
      </c>
      <c r="D2520" s="0" t="s">
        <v>4107</v>
      </c>
      <c r="E2520" s="0" t="s">
        <v>3970</v>
      </c>
      <c r="F2520" s="0" t="s">
        <v>4177</v>
      </c>
    </row>
    <row r="2521" customFormat="false" ht="12.8" hidden="false" customHeight="false" outlineLevel="0" collapsed="false">
      <c r="A2521" s="0" t="n">
        <v>4</v>
      </c>
      <c r="B2521" s="0" t="n">
        <v>16</v>
      </c>
      <c r="C2521" s="0" t="n">
        <v>2333</v>
      </c>
      <c r="D2521" s="0" t="s">
        <v>4107</v>
      </c>
      <c r="E2521" s="0" t="s">
        <v>3970</v>
      </c>
      <c r="F2521" s="0" t="s">
        <v>4177</v>
      </c>
    </row>
    <row r="2522" customFormat="false" ht="12.8" hidden="false" customHeight="false" outlineLevel="0" collapsed="false">
      <c r="A2522" s="0" t="n">
        <v>4</v>
      </c>
      <c r="B2522" s="0" t="n">
        <v>16</v>
      </c>
      <c r="C2522" s="0" t="n">
        <v>2354</v>
      </c>
      <c r="D2522" s="0" t="s">
        <v>4107</v>
      </c>
      <c r="E2522" s="0" t="s">
        <v>3970</v>
      </c>
      <c r="F2522" s="0" t="s">
        <v>4175</v>
      </c>
    </row>
    <row r="2523" customFormat="false" ht="12.8" hidden="false" customHeight="false" outlineLevel="0" collapsed="false">
      <c r="A2523" s="0" t="n">
        <v>4</v>
      </c>
      <c r="B2523" s="0" t="n">
        <v>16</v>
      </c>
      <c r="C2523" s="0" t="n">
        <v>2358</v>
      </c>
      <c r="D2523" s="0" t="s">
        <v>4107</v>
      </c>
      <c r="E2523" s="0" t="s">
        <v>3970</v>
      </c>
      <c r="F2523" s="0" t="s">
        <v>4121</v>
      </c>
    </row>
    <row r="2524" customFormat="false" ht="12.8" hidden="false" customHeight="false" outlineLevel="0" collapsed="false">
      <c r="A2524" s="0" t="n">
        <v>4</v>
      </c>
      <c r="B2524" s="0" t="n">
        <v>16</v>
      </c>
      <c r="C2524" s="0" t="n">
        <v>2366</v>
      </c>
      <c r="D2524" s="0" t="s">
        <v>4107</v>
      </c>
      <c r="E2524" s="0" t="s">
        <v>3970</v>
      </c>
      <c r="F2524" s="0" t="s">
        <v>4171</v>
      </c>
    </row>
    <row r="2525" customFormat="false" ht="12.8" hidden="false" customHeight="false" outlineLevel="0" collapsed="false">
      <c r="A2525" s="0" t="n">
        <v>4</v>
      </c>
      <c r="B2525" s="0" t="n">
        <v>16</v>
      </c>
      <c r="C2525" s="0" t="n">
        <v>2367</v>
      </c>
      <c r="D2525" s="0" t="s">
        <v>4107</v>
      </c>
      <c r="E2525" s="0" t="s">
        <v>3970</v>
      </c>
      <c r="F2525" s="0" t="s">
        <v>4176</v>
      </c>
    </row>
    <row r="2526" customFormat="false" ht="12.8" hidden="false" customHeight="false" outlineLevel="0" collapsed="false">
      <c r="A2526" s="0" t="n">
        <v>4</v>
      </c>
      <c r="B2526" s="0" t="n">
        <v>16</v>
      </c>
      <c r="C2526" s="0" t="n">
        <v>2371</v>
      </c>
      <c r="D2526" s="0" t="s">
        <v>4107</v>
      </c>
      <c r="E2526" s="0" t="s">
        <v>3970</v>
      </c>
      <c r="F2526" s="0" t="s">
        <v>4174</v>
      </c>
    </row>
    <row r="2527" customFormat="false" ht="12.8" hidden="false" customHeight="false" outlineLevel="0" collapsed="false">
      <c r="A2527" s="0" t="n">
        <v>4</v>
      </c>
      <c r="B2527" s="0" t="n">
        <v>16</v>
      </c>
      <c r="C2527" s="0" t="n">
        <v>2372</v>
      </c>
      <c r="D2527" s="0" t="s">
        <v>4107</v>
      </c>
      <c r="E2527" s="0" t="s">
        <v>3970</v>
      </c>
      <c r="F2527" s="0" t="s">
        <v>4175</v>
      </c>
    </row>
    <row r="2528" customFormat="false" ht="12.8" hidden="false" customHeight="false" outlineLevel="0" collapsed="false">
      <c r="A2528" s="0" t="n">
        <v>4</v>
      </c>
      <c r="B2528" s="0" t="n">
        <v>16</v>
      </c>
      <c r="C2528" s="0" t="n">
        <v>2400</v>
      </c>
      <c r="D2528" s="0" t="s">
        <v>4107</v>
      </c>
      <c r="E2528" s="0" t="s">
        <v>3970</v>
      </c>
      <c r="F2528" s="0" t="s">
        <v>4143</v>
      </c>
    </row>
    <row r="2529" customFormat="false" ht="12.8" hidden="false" customHeight="false" outlineLevel="0" collapsed="false">
      <c r="A2529" s="0" t="n">
        <v>4</v>
      </c>
      <c r="B2529" s="0" t="n">
        <v>16</v>
      </c>
      <c r="C2529" s="0" t="n">
        <v>2407</v>
      </c>
      <c r="D2529" s="0" t="s">
        <v>4107</v>
      </c>
      <c r="E2529" s="0" t="s">
        <v>3970</v>
      </c>
      <c r="F2529" s="0" t="s">
        <v>4109</v>
      </c>
    </row>
    <row r="2530" customFormat="false" ht="12.8" hidden="false" customHeight="false" outlineLevel="0" collapsed="false">
      <c r="A2530" s="0" t="n">
        <v>4</v>
      </c>
      <c r="B2530" s="0" t="n">
        <v>16</v>
      </c>
      <c r="C2530" s="0" t="n">
        <v>2408</v>
      </c>
      <c r="D2530" s="0" t="s">
        <v>4107</v>
      </c>
      <c r="E2530" s="0" t="s">
        <v>3970</v>
      </c>
      <c r="F2530" s="0" t="s">
        <v>4109</v>
      </c>
    </row>
    <row r="2531" customFormat="false" ht="12.8" hidden="false" customHeight="false" outlineLevel="0" collapsed="false">
      <c r="A2531" s="0" t="n">
        <v>4</v>
      </c>
      <c r="B2531" s="0" t="n">
        <v>16</v>
      </c>
      <c r="C2531" s="0" t="n">
        <v>2416</v>
      </c>
      <c r="D2531" s="0" t="s">
        <v>4107</v>
      </c>
      <c r="E2531" s="0" t="s">
        <v>3970</v>
      </c>
      <c r="F2531" s="0" t="s">
        <v>4127</v>
      </c>
    </row>
    <row r="2532" customFormat="false" ht="12.8" hidden="false" customHeight="false" outlineLevel="0" collapsed="false">
      <c r="A2532" s="0" t="n">
        <v>4</v>
      </c>
      <c r="B2532" s="0" t="n">
        <v>16</v>
      </c>
      <c r="C2532" s="0" t="n">
        <v>2419</v>
      </c>
      <c r="D2532" s="0" t="s">
        <v>4107</v>
      </c>
      <c r="E2532" s="0" t="s">
        <v>3970</v>
      </c>
      <c r="F2532" s="0" t="s">
        <v>4156</v>
      </c>
    </row>
    <row r="2533" customFormat="false" ht="12.8" hidden="false" customHeight="false" outlineLevel="0" collapsed="false">
      <c r="A2533" s="0" t="n">
        <v>4</v>
      </c>
      <c r="B2533" s="0" t="n">
        <v>16</v>
      </c>
      <c r="C2533" s="0" t="n">
        <v>2420</v>
      </c>
      <c r="D2533" s="0" t="s">
        <v>4107</v>
      </c>
      <c r="E2533" s="0" t="s">
        <v>3970</v>
      </c>
      <c r="F2533" s="0" t="s">
        <v>4156</v>
      </c>
    </row>
    <row r="2534" customFormat="false" ht="12.8" hidden="false" customHeight="false" outlineLevel="0" collapsed="false">
      <c r="A2534" s="0" t="n">
        <v>4</v>
      </c>
      <c r="B2534" s="0" t="n">
        <v>16</v>
      </c>
      <c r="C2534" s="0" t="n">
        <v>2421</v>
      </c>
      <c r="D2534" s="0" t="s">
        <v>4107</v>
      </c>
      <c r="E2534" s="0" t="s">
        <v>3970</v>
      </c>
      <c r="F2534" s="0" t="s">
        <v>4156</v>
      </c>
    </row>
    <row r="2535" customFormat="false" ht="12.8" hidden="false" customHeight="false" outlineLevel="0" collapsed="false">
      <c r="A2535" s="0" t="n">
        <v>4</v>
      </c>
      <c r="B2535" s="0" t="n">
        <v>16</v>
      </c>
      <c r="C2535" s="0" t="n">
        <v>2436</v>
      </c>
      <c r="D2535" s="0" t="s">
        <v>4107</v>
      </c>
      <c r="E2535" s="0" t="s">
        <v>3970</v>
      </c>
      <c r="F2535" s="0" t="s">
        <v>4143</v>
      </c>
    </row>
    <row r="2536" customFormat="false" ht="12.8" hidden="false" customHeight="false" outlineLevel="0" collapsed="false">
      <c r="A2536" s="0" t="n">
        <v>4</v>
      </c>
      <c r="B2536" s="0" t="n">
        <v>16</v>
      </c>
      <c r="C2536" s="0" t="n">
        <v>2437</v>
      </c>
      <c r="D2536" s="0" t="s">
        <v>4107</v>
      </c>
      <c r="E2536" s="0" t="s">
        <v>3970</v>
      </c>
      <c r="F2536" s="0" t="s">
        <v>4143</v>
      </c>
    </row>
    <row r="2537" customFormat="false" ht="12.8" hidden="false" customHeight="false" outlineLevel="0" collapsed="false">
      <c r="A2537" s="0" t="n">
        <v>4</v>
      </c>
      <c r="B2537" s="0" t="n">
        <v>16</v>
      </c>
      <c r="C2537" s="0" t="n">
        <v>2440</v>
      </c>
      <c r="D2537" s="0" t="s">
        <v>4107</v>
      </c>
      <c r="E2537" s="0" t="s">
        <v>3970</v>
      </c>
      <c r="F2537" s="0" t="s">
        <v>4158</v>
      </c>
    </row>
    <row r="2538" customFormat="false" ht="12.8" hidden="false" customHeight="false" outlineLevel="0" collapsed="false">
      <c r="A2538" s="0" t="n">
        <v>4</v>
      </c>
      <c r="B2538" s="0" t="n">
        <v>16</v>
      </c>
      <c r="C2538" s="0" t="n">
        <v>2441</v>
      </c>
      <c r="D2538" s="0" t="s">
        <v>4107</v>
      </c>
      <c r="E2538" s="0" t="s">
        <v>3970</v>
      </c>
      <c r="F2538" s="0" t="s">
        <v>4158</v>
      </c>
    </row>
    <row r="2539" customFormat="false" ht="12.8" hidden="false" customHeight="false" outlineLevel="0" collapsed="false">
      <c r="A2539" s="0" t="n">
        <v>4</v>
      </c>
      <c r="B2539" s="0" t="n">
        <v>16</v>
      </c>
      <c r="C2539" s="0" t="n">
        <v>2458</v>
      </c>
      <c r="D2539" s="0" t="s">
        <v>4107</v>
      </c>
      <c r="E2539" s="0" t="s">
        <v>3970</v>
      </c>
      <c r="F2539" s="0" t="s">
        <v>4117</v>
      </c>
    </row>
    <row r="2540" customFormat="false" ht="12.8" hidden="false" customHeight="false" outlineLevel="0" collapsed="false">
      <c r="A2540" s="0" t="n">
        <v>4</v>
      </c>
      <c r="B2540" s="0" t="n">
        <v>16</v>
      </c>
      <c r="C2540" s="0" t="n">
        <v>2459</v>
      </c>
      <c r="D2540" s="0" t="s">
        <v>4107</v>
      </c>
      <c r="E2540" s="0" t="s">
        <v>3970</v>
      </c>
      <c r="F2540" s="0" t="s">
        <v>4117</v>
      </c>
    </row>
    <row r="2541" customFormat="false" ht="12.8" hidden="false" customHeight="false" outlineLevel="0" collapsed="false">
      <c r="A2541" s="0" t="n">
        <v>4</v>
      </c>
      <c r="B2541" s="0" t="n">
        <v>16</v>
      </c>
      <c r="C2541" s="0" t="n">
        <v>2460</v>
      </c>
      <c r="D2541" s="0" t="s">
        <v>4107</v>
      </c>
      <c r="E2541" s="0" t="s">
        <v>3970</v>
      </c>
      <c r="F2541" s="0" t="s">
        <v>4117</v>
      </c>
    </row>
    <row r="2542" customFormat="false" ht="12.8" hidden="false" customHeight="false" outlineLevel="0" collapsed="false">
      <c r="A2542" s="0" t="n">
        <v>4</v>
      </c>
      <c r="B2542" s="0" t="n">
        <v>16</v>
      </c>
      <c r="C2542" s="0" t="n">
        <v>2461</v>
      </c>
      <c r="D2542" s="0" t="s">
        <v>4107</v>
      </c>
      <c r="E2542" s="0" t="s">
        <v>3970</v>
      </c>
      <c r="F2542" s="0" t="s">
        <v>4121</v>
      </c>
    </row>
    <row r="2543" customFormat="false" ht="12.8" hidden="false" customHeight="false" outlineLevel="0" collapsed="false">
      <c r="A2543" s="0" t="n">
        <v>4</v>
      </c>
      <c r="B2543" s="0" t="n">
        <v>16</v>
      </c>
      <c r="C2543" s="0" t="n">
        <v>2462</v>
      </c>
      <c r="D2543" s="0" t="s">
        <v>4107</v>
      </c>
      <c r="E2543" s="0" t="s">
        <v>3970</v>
      </c>
      <c r="F2543" s="0" t="s">
        <v>4175</v>
      </c>
    </row>
    <row r="2544" customFormat="false" ht="12.8" hidden="false" customHeight="false" outlineLevel="0" collapsed="false">
      <c r="A2544" s="0" t="n">
        <v>4</v>
      </c>
      <c r="B2544" s="0" t="n">
        <v>16</v>
      </c>
      <c r="C2544" s="0" t="n">
        <v>2463</v>
      </c>
      <c r="D2544" s="0" t="s">
        <v>4107</v>
      </c>
      <c r="E2544" s="0" t="s">
        <v>3970</v>
      </c>
      <c r="F2544" s="0" t="s">
        <v>4123</v>
      </c>
    </row>
    <row r="2545" customFormat="false" ht="12.8" hidden="false" customHeight="false" outlineLevel="0" collapsed="false">
      <c r="A2545" s="0" t="n">
        <v>4</v>
      </c>
      <c r="B2545" s="0" t="n">
        <v>16</v>
      </c>
      <c r="C2545" s="0" t="n">
        <v>2464</v>
      </c>
      <c r="D2545" s="0" t="s">
        <v>4107</v>
      </c>
      <c r="E2545" s="0" t="s">
        <v>3970</v>
      </c>
      <c r="F2545" s="0" t="s">
        <v>4123</v>
      </c>
    </row>
    <row r="2546" customFormat="false" ht="12.8" hidden="false" customHeight="false" outlineLevel="0" collapsed="false">
      <c r="A2546" s="0" t="n">
        <v>4</v>
      </c>
      <c r="B2546" s="0" t="n">
        <v>16</v>
      </c>
      <c r="C2546" s="0" t="n">
        <v>2465</v>
      </c>
      <c r="D2546" s="0" t="s">
        <v>4107</v>
      </c>
      <c r="E2546" s="0" t="s">
        <v>3970</v>
      </c>
      <c r="F2546" s="0" t="s">
        <v>4127</v>
      </c>
    </row>
    <row r="2547" customFormat="false" ht="12.8" hidden="false" customHeight="false" outlineLevel="0" collapsed="false">
      <c r="A2547" s="0" t="n">
        <v>4</v>
      </c>
      <c r="B2547" s="0" t="n">
        <v>16</v>
      </c>
      <c r="C2547" s="0" t="n">
        <v>2466</v>
      </c>
      <c r="D2547" s="0" t="s">
        <v>4107</v>
      </c>
      <c r="E2547" s="0" t="s">
        <v>3970</v>
      </c>
      <c r="F2547" s="0" t="s">
        <v>4127</v>
      </c>
    </row>
    <row r="2548" customFormat="false" ht="12.8" hidden="false" customHeight="false" outlineLevel="0" collapsed="false">
      <c r="A2548" s="0" t="n">
        <v>4</v>
      </c>
      <c r="B2548" s="0" t="n">
        <v>16</v>
      </c>
      <c r="C2548" s="0" t="n">
        <v>2467</v>
      </c>
      <c r="D2548" s="0" t="s">
        <v>4107</v>
      </c>
      <c r="E2548" s="0" t="s">
        <v>3970</v>
      </c>
      <c r="F2548" s="0" t="s">
        <v>4127</v>
      </c>
    </row>
    <row r="2549" customFormat="false" ht="12.8" hidden="false" customHeight="false" outlineLevel="0" collapsed="false">
      <c r="A2549" s="0" t="n">
        <v>4</v>
      </c>
      <c r="B2549" s="0" t="n">
        <v>16</v>
      </c>
      <c r="C2549" s="0" t="n">
        <v>2468</v>
      </c>
      <c r="D2549" s="0" t="s">
        <v>4107</v>
      </c>
      <c r="E2549" s="0" t="s">
        <v>3970</v>
      </c>
      <c r="F2549" s="0" t="s">
        <v>4127</v>
      </c>
    </row>
    <row r="2550" customFormat="false" ht="12.8" hidden="false" customHeight="false" outlineLevel="0" collapsed="false">
      <c r="A2550" s="0" t="n">
        <v>4</v>
      </c>
      <c r="B2550" s="0" t="n">
        <v>16</v>
      </c>
      <c r="C2550" s="0" t="n">
        <v>2469</v>
      </c>
      <c r="D2550" s="0" t="s">
        <v>4107</v>
      </c>
      <c r="E2550" s="0" t="s">
        <v>3970</v>
      </c>
      <c r="F2550" s="0" t="s">
        <v>4132</v>
      </c>
    </row>
    <row r="2551" customFormat="false" ht="12.8" hidden="false" customHeight="false" outlineLevel="0" collapsed="false">
      <c r="A2551" s="0" t="n">
        <v>4</v>
      </c>
      <c r="B2551" s="0" t="n">
        <v>16</v>
      </c>
      <c r="C2551" s="0" t="n">
        <v>2470</v>
      </c>
      <c r="D2551" s="0" t="s">
        <v>4107</v>
      </c>
      <c r="E2551" s="0" t="s">
        <v>3970</v>
      </c>
      <c r="F2551" s="0" t="s">
        <v>4132</v>
      </c>
    </row>
    <row r="2552" customFormat="false" ht="12.8" hidden="false" customHeight="false" outlineLevel="0" collapsed="false">
      <c r="A2552" s="0" t="n">
        <v>4</v>
      </c>
      <c r="B2552" s="0" t="n">
        <v>16</v>
      </c>
      <c r="C2552" s="0" t="n">
        <v>2471</v>
      </c>
      <c r="D2552" s="0" t="s">
        <v>4107</v>
      </c>
      <c r="E2552" s="0" t="s">
        <v>3970</v>
      </c>
      <c r="F2552" s="0" t="s">
        <v>4133</v>
      </c>
    </row>
    <row r="2553" customFormat="false" ht="12.8" hidden="false" customHeight="false" outlineLevel="0" collapsed="false">
      <c r="A2553" s="0" t="n">
        <v>4</v>
      </c>
      <c r="B2553" s="0" t="n">
        <v>16</v>
      </c>
      <c r="C2553" s="0" t="n">
        <v>2472</v>
      </c>
      <c r="D2553" s="0" t="s">
        <v>4107</v>
      </c>
      <c r="E2553" s="0" t="s">
        <v>3970</v>
      </c>
      <c r="F2553" s="0" t="s">
        <v>4133</v>
      </c>
    </row>
    <row r="2554" customFormat="false" ht="12.8" hidden="false" customHeight="false" outlineLevel="0" collapsed="false">
      <c r="A2554" s="0" t="n">
        <v>4</v>
      </c>
      <c r="B2554" s="0" t="n">
        <v>16</v>
      </c>
      <c r="C2554" s="0" t="n">
        <v>2473</v>
      </c>
      <c r="D2554" s="0" t="s">
        <v>4107</v>
      </c>
      <c r="E2554" s="0" t="s">
        <v>3970</v>
      </c>
      <c r="F2554" s="0" t="s">
        <v>4135</v>
      </c>
    </row>
    <row r="2555" customFormat="false" ht="12.8" hidden="false" customHeight="false" outlineLevel="0" collapsed="false">
      <c r="A2555" s="0" t="n">
        <v>4</v>
      </c>
      <c r="B2555" s="0" t="n">
        <v>16</v>
      </c>
      <c r="C2555" s="0" t="n">
        <v>2474</v>
      </c>
      <c r="D2555" s="0" t="s">
        <v>4107</v>
      </c>
      <c r="E2555" s="0" t="s">
        <v>3970</v>
      </c>
      <c r="F2555" s="0" t="s">
        <v>4135</v>
      </c>
    </row>
    <row r="2556" customFormat="false" ht="12.8" hidden="false" customHeight="false" outlineLevel="0" collapsed="false">
      <c r="A2556" s="0" t="n">
        <v>4</v>
      </c>
      <c r="B2556" s="0" t="n">
        <v>16</v>
      </c>
      <c r="C2556" s="0" t="n">
        <v>2475</v>
      </c>
      <c r="D2556" s="0" t="s">
        <v>4107</v>
      </c>
      <c r="E2556" s="0" t="s">
        <v>3970</v>
      </c>
      <c r="F2556" s="0" t="s">
        <v>4168</v>
      </c>
    </row>
    <row r="2557" customFormat="false" ht="12.8" hidden="false" customHeight="false" outlineLevel="0" collapsed="false">
      <c r="A2557" s="0" t="n">
        <v>4</v>
      </c>
      <c r="B2557" s="0" t="n">
        <v>16</v>
      </c>
      <c r="C2557" s="0" t="n">
        <v>2476</v>
      </c>
      <c r="D2557" s="0" t="s">
        <v>4107</v>
      </c>
      <c r="E2557" s="0" t="s">
        <v>3970</v>
      </c>
      <c r="F2557" s="0" t="s">
        <v>4168</v>
      </c>
    </row>
    <row r="2558" customFormat="false" ht="12.8" hidden="false" customHeight="false" outlineLevel="0" collapsed="false">
      <c r="A2558" s="0" t="n">
        <v>4</v>
      </c>
      <c r="B2558" s="0" t="n">
        <v>16</v>
      </c>
      <c r="C2558" s="0" t="n">
        <v>2477</v>
      </c>
      <c r="D2558" s="0" t="s">
        <v>4107</v>
      </c>
      <c r="E2558" s="0" t="s">
        <v>3970</v>
      </c>
      <c r="F2558" s="0" t="s">
        <v>4168</v>
      </c>
    </row>
    <row r="2559" customFormat="false" ht="12.8" hidden="false" customHeight="false" outlineLevel="0" collapsed="false">
      <c r="A2559" s="0" t="n">
        <v>4</v>
      </c>
      <c r="B2559" s="0" t="n">
        <v>16</v>
      </c>
      <c r="C2559" s="0" t="n">
        <v>2478</v>
      </c>
      <c r="D2559" s="0" t="s">
        <v>4107</v>
      </c>
      <c r="E2559" s="0" t="s">
        <v>3970</v>
      </c>
      <c r="F2559" s="0" t="s">
        <v>4168</v>
      </c>
    </row>
    <row r="2560" customFormat="false" ht="12.8" hidden="false" customHeight="false" outlineLevel="0" collapsed="false">
      <c r="A2560" s="0" t="n">
        <v>4</v>
      </c>
      <c r="B2560" s="0" t="n">
        <v>16</v>
      </c>
      <c r="C2560" s="0" t="n">
        <v>2479</v>
      </c>
      <c r="D2560" s="0" t="s">
        <v>4107</v>
      </c>
      <c r="E2560" s="0" t="s">
        <v>3970</v>
      </c>
      <c r="F2560" s="0" t="s">
        <v>4142</v>
      </c>
    </row>
    <row r="2561" customFormat="false" ht="12.8" hidden="false" customHeight="false" outlineLevel="0" collapsed="false">
      <c r="A2561" s="0" t="n">
        <v>4</v>
      </c>
      <c r="B2561" s="0" t="n">
        <v>16</v>
      </c>
      <c r="C2561" s="0" t="n">
        <v>2480</v>
      </c>
      <c r="D2561" s="0" t="s">
        <v>4107</v>
      </c>
      <c r="E2561" s="0" t="s">
        <v>3970</v>
      </c>
      <c r="F2561" s="0" t="s">
        <v>4142</v>
      </c>
    </row>
    <row r="2562" customFormat="false" ht="12.8" hidden="false" customHeight="false" outlineLevel="0" collapsed="false">
      <c r="A2562" s="0" t="n">
        <v>4</v>
      </c>
      <c r="B2562" s="0" t="n">
        <v>16</v>
      </c>
      <c r="C2562" s="0" t="n">
        <v>2481</v>
      </c>
      <c r="D2562" s="0" t="s">
        <v>4107</v>
      </c>
      <c r="E2562" s="0" t="s">
        <v>3970</v>
      </c>
      <c r="F2562" s="0" t="s">
        <v>4144</v>
      </c>
    </row>
    <row r="2563" customFormat="false" ht="12.8" hidden="false" customHeight="false" outlineLevel="0" collapsed="false">
      <c r="A2563" s="0" t="n">
        <v>4</v>
      </c>
      <c r="B2563" s="0" t="n">
        <v>16</v>
      </c>
      <c r="C2563" s="0" t="n">
        <v>2482</v>
      </c>
      <c r="D2563" s="0" t="s">
        <v>4107</v>
      </c>
      <c r="E2563" s="0" t="s">
        <v>3970</v>
      </c>
      <c r="F2563" s="0" t="s">
        <v>4144</v>
      </c>
    </row>
    <row r="2564" customFormat="false" ht="12.8" hidden="false" customHeight="false" outlineLevel="0" collapsed="false">
      <c r="A2564" s="0" t="n">
        <v>4</v>
      </c>
      <c r="B2564" s="0" t="n">
        <v>16</v>
      </c>
      <c r="C2564" s="0" t="n">
        <v>2483</v>
      </c>
      <c r="D2564" s="0" t="s">
        <v>4107</v>
      </c>
      <c r="E2564" s="0" t="s">
        <v>3970</v>
      </c>
      <c r="F2564" s="0" t="s">
        <v>4145</v>
      </c>
    </row>
    <row r="2565" customFormat="false" ht="12.8" hidden="false" customHeight="false" outlineLevel="0" collapsed="false">
      <c r="A2565" s="0" t="n">
        <v>4</v>
      </c>
      <c r="B2565" s="0" t="n">
        <v>16</v>
      </c>
      <c r="C2565" s="0" t="n">
        <v>2484</v>
      </c>
      <c r="D2565" s="0" t="s">
        <v>4107</v>
      </c>
      <c r="E2565" s="0" t="s">
        <v>3970</v>
      </c>
      <c r="F2565" s="0" t="s">
        <v>4145</v>
      </c>
    </row>
    <row r="2566" customFormat="false" ht="12.8" hidden="false" customHeight="false" outlineLevel="0" collapsed="false">
      <c r="A2566" s="0" t="n">
        <v>4</v>
      </c>
      <c r="B2566" s="0" t="n">
        <v>16</v>
      </c>
      <c r="C2566" s="0" t="n">
        <v>2485</v>
      </c>
      <c r="D2566" s="0" t="s">
        <v>4107</v>
      </c>
      <c r="E2566" s="0" t="s">
        <v>3970</v>
      </c>
      <c r="F2566" s="0" t="s">
        <v>4146</v>
      </c>
    </row>
    <row r="2567" customFormat="false" ht="12.8" hidden="false" customHeight="false" outlineLevel="0" collapsed="false">
      <c r="A2567" s="0" t="n">
        <v>4</v>
      </c>
      <c r="B2567" s="0" t="n">
        <v>16</v>
      </c>
      <c r="C2567" s="0" t="n">
        <v>2486</v>
      </c>
      <c r="D2567" s="0" t="s">
        <v>4107</v>
      </c>
      <c r="E2567" s="0" t="s">
        <v>3970</v>
      </c>
      <c r="F2567" s="0" t="s">
        <v>4146</v>
      </c>
    </row>
    <row r="2568" customFormat="false" ht="12.8" hidden="false" customHeight="false" outlineLevel="0" collapsed="false">
      <c r="A2568" s="0" t="n">
        <v>4</v>
      </c>
      <c r="B2568" s="0" t="n">
        <v>16</v>
      </c>
      <c r="C2568" s="0" t="n">
        <v>2505</v>
      </c>
      <c r="D2568" s="0" t="s">
        <v>4107</v>
      </c>
      <c r="E2568" s="0" t="s">
        <v>3970</v>
      </c>
      <c r="F2568" s="0" t="s">
        <v>4140</v>
      </c>
    </row>
    <row r="2569" customFormat="false" ht="12.8" hidden="false" customHeight="false" outlineLevel="0" collapsed="false">
      <c r="A2569" s="0" t="n">
        <v>4</v>
      </c>
      <c r="B2569" s="0" t="n">
        <v>16</v>
      </c>
      <c r="C2569" s="0" t="n">
        <v>2506</v>
      </c>
      <c r="D2569" s="0" t="s">
        <v>4107</v>
      </c>
      <c r="E2569" s="0" t="s">
        <v>3970</v>
      </c>
      <c r="F2569" s="0" t="s">
        <v>4140</v>
      </c>
    </row>
    <row r="2570" customFormat="false" ht="12.8" hidden="false" customHeight="false" outlineLevel="0" collapsed="false">
      <c r="A2570" s="0" t="n">
        <v>4</v>
      </c>
      <c r="B2570" s="0" t="n">
        <v>16</v>
      </c>
      <c r="C2570" s="0" t="n">
        <v>2514</v>
      </c>
      <c r="D2570" s="0" t="s">
        <v>4107</v>
      </c>
      <c r="E2570" s="0" t="s">
        <v>3970</v>
      </c>
      <c r="F2570" s="0" t="s">
        <v>4105</v>
      </c>
    </row>
    <row r="2571" customFormat="false" ht="12.8" hidden="false" customHeight="false" outlineLevel="0" collapsed="false">
      <c r="A2571" s="0" t="n">
        <v>4</v>
      </c>
      <c r="B2571" s="0" t="n">
        <v>16</v>
      </c>
      <c r="C2571" s="0" t="n">
        <v>2519</v>
      </c>
      <c r="D2571" s="0" t="s">
        <v>4107</v>
      </c>
      <c r="E2571" s="0" t="s">
        <v>3970</v>
      </c>
      <c r="F2571" s="0" t="s">
        <v>4178</v>
      </c>
    </row>
    <row r="2572" customFormat="false" ht="12.8" hidden="false" customHeight="false" outlineLevel="0" collapsed="false">
      <c r="A2572" s="0" t="n">
        <v>4</v>
      </c>
      <c r="B2572" s="0" t="n">
        <v>16</v>
      </c>
      <c r="C2572" s="0" t="n">
        <v>2520</v>
      </c>
      <c r="D2572" s="0" t="s">
        <v>4107</v>
      </c>
      <c r="E2572" s="0" t="s">
        <v>3970</v>
      </c>
      <c r="F2572" s="0" t="s">
        <v>4149</v>
      </c>
    </row>
    <row r="2573" customFormat="false" ht="12.8" hidden="false" customHeight="false" outlineLevel="0" collapsed="false">
      <c r="A2573" s="0" t="n">
        <v>4</v>
      </c>
      <c r="B2573" s="0" t="n">
        <v>16</v>
      </c>
      <c r="C2573" s="0" t="n">
        <v>2521</v>
      </c>
      <c r="D2573" s="0" t="s">
        <v>4107</v>
      </c>
      <c r="E2573" s="0" t="s">
        <v>3970</v>
      </c>
      <c r="F2573" s="0" t="s">
        <v>4157</v>
      </c>
    </row>
    <row r="2574" customFormat="false" ht="12.8" hidden="false" customHeight="false" outlineLevel="0" collapsed="false">
      <c r="A2574" s="0" t="n">
        <v>4</v>
      </c>
      <c r="B2574" s="0" t="n">
        <v>16</v>
      </c>
      <c r="C2574" s="0" t="n">
        <v>2522</v>
      </c>
      <c r="D2574" s="0" t="s">
        <v>4107</v>
      </c>
      <c r="E2574" s="0" t="s">
        <v>3970</v>
      </c>
      <c r="F2574" s="0" t="s">
        <v>4157</v>
      </c>
    </row>
    <row r="2575" customFormat="false" ht="12.8" hidden="false" customHeight="false" outlineLevel="0" collapsed="false">
      <c r="A2575" s="0" t="n">
        <v>4</v>
      </c>
      <c r="B2575" s="0" t="n">
        <v>16</v>
      </c>
      <c r="C2575" s="0" t="n">
        <v>2523</v>
      </c>
      <c r="D2575" s="0" t="s">
        <v>4107</v>
      </c>
      <c r="E2575" s="0" t="s">
        <v>3970</v>
      </c>
      <c r="F2575" s="0" t="s">
        <v>4158</v>
      </c>
    </row>
    <row r="2576" customFormat="false" ht="12.8" hidden="false" customHeight="false" outlineLevel="0" collapsed="false">
      <c r="A2576" s="0" t="n">
        <v>4</v>
      </c>
      <c r="B2576" s="0" t="n">
        <v>16</v>
      </c>
      <c r="C2576" s="0" t="n">
        <v>2527</v>
      </c>
      <c r="D2576" s="0" t="s">
        <v>4107</v>
      </c>
      <c r="E2576" s="0" t="s">
        <v>3970</v>
      </c>
      <c r="F2576" s="0" t="s">
        <v>4088</v>
      </c>
    </row>
    <row r="2577" customFormat="false" ht="12.8" hidden="false" customHeight="false" outlineLevel="0" collapsed="false">
      <c r="A2577" s="0" t="n">
        <v>4</v>
      </c>
      <c r="B2577" s="0" t="n">
        <v>16</v>
      </c>
      <c r="C2577" s="0" t="n">
        <v>2528</v>
      </c>
      <c r="D2577" s="0" t="s">
        <v>4107</v>
      </c>
      <c r="E2577" s="0" t="s">
        <v>3970</v>
      </c>
      <c r="F2577" s="0" t="s">
        <v>4088</v>
      </c>
    </row>
    <row r="2578" customFormat="false" ht="12.8" hidden="false" customHeight="false" outlineLevel="0" collapsed="false">
      <c r="A2578" s="0" t="n">
        <v>4</v>
      </c>
      <c r="B2578" s="0" t="n">
        <v>16</v>
      </c>
      <c r="C2578" s="0" t="n">
        <v>2532</v>
      </c>
      <c r="D2578" s="0" t="s">
        <v>4107</v>
      </c>
      <c r="E2578" s="0" t="s">
        <v>3970</v>
      </c>
      <c r="F2578" s="0" t="s">
        <v>4142</v>
      </c>
    </row>
    <row r="2579" customFormat="false" ht="12.8" hidden="false" customHeight="false" outlineLevel="0" collapsed="false">
      <c r="A2579" s="0" t="n">
        <v>4</v>
      </c>
      <c r="B2579" s="0" t="n">
        <v>16</v>
      </c>
      <c r="C2579" s="0" t="n">
        <v>2534</v>
      </c>
      <c r="D2579" s="0" t="s">
        <v>4107</v>
      </c>
      <c r="E2579" s="0" t="s">
        <v>3970</v>
      </c>
      <c r="F2579" s="0" t="s">
        <v>4163</v>
      </c>
    </row>
    <row r="2580" customFormat="false" ht="12.8" hidden="false" customHeight="false" outlineLevel="0" collapsed="false">
      <c r="A2580" s="0" t="n">
        <v>4</v>
      </c>
      <c r="B2580" s="0" t="n">
        <v>16</v>
      </c>
      <c r="C2580" s="0" t="n">
        <v>2535</v>
      </c>
      <c r="D2580" s="0" t="s">
        <v>4107</v>
      </c>
      <c r="E2580" s="0" t="s">
        <v>3970</v>
      </c>
      <c r="F2580" s="0" t="s">
        <v>4166</v>
      </c>
    </row>
    <row r="2581" customFormat="false" ht="12.8" hidden="false" customHeight="false" outlineLevel="0" collapsed="false">
      <c r="A2581" s="0" t="n">
        <v>4</v>
      </c>
      <c r="B2581" s="0" t="n">
        <v>16</v>
      </c>
      <c r="C2581" s="0" t="n">
        <v>2536</v>
      </c>
      <c r="D2581" s="0" t="s">
        <v>4107</v>
      </c>
      <c r="E2581" s="0" t="s">
        <v>3970</v>
      </c>
      <c r="F2581" s="0" t="s">
        <v>4166</v>
      </c>
    </row>
    <row r="2582" customFormat="false" ht="12.8" hidden="false" customHeight="false" outlineLevel="0" collapsed="false">
      <c r="A2582" s="0" t="n">
        <v>4</v>
      </c>
      <c r="B2582" s="0" t="n">
        <v>16</v>
      </c>
      <c r="C2582" s="0" t="n">
        <v>2537</v>
      </c>
      <c r="D2582" s="0" t="s">
        <v>4107</v>
      </c>
      <c r="E2582" s="0" t="s">
        <v>3970</v>
      </c>
      <c r="F2582" s="0" t="s">
        <v>4133</v>
      </c>
    </row>
    <row r="2583" customFormat="false" ht="12.8" hidden="false" customHeight="false" outlineLevel="0" collapsed="false">
      <c r="A2583" s="0" t="n">
        <v>4</v>
      </c>
      <c r="B2583" s="0" t="n">
        <v>16</v>
      </c>
      <c r="C2583" s="0" t="n">
        <v>2538</v>
      </c>
      <c r="D2583" s="0" t="s">
        <v>4107</v>
      </c>
      <c r="E2583" s="0" t="s">
        <v>3970</v>
      </c>
      <c r="F2583" s="0" t="s">
        <v>4179</v>
      </c>
    </row>
    <row r="2584" customFormat="false" ht="12.8" hidden="false" customHeight="false" outlineLevel="0" collapsed="false">
      <c r="A2584" s="0" t="n">
        <v>4</v>
      </c>
      <c r="B2584" s="0" t="n">
        <v>16</v>
      </c>
      <c r="C2584" s="0" t="n">
        <v>2539</v>
      </c>
      <c r="D2584" s="0" t="s">
        <v>4107</v>
      </c>
      <c r="E2584" s="0" t="s">
        <v>3970</v>
      </c>
      <c r="F2584" s="0" t="s">
        <v>4133</v>
      </c>
    </row>
    <row r="2585" customFormat="false" ht="12.8" hidden="false" customHeight="false" outlineLevel="0" collapsed="false">
      <c r="A2585" s="0" t="n">
        <v>4</v>
      </c>
      <c r="B2585" s="0" t="n">
        <v>16</v>
      </c>
      <c r="C2585" s="0" t="n">
        <v>2540</v>
      </c>
      <c r="D2585" s="0" t="s">
        <v>4107</v>
      </c>
      <c r="E2585" s="0" t="s">
        <v>3970</v>
      </c>
      <c r="F2585" s="0" t="s">
        <v>4133</v>
      </c>
    </row>
    <row r="2586" customFormat="false" ht="12.8" hidden="false" customHeight="false" outlineLevel="0" collapsed="false">
      <c r="A2586" s="0" t="n">
        <v>4</v>
      </c>
      <c r="B2586" s="0" t="n">
        <v>16</v>
      </c>
      <c r="C2586" s="0" t="n">
        <v>2541</v>
      </c>
      <c r="D2586" s="0" t="s">
        <v>4107</v>
      </c>
      <c r="E2586" s="0" t="s">
        <v>3970</v>
      </c>
      <c r="F2586" s="0" t="s">
        <v>4180</v>
      </c>
    </row>
    <row r="2587" customFormat="false" ht="12.8" hidden="false" customHeight="false" outlineLevel="0" collapsed="false">
      <c r="A2587" s="0" t="n">
        <v>4</v>
      </c>
      <c r="B2587" s="0" t="n">
        <v>16</v>
      </c>
      <c r="C2587" s="0" t="n">
        <v>2576</v>
      </c>
      <c r="D2587" s="0" t="s">
        <v>4107</v>
      </c>
      <c r="E2587" s="0" t="s">
        <v>3970</v>
      </c>
      <c r="F2587" s="0" t="s">
        <v>4181</v>
      </c>
    </row>
    <row r="2588" customFormat="false" ht="12.8" hidden="false" customHeight="false" outlineLevel="0" collapsed="false">
      <c r="A2588" s="0" t="n">
        <v>4</v>
      </c>
      <c r="B2588" s="0" t="n">
        <v>16</v>
      </c>
      <c r="C2588" s="0" t="n">
        <v>2577</v>
      </c>
      <c r="D2588" s="0" t="s">
        <v>4107</v>
      </c>
      <c r="E2588" s="0" t="s">
        <v>3970</v>
      </c>
      <c r="F2588" s="0" t="s">
        <v>4181</v>
      </c>
    </row>
    <row r="2589" customFormat="false" ht="12.8" hidden="false" customHeight="false" outlineLevel="0" collapsed="false">
      <c r="A2589" s="0" t="n">
        <v>4</v>
      </c>
      <c r="B2589" s="0" t="n">
        <v>16</v>
      </c>
      <c r="C2589" s="0" t="n">
        <v>2578</v>
      </c>
      <c r="D2589" s="0" t="s">
        <v>4107</v>
      </c>
      <c r="E2589" s="0" t="s">
        <v>3970</v>
      </c>
      <c r="F2589" s="0" t="s">
        <v>4181</v>
      </c>
    </row>
    <row r="2590" customFormat="false" ht="12.8" hidden="false" customHeight="false" outlineLevel="0" collapsed="false">
      <c r="A2590" s="0" t="n">
        <v>4</v>
      </c>
      <c r="B2590" s="0" t="n">
        <v>16</v>
      </c>
      <c r="C2590" s="0" t="n">
        <v>2579</v>
      </c>
      <c r="D2590" s="0" t="s">
        <v>4107</v>
      </c>
      <c r="E2590" s="0" t="s">
        <v>3970</v>
      </c>
      <c r="F2590" s="0" t="s">
        <v>4181</v>
      </c>
    </row>
    <row r="2591" customFormat="false" ht="12.8" hidden="false" customHeight="false" outlineLevel="0" collapsed="false">
      <c r="A2591" s="0" t="n">
        <v>4</v>
      </c>
      <c r="B2591" s="0" t="n">
        <v>16</v>
      </c>
      <c r="C2591" s="0" t="n">
        <v>2585</v>
      </c>
      <c r="D2591" s="0" t="s">
        <v>4107</v>
      </c>
      <c r="E2591" s="0" t="s">
        <v>3970</v>
      </c>
      <c r="F2591" s="0" t="s">
        <v>4109</v>
      </c>
    </row>
    <row r="2592" customFormat="false" ht="12.8" hidden="false" customHeight="false" outlineLevel="0" collapsed="false">
      <c r="A2592" s="0" t="n">
        <v>4</v>
      </c>
      <c r="B2592" s="0" t="n">
        <v>16</v>
      </c>
      <c r="C2592" s="0" t="n">
        <v>2590</v>
      </c>
      <c r="D2592" s="0" t="s">
        <v>4107</v>
      </c>
      <c r="E2592" s="0" t="s">
        <v>3970</v>
      </c>
      <c r="F2592" s="0" t="s">
        <v>4182</v>
      </c>
    </row>
    <row r="2593" customFormat="false" ht="12.8" hidden="false" customHeight="false" outlineLevel="0" collapsed="false">
      <c r="A2593" s="0" t="n">
        <v>4</v>
      </c>
      <c r="B2593" s="0" t="n">
        <v>16</v>
      </c>
      <c r="C2593" s="0" t="n">
        <v>2614</v>
      </c>
      <c r="D2593" s="0" t="s">
        <v>4107</v>
      </c>
      <c r="E2593" s="0" t="s">
        <v>3970</v>
      </c>
      <c r="F2593" s="0" t="s">
        <v>4144</v>
      </c>
    </row>
    <row r="2594" customFormat="false" ht="12.8" hidden="false" customHeight="false" outlineLevel="0" collapsed="false">
      <c r="A2594" s="0" t="n">
        <v>4</v>
      </c>
      <c r="B2594" s="0" t="n">
        <v>16</v>
      </c>
      <c r="C2594" s="0" t="n">
        <v>2617</v>
      </c>
      <c r="D2594" s="0" t="s">
        <v>4107</v>
      </c>
      <c r="E2594" s="0" t="s">
        <v>3970</v>
      </c>
      <c r="F2594" s="0" t="s">
        <v>4183</v>
      </c>
    </row>
    <row r="2595" customFormat="false" ht="12.8" hidden="false" customHeight="false" outlineLevel="0" collapsed="false">
      <c r="A2595" s="0" t="n">
        <v>4</v>
      </c>
      <c r="B2595" s="0" t="n">
        <v>16</v>
      </c>
      <c r="C2595" s="0" t="n">
        <v>2618</v>
      </c>
      <c r="D2595" s="0" t="s">
        <v>4107</v>
      </c>
      <c r="E2595" s="0" t="s">
        <v>3970</v>
      </c>
      <c r="F2595" s="0" t="s">
        <v>4183</v>
      </c>
    </row>
    <row r="2596" customFormat="false" ht="12.8" hidden="false" customHeight="false" outlineLevel="0" collapsed="false">
      <c r="A2596" s="0" t="n">
        <v>4</v>
      </c>
      <c r="B2596" s="0" t="n">
        <v>16</v>
      </c>
      <c r="C2596" s="0" t="n">
        <v>2619</v>
      </c>
      <c r="D2596" s="0" t="s">
        <v>4107</v>
      </c>
      <c r="E2596" s="0" t="s">
        <v>3970</v>
      </c>
      <c r="F2596" s="0" t="s">
        <v>4183</v>
      </c>
    </row>
    <row r="2597" customFormat="false" ht="12.8" hidden="false" customHeight="false" outlineLevel="0" collapsed="false">
      <c r="A2597" s="0" t="n">
        <v>4</v>
      </c>
      <c r="B2597" s="0" t="n">
        <v>16</v>
      </c>
      <c r="C2597" s="0" t="n">
        <v>2620</v>
      </c>
      <c r="D2597" s="0" t="s">
        <v>4107</v>
      </c>
      <c r="E2597" s="0" t="s">
        <v>3970</v>
      </c>
      <c r="F2597" s="0" t="s">
        <v>4183</v>
      </c>
    </row>
    <row r="2598" customFormat="false" ht="12.8" hidden="false" customHeight="false" outlineLevel="0" collapsed="false">
      <c r="A2598" s="0" t="n">
        <v>4</v>
      </c>
      <c r="B2598" s="0" t="n">
        <v>16</v>
      </c>
      <c r="C2598" s="0" t="n">
        <v>2621</v>
      </c>
      <c r="D2598" s="0" t="s">
        <v>4107</v>
      </c>
      <c r="E2598" s="0" t="s">
        <v>3970</v>
      </c>
      <c r="F2598" s="0" t="s">
        <v>4183</v>
      </c>
    </row>
    <row r="2599" customFormat="false" ht="12.8" hidden="false" customHeight="false" outlineLevel="0" collapsed="false">
      <c r="A2599" s="0" t="n">
        <v>4</v>
      </c>
      <c r="B2599" s="0" t="n">
        <v>16</v>
      </c>
      <c r="C2599" s="0" t="n">
        <v>2622</v>
      </c>
      <c r="D2599" s="0" t="s">
        <v>4107</v>
      </c>
      <c r="E2599" s="0" t="s">
        <v>3970</v>
      </c>
      <c r="F2599" s="0" t="s">
        <v>4183</v>
      </c>
    </row>
    <row r="2600" customFormat="false" ht="12.8" hidden="false" customHeight="false" outlineLevel="0" collapsed="false">
      <c r="A2600" s="0" t="n">
        <v>4</v>
      </c>
      <c r="B2600" s="0" t="n">
        <v>16</v>
      </c>
      <c r="C2600" s="0" t="n">
        <v>2623</v>
      </c>
      <c r="D2600" s="0" t="s">
        <v>4107</v>
      </c>
      <c r="E2600" s="0" t="s">
        <v>3970</v>
      </c>
      <c r="F2600" s="0" t="s">
        <v>4183</v>
      </c>
    </row>
    <row r="2601" customFormat="false" ht="12.8" hidden="false" customHeight="false" outlineLevel="0" collapsed="false">
      <c r="A2601" s="0" t="n">
        <v>4</v>
      </c>
      <c r="B2601" s="0" t="n">
        <v>16</v>
      </c>
      <c r="C2601" s="0" t="n">
        <v>2624</v>
      </c>
      <c r="D2601" s="0" t="s">
        <v>4107</v>
      </c>
      <c r="E2601" s="0" t="s">
        <v>3970</v>
      </c>
      <c r="F2601" s="0" t="s">
        <v>4183</v>
      </c>
    </row>
    <row r="2602" customFormat="false" ht="12.8" hidden="false" customHeight="false" outlineLevel="0" collapsed="false">
      <c r="A2602" s="0" t="n">
        <v>4</v>
      </c>
      <c r="B2602" s="0" t="n">
        <v>16</v>
      </c>
      <c r="C2602" s="0" t="n">
        <v>2630</v>
      </c>
      <c r="D2602" s="0" t="s">
        <v>4107</v>
      </c>
      <c r="E2602" s="0" t="s">
        <v>3970</v>
      </c>
      <c r="F2602" s="0" t="s">
        <v>4061</v>
      </c>
    </row>
    <row r="2603" customFormat="false" ht="12.8" hidden="false" customHeight="false" outlineLevel="0" collapsed="false">
      <c r="A2603" s="0" t="n">
        <v>4</v>
      </c>
      <c r="B2603" s="0" t="n">
        <v>16</v>
      </c>
      <c r="C2603" s="0" t="n">
        <v>2631</v>
      </c>
      <c r="D2603" s="0" t="s">
        <v>4107</v>
      </c>
      <c r="E2603" s="0" t="s">
        <v>3970</v>
      </c>
      <c r="F2603" s="0" t="s">
        <v>4132</v>
      </c>
    </row>
    <row r="2604" customFormat="false" ht="12.8" hidden="false" customHeight="false" outlineLevel="0" collapsed="false">
      <c r="A2604" s="0" t="n">
        <v>4</v>
      </c>
      <c r="B2604" s="0" t="n">
        <v>16</v>
      </c>
      <c r="C2604" s="0" t="n">
        <v>2639</v>
      </c>
      <c r="D2604" s="0" t="s">
        <v>4107</v>
      </c>
      <c r="E2604" s="0" t="s">
        <v>3970</v>
      </c>
      <c r="F2604" s="0" t="s">
        <v>4184</v>
      </c>
    </row>
    <row r="2605" customFormat="false" ht="12.8" hidden="false" customHeight="false" outlineLevel="0" collapsed="false">
      <c r="A2605" s="0" t="n">
        <v>4</v>
      </c>
      <c r="B2605" s="0" t="n">
        <v>16</v>
      </c>
      <c r="C2605" s="0" t="n">
        <v>2640</v>
      </c>
      <c r="D2605" s="0" t="s">
        <v>4107</v>
      </c>
      <c r="E2605" s="0" t="s">
        <v>3970</v>
      </c>
      <c r="F2605" s="0" t="s">
        <v>4184</v>
      </c>
    </row>
    <row r="2606" customFormat="false" ht="12.8" hidden="false" customHeight="false" outlineLevel="0" collapsed="false">
      <c r="A2606" s="0" t="n">
        <v>4</v>
      </c>
      <c r="B2606" s="0" t="n">
        <v>16</v>
      </c>
      <c r="C2606" s="0" t="n">
        <v>2641</v>
      </c>
      <c r="D2606" s="0" t="s">
        <v>4107</v>
      </c>
      <c r="E2606" s="0" t="s">
        <v>3970</v>
      </c>
      <c r="F2606" s="0" t="s">
        <v>4184</v>
      </c>
    </row>
    <row r="2607" customFormat="false" ht="12.8" hidden="false" customHeight="false" outlineLevel="0" collapsed="false">
      <c r="A2607" s="0" t="n">
        <v>4</v>
      </c>
      <c r="B2607" s="0" t="n">
        <v>16</v>
      </c>
      <c r="C2607" s="0" t="n">
        <v>2642</v>
      </c>
      <c r="D2607" s="0" t="s">
        <v>4107</v>
      </c>
      <c r="E2607" s="0" t="s">
        <v>3970</v>
      </c>
      <c r="F2607" s="0" t="s">
        <v>4184</v>
      </c>
    </row>
    <row r="2608" customFormat="false" ht="12.8" hidden="false" customHeight="false" outlineLevel="0" collapsed="false">
      <c r="A2608" s="0" t="n">
        <v>4</v>
      </c>
      <c r="B2608" s="0" t="n">
        <v>16</v>
      </c>
      <c r="C2608" s="0" t="n">
        <v>2643</v>
      </c>
      <c r="D2608" s="0" t="s">
        <v>4107</v>
      </c>
      <c r="E2608" s="0" t="s">
        <v>3970</v>
      </c>
      <c r="F2608" s="0" t="s">
        <v>4184</v>
      </c>
    </row>
    <row r="2609" customFormat="false" ht="12.8" hidden="false" customHeight="false" outlineLevel="0" collapsed="false">
      <c r="A2609" s="0" t="n">
        <v>4</v>
      </c>
      <c r="B2609" s="0" t="n">
        <v>16</v>
      </c>
      <c r="C2609" s="0" t="n">
        <v>2644</v>
      </c>
      <c r="D2609" s="0" t="s">
        <v>4107</v>
      </c>
      <c r="E2609" s="0" t="s">
        <v>3970</v>
      </c>
      <c r="F2609" s="0" t="s">
        <v>4184</v>
      </c>
    </row>
    <row r="2610" customFormat="false" ht="12.8" hidden="false" customHeight="false" outlineLevel="0" collapsed="false">
      <c r="A2610" s="0" t="n">
        <v>4</v>
      </c>
      <c r="B2610" s="0" t="n">
        <v>16</v>
      </c>
      <c r="C2610" s="0" t="n">
        <v>2645</v>
      </c>
      <c r="D2610" s="0" t="s">
        <v>4107</v>
      </c>
      <c r="E2610" s="0" t="s">
        <v>3970</v>
      </c>
      <c r="F2610" s="0" t="s">
        <v>4184</v>
      </c>
    </row>
    <row r="2611" customFormat="false" ht="12.8" hidden="false" customHeight="false" outlineLevel="0" collapsed="false">
      <c r="A2611" s="0" t="n">
        <v>4</v>
      </c>
      <c r="B2611" s="0" t="n">
        <v>16</v>
      </c>
      <c r="C2611" s="0" t="n">
        <v>2646</v>
      </c>
      <c r="D2611" s="0" t="s">
        <v>4107</v>
      </c>
      <c r="E2611" s="0" t="s">
        <v>3970</v>
      </c>
      <c r="F2611" s="0" t="s">
        <v>4184</v>
      </c>
    </row>
    <row r="2612" customFormat="false" ht="12.8" hidden="false" customHeight="false" outlineLevel="0" collapsed="false">
      <c r="A2612" s="0" t="n">
        <v>4</v>
      </c>
      <c r="B2612" s="0" t="n">
        <v>16</v>
      </c>
      <c r="C2612" s="0" t="n">
        <v>2647</v>
      </c>
      <c r="D2612" s="0" t="s">
        <v>4107</v>
      </c>
      <c r="E2612" s="0" t="s">
        <v>3970</v>
      </c>
      <c r="F2612" s="0" t="s">
        <v>4184</v>
      </c>
    </row>
    <row r="2613" customFormat="false" ht="12.8" hidden="false" customHeight="false" outlineLevel="0" collapsed="false">
      <c r="A2613" s="0" t="n">
        <v>4</v>
      </c>
      <c r="B2613" s="0" t="n">
        <v>16</v>
      </c>
      <c r="C2613" s="0" t="n">
        <v>2648</v>
      </c>
      <c r="D2613" s="0" t="s">
        <v>4107</v>
      </c>
      <c r="E2613" s="0" t="s">
        <v>3970</v>
      </c>
      <c r="F2613" s="0" t="s">
        <v>4184</v>
      </c>
    </row>
    <row r="2614" customFormat="false" ht="12.8" hidden="false" customHeight="false" outlineLevel="0" collapsed="false">
      <c r="A2614" s="0" t="n">
        <v>4</v>
      </c>
      <c r="B2614" s="0" t="n">
        <v>16</v>
      </c>
      <c r="C2614" s="0" t="n">
        <v>2649</v>
      </c>
      <c r="D2614" s="0" t="s">
        <v>4107</v>
      </c>
      <c r="E2614" s="0" t="s">
        <v>3970</v>
      </c>
      <c r="F2614" s="0" t="s">
        <v>4184</v>
      </c>
    </row>
    <row r="2615" customFormat="false" ht="12.8" hidden="false" customHeight="false" outlineLevel="0" collapsed="false">
      <c r="A2615" s="0" t="n">
        <v>4</v>
      </c>
      <c r="B2615" s="0" t="n">
        <v>16</v>
      </c>
      <c r="C2615" s="0" t="n">
        <v>2650</v>
      </c>
      <c r="D2615" s="0" t="s">
        <v>4107</v>
      </c>
      <c r="E2615" s="0" t="s">
        <v>3970</v>
      </c>
      <c r="F2615" s="0" t="s">
        <v>4184</v>
      </c>
    </row>
    <row r="2616" customFormat="false" ht="12.8" hidden="false" customHeight="false" outlineLevel="0" collapsed="false">
      <c r="A2616" s="0" t="n">
        <v>4</v>
      </c>
      <c r="B2616" s="0" t="n">
        <v>16</v>
      </c>
      <c r="C2616" s="0" t="n">
        <v>2651</v>
      </c>
      <c r="D2616" s="0" t="s">
        <v>4107</v>
      </c>
      <c r="E2616" s="0" t="s">
        <v>3970</v>
      </c>
      <c r="F2616" s="0" t="s">
        <v>4184</v>
      </c>
    </row>
    <row r="2617" customFormat="false" ht="12.8" hidden="false" customHeight="false" outlineLevel="0" collapsed="false">
      <c r="A2617" s="0" t="n">
        <v>4</v>
      </c>
      <c r="B2617" s="0" t="n">
        <v>16</v>
      </c>
      <c r="C2617" s="0" t="n">
        <v>2652</v>
      </c>
      <c r="D2617" s="0" t="s">
        <v>4107</v>
      </c>
      <c r="E2617" s="0" t="s">
        <v>3970</v>
      </c>
      <c r="F2617" s="0" t="s">
        <v>4184</v>
      </c>
    </row>
    <row r="2618" customFormat="false" ht="12.8" hidden="false" customHeight="false" outlineLevel="0" collapsed="false">
      <c r="A2618" s="0" t="n">
        <v>4</v>
      </c>
      <c r="B2618" s="0" t="n">
        <v>16</v>
      </c>
      <c r="C2618" s="0" t="n">
        <v>2653</v>
      </c>
      <c r="D2618" s="0" t="s">
        <v>4107</v>
      </c>
      <c r="E2618" s="0" t="s">
        <v>3970</v>
      </c>
      <c r="F2618" s="0" t="s">
        <v>4139</v>
      </c>
    </row>
    <row r="2619" customFormat="false" ht="12.8" hidden="false" customHeight="false" outlineLevel="0" collapsed="false">
      <c r="A2619" s="0" t="n">
        <v>4</v>
      </c>
      <c r="B2619" s="0" t="n">
        <v>16</v>
      </c>
      <c r="C2619" s="0" t="n">
        <v>2654</v>
      </c>
      <c r="D2619" s="0" t="s">
        <v>4107</v>
      </c>
      <c r="E2619" s="0" t="s">
        <v>3970</v>
      </c>
      <c r="F2619" s="0" t="s">
        <v>4139</v>
      </c>
    </row>
    <row r="2620" customFormat="false" ht="12.8" hidden="false" customHeight="false" outlineLevel="0" collapsed="false">
      <c r="A2620" s="0" t="n">
        <v>4</v>
      </c>
      <c r="B2620" s="0" t="n">
        <v>16</v>
      </c>
      <c r="C2620" s="0" t="n">
        <v>2655</v>
      </c>
      <c r="D2620" s="0" t="s">
        <v>4107</v>
      </c>
      <c r="E2620" s="0" t="s">
        <v>3970</v>
      </c>
      <c r="F2620" s="0" t="s">
        <v>4139</v>
      </c>
    </row>
    <row r="2621" customFormat="false" ht="12.8" hidden="false" customHeight="false" outlineLevel="0" collapsed="false">
      <c r="A2621" s="0" t="n">
        <v>4</v>
      </c>
      <c r="B2621" s="0" t="n">
        <v>16</v>
      </c>
      <c r="C2621" s="0" t="n">
        <v>2656</v>
      </c>
      <c r="D2621" s="0" t="s">
        <v>4107</v>
      </c>
      <c r="E2621" s="0" t="s">
        <v>3970</v>
      </c>
      <c r="F2621" s="0" t="s">
        <v>4185</v>
      </c>
    </row>
    <row r="2622" customFormat="false" ht="12.8" hidden="false" customHeight="false" outlineLevel="0" collapsed="false">
      <c r="A2622" s="0" t="n">
        <v>5</v>
      </c>
      <c r="B2622" s="0" t="n">
        <v>17</v>
      </c>
      <c r="C2622" s="0" t="n">
        <v>137</v>
      </c>
      <c r="D2622" s="0" t="s">
        <v>4186</v>
      </c>
      <c r="E2622" s="0" t="s">
        <v>3948</v>
      </c>
      <c r="F2622" s="0" t="s">
        <v>4187</v>
      </c>
    </row>
    <row r="2623" customFormat="false" ht="12.8" hidden="false" customHeight="false" outlineLevel="0" collapsed="false">
      <c r="A2623" s="0" t="n">
        <v>5</v>
      </c>
      <c r="B2623" s="0" t="n">
        <v>17</v>
      </c>
      <c r="C2623" s="0" t="n">
        <v>259</v>
      </c>
      <c r="D2623" s="0" t="s">
        <v>4186</v>
      </c>
      <c r="E2623" s="0" t="s">
        <v>3948</v>
      </c>
      <c r="F2623" s="0" t="s">
        <v>4187</v>
      </c>
    </row>
    <row r="2624" customFormat="false" ht="12.8" hidden="false" customHeight="false" outlineLevel="0" collapsed="false">
      <c r="A2624" s="0" t="n">
        <v>5</v>
      </c>
      <c r="B2624" s="0" t="n">
        <v>17</v>
      </c>
      <c r="C2624" s="0" t="n">
        <v>371</v>
      </c>
      <c r="D2624" s="0" t="s">
        <v>4186</v>
      </c>
      <c r="E2624" s="0" t="s">
        <v>3948</v>
      </c>
      <c r="F2624" s="0" t="s">
        <v>4187</v>
      </c>
    </row>
    <row r="2625" customFormat="false" ht="12.8" hidden="false" customHeight="false" outlineLevel="0" collapsed="false">
      <c r="A2625" s="0" t="n">
        <v>5</v>
      </c>
      <c r="B2625" s="0" t="n">
        <v>17</v>
      </c>
      <c r="C2625" s="0" t="n">
        <v>478</v>
      </c>
      <c r="D2625" s="0" t="s">
        <v>4186</v>
      </c>
      <c r="E2625" s="0" t="s">
        <v>3948</v>
      </c>
      <c r="F2625" s="0" t="s">
        <v>4187</v>
      </c>
    </row>
    <row r="2626" customFormat="false" ht="12.8" hidden="false" customHeight="false" outlineLevel="0" collapsed="false">
      <c r="A2626" s="0" t="n">
        <v>5</v>
      </c>
      <c r="B2626" s="0" t="n">
        <v>17</v>
      </c>
      <c r="C2626" s="0" t="n">
        <v>585</v>
      </c>
      <c r="D2626" s="0" t="s">
        <v>4186</v>
      </c>
      <c r="E2626" s="0" t="s">
        <v>3948</v>
      </c>
      <c r="F2626" s="0" t="s">
        <v>4187</v>
      </c>
    </row>
    <row r="2627" customFormat="false" ht="12.8" hidden="false" customHeight="false" outlineLevel="0" collapsed="false">
      <c r="A2627" s="0" t="n">
        <v>5</v>
      </c>
      <c r="B2627" s="0" t="n">
        <v>17</v>
      </c>
      <c r="C2627" s="0" t="n">
        <v>699</v>
      </c>
      <c r="D2627" s="0" t="s">
        <v>4186</v>
      </c>
      <c r="E2627" s="0" t="s">
        <v>3948</v>
      </c>
      <c r="F2627" s="0" t="s">
        <v>4187</v>
      </c>
    </row>
    <row r="2628" customFormat="false" ht="12.8" hidden="false" customHeight="false" outlineLevel="0" collapsed="false">
      <c r="A2628" s="0" t="n">
        <v>5</v>
      </c>
      <c r="B2628" s="0" t="n">
        <v>17</v>
      </c>
      <c r="C2628" s="0" t="n">
        <v>810</v>
      </c>
      <c r="D2628" s="0" t="s">
        <v>4186</v>
      </c>
      <c r="E2628" s="0" t="s">
        <v>3948</v>
      </c>
      <c r="F2628" s="0" t="s">
        <v>4187</v>
      </c>
    </row>
    <row r="2629" customFormat="false" ht="12.8" hidden="false" customHeight="false" outlineLevel="0" collapsed="false">
      <c r="A2629" s="0" t="n">
        <v>5</v>
      </c>
      <c r="B2629" s="0" t="n">
        <v>17</v>
      </c>
      <c r="C2629" s="0" t="n">
        <v>926</v>
      </c>
      <c r="D2629" s="0" t="s">
        <v>4186</v>
      </c>
      <c r="E2629" s="0" t="s">
        <v>3948</v>
      </c>
      <c r="F2629" s="0" t="s">
        <v>4187</v>
      </c>
    </row>
    <row r="2630" customFormat="false" ht="12.8" hidden="false" customHeight="false" outlineLevel="0" collapsed="false">
      <c r="A2630" s="0" t="n">
        <v>5</v>
      </c>
      <c r="B2630" s="0" t="n">
        <v>17</v>
      </c>
      <c r="C2630" s="0" t="n">
        <v>1039</v>
      </c>
      <c r="D2630" s="0" t="s">
        <v>4186</v>
      </c>
      <c r="E2630" s="0" t="s">
        <v>3948</v>
      </c>
      <c r="F2630" s="0" t="s">
        <v>3927</v>
      </c>
    </row>
    <row r="2631" customFormat="false" ht="12.8" hidden="false" customHeight="false" outlineLevel="0" collapsed="false">
      <c r="A2631" s="0" t="n">
        <v>5</v>
      </c>
      <c r="B2631" s="0" t="n">
        <v>17</v>
      </c>
      <c r="C2631" s="0" t="n">
        <v>1131</v>
      </c>
      <c r="D2631" s="0" t="s">
        <v>4186</v>
      </c>
      <c r="E2631" s="0" t="s">
        <v>3948</v>
      </c>
      <c r="F2631" s="0" t="s">
        <v>4187</v>
      </c>
    </row>
    <row r="2632" customFormat="false" ht="12.8" hidden="false" customHeight="false" outlineLevel="0" collapsed="false">
      <c r="A2632" s="0" t="n">
        <v>5</v>
      </c>
      <c r="B2632" s="0" t="n">
        <v>17</v>
      </c>
      <c r="C2632" s="0" t="n">
        <v>1329</v>
      </c>
      <c r="D2632" s="0" t="s">
        <v>4186</v>
      </c>
      <c r="E2632" s="0" t="s">
        <v>3948</v>
      </c>
      <c r="F2632" s="0" t="s">
        <v>4187</v>
      </c>
    </row>
    <row r="2633" customFormat="false" ht="12.8" hidden="false" customHeight="false" outlineLevel="0" collapsed="false">
      <c r="A2633" s="0" t="n">
        <v>5</v>
      </c>
      <c r="B2633" s="0" t="n">
        <v>17</v>
      </c>
      <c r="C2633" s="0" t="n">
        <v>1501</v>
      </c>
      <c r="D2633" s="0" t="s">
        <v>4186</v>
      </c>
      <c r="E2633" s="0" t="s">
        <v>3948</v>
      </c>
      <c r="F2633" s="0" t="s">
        <v>4187</v>
      </c>
    </row>
    <row r="2634" customFormat="false" ht="12.8" hidden="false" customHeight="false" outlineLevel="0" collapsed="false">
      <c r="A2634" s="0" t="n">
        <v>5</v>
      </c>
      <c r="B2634" s="0" t="n">
        <v>17</v>
      </c>
      <c r="C2634" s="0" t="n">
        <v>1677</v>
      </c>
      <c r="D2634" s="0" t="s">
        <v>4186</v>
      </c>
      <c r="E2634" s="0" t="s">
        <v>3948</v>
      </c>
      <c r="F2634" s="0" t="s">
        <v>4187</v>
      </c>
    </row>
    <row r="2635" customFormat="false" ht="12.8" hidden="false" customHeight="false" outlineLevel="0" collapsed="false">
      <c r="A2635" s="0" t="n">
        <v>5</v>
      </c>
      <c r="B2635" s="0" t="n">
        <v>17</v>
      </c>
      <c r="C2635" s="0" t="n">
        <v>1984</v>
      </c>
      <c r="D2635" s="0" t="s">
        <v>4186</v>
      </c>
      <c r="E2635" s="0" t="s">
        <v>3948</v>
      </c>
      <c r="F2635" s="0" t="s">
        <v>4187</v>
      </c>
    </row>
    <row r="2636" customFormat="false" ht="12.8" hidden="false" customHeight="false" outlineLevel="0" collapsed="false">
      <c r="A2636" s="0" t="n">
        <v>5</v>
      </c>
      <c r="B2636" s="0" t="n">
        <v>17</v>
      </c>
      <c r="C2636" s="0" t="n">
        <v>2219</v>
      </c>
      <c r="D2636" s="0" t="s">
        <v>4186</v>
      </c>
      <c r="E2636" s="0" t="s">
        <v>3948</v>
      </c>
      <c r="F2636" s="0" t="s">
        <v>4187</v>
      </c>
    </row>
    <row r="2637" customFormat="false" ht="12.8" hidden="false" customHeight="false" outlineLevel="0" collapsed="false">
      <c r="A2637" s="0" t="n">
        <v>5</v>
      </c>
      <c r="B2637" s="0" t="n">
        <v>17</v>
      </c>
      <c r="C2637" s="0" t="n">
        <v>2355</v>
      </c>
      <c r="D2637" s="0" t="s">
        <v>4186</v>
      </c>
      <c r="E2637" s="0" t="s">
        <v>3948</v>
      </c>
      <c r="F2637" s="0" t="s">
        <v>4187</v>
      </c>
    </row>
    <row r="2638" customFormat="false" ht="12.8" hidden="false" customHeight="false" outlineLevel="0" collapsed="false">
      <c r="A2638" s="0" t="n">
        <v>5</v>
      </c>
      <c r="B2638" s="0" t="n">
        <v>17</v>
      </c>
      <c r="C2638" s="0" t="n">
        <v>2377</v>
      </c>
      <c r="D2638" s="0" t="s">
        <v>4186</v>
      </c>
      <c r="E2638" s="0" t="s">
        <v>3948</v>
      </c>
      <c r="F2638" s="0" t="s">
        <v>4187</v>
      </c>
    </row>
    <row r="2639" customFormat="false" ht="12.8" hidden="false" customHeight="false" outlineLevel="0" collapsed="false">
      <c r="A2639" s="0" t="n">
        <v>5</v>
      </c>
      <c r="B2639" s="0" t="n">
        <v>17</v>
      </c>
      <c r="C2639" s="0" t="n">
        <v>2409</v>
      </c>
      <c r="D2639" s="0" t="s">
        <v>4186</v>
      </c>
      <c r="E2639" s="0" t="s">
        <v>3948</v>
      </c>
      <c r="F2639" s="0" t="s">
        <v>4187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" activeCellId="0" sqref="D1"/>
    </sheetView>
  </sheetViews>
  <sheetFormatPr defaultColWidth="14.70703125" defaultRowHeight="12.8" customHeight="true" zeroHeight="false" outlineLevelRow="0" outlineLevelCol="0"/>
  <sheetData>
    <row r="1" s="8" customFormat="true" ht="12.8" hidden="false" customHeight="false" outlineLevel="0" collapsed="false">
      <c r="A1" s="8" t="s">
        <v>5</v>
      </c>
      <c r="B1" s="8" t="s">
        <v>4188</v>
      </c>
      <c r="C1" s="8" t="s">
        <v>4189</v>
      </c>
      <c r="D1" s="8" t="s">
        <v>13</v>
      </c>
      <c r="E1" s="8" t="s">
        <v>14</v>
      </c>
    </row>
    <row r="2" customFormat="false" ht="12.8" hidden="false" customHeight="false" outlineLevel="0" collapsed="false">
      <c r="A2" s="0" t="n">
        <v>36</v>
      </c>
      <c r="B2" s="0" t="s">
        <v>4190</v>
      </c>
      <c r="C2" s="0" t="s">
        <v>4191</v>
      </c>
      <c r="D2" s="0" t="s">
        <v>4192</v>
      </c>
      <c r="E2" s="0" t="s">
        <v>4193</v>
      </c>
    </row>
    <row r="3" customFormat="false" ht="12.8" hidden="false" customHeight="false" outlineLevel="0" collapsed="false">
      <c r="A3" s="0" t="n">
        <v>31</v>
      </c>
      <c r="B3" s="0" t="s">
        <v>4190</v>
      </c>
      <c r="C3" s="0" t="s">
        <v>4191</v>
      </c>
      <c r="D3" s="0" t="s">
        <v>4194</v>
      </c>
      <c r="E3" s="0" t="s">
        <v>4195</v>
      </c>
    </row>
    <row r="4" customFormat="false" ht="12.8" hidden="false" customHeight="false" outlineLevel="0" collapsed="false">
      <c r="A4" s="0" t="n">
        <v>32</v>
      </c>
      <c r="B4" s="0" t="s">
        <v>4190</v>
      </c>
      <c r="C4" s="0" t="s">
        <v>4191</v>
      </c>
      <c r="D4" s="0" t="s">
        <v>4196</v>
      </c>
      <c r="E4" s="0" t="s">
        <v>4197</v>
      </c>
    </row>
    <row r="5" customFormat="false" ht="12.8" hidden="false" customHeight="false" outlineLevel="0" collapsed="false">
      <c r="A5" s="0" t="n">
        <v>34</v>
      </c>
      <c r="B5" s="0" t="s">
        <v>4190</v>
      </c>
      <c r="C5" s="0" t="s">
        <v>4191</v>
      </c>
      <c r="D5" s="0" t="s">
        <v>4198</v>
      </c>
      <c r="E5" s="0" t="s">
        <v>4199</v>
      </c>
    </row>
    <row r="6" customFormat="false" ht="12.8" hidden="false" customHeight="false" outlineLevel="0" collapsed="false">
      <c r="A6" s="0" t="n">
        <v>35</v>
      </c>
      <c r="B6" s="0" t="s">
        <v>4190</v>
      </c>
      <c r="C6" s="0" t="s">
        <v>4191</v>
      </c>
      <c r="D6" s="0" t="s">
        <v>4200</v>
      </c>
      <c r="E6" s="0" t="s">
        <v>4201</v>
      </c>
    </row>
    <row r="7" customFormat="false" ht="12.8" hidden="false" customHeight="false" outlineLevel="0" collapsed="false">
      <c r="A7" s="0" t="n">
        <v>33</v>
      </c>
      <c r="B7" s="0" t="s">
        <v>4190</v>
      </c>
      <c r="C7" s="0" t="s">
        <v>4191</v>
      </c>
      <c r="D7" s="0" t="s">
        <v>4202</v>
      </c>
      <c r="E7" s="0" t="s">
        <v>4203</v>
      </c>
    </row>
    <row r="8" customFormat="false" ht="12.8" hidden="false" customHeight="false" outlineLevel="0" collapsed="false">
      <c r="A8" s="0" t="n">
        <v>66</v>
      </c>
      <c r="B8" s="0" t="s">
        <v>4190</v>
      </c>
      <c r="C8" s="0" t="s">
        <v>4191</v>
      </c>
      <c r="D8" s="0" t="s">
        <v>4204</v>
      </c>
      <c r="E8" s="0" t="s">
        <v>4205</v>
      </c>
    </row>
    <row r="9" customFormat="false" ht="12.8" hidden="false" customHeight="false" outlineLevel="0" collapsed="false">
      <c r="A9" s="0" t="n">
        <v>67</v>
      </c>
      <c r="B9" s="0" t="s">
        <v>4190</v>
      </c>
      <c r="C9" s="0" t="s">
        <v>4191</v>
      </c>
      <c r="D9" s="0" t="s">
        <v>4206</v>
      </c>
      <c r="E9" s="0" t="s">
        <v>4207</v>
      </c>
    </row>
    <row r="10" customFormat="false" ht="12.8" hidden="false" customHeight="false" outlineLevel="0" collapsed="false">
      <c r="A10" s="0" t="n">
        <v>68</v>
      </c>
      <c r="B10" s="0" t="s">
        <v>4190</v>
      </c>
      <c r="C10" s="0" t="s">
        <v>4191</v>
      </c>
      <c r="D10" s="0" t="s">
        <v>4208</v>
      </c>
      <c r="E10" s="0" t="s">
        <v>4209</v>
      </c>
    </row>
    <row r="11" customFormat="false" ht="12.8" hidden="false" customHeight="false" outlineLevel="0" collapsed="false">
      <c r="A11" s="0" t="n">
        <v>71</v>
      </c>
      <c r="B11" s="0" t="s">
        <v>4190</v>
      </c>
      <c r="C11" s="0" t="s">
        <v>4210</v>
      </c>
      <c r="D11" s="0" t="s">
        <v>4206</v>
      </c>
      <c r="E11" s="0" t="s">
        <v>4211</v>
      </c>
    </row>
    <row r="12" customFormat="false" ht="12.8" hidden="false" customHeight="false" outlineLevel="0" collapsed="false">
      <c r="A12" s="0" t="n">
        <v>80</v>
      </c>
      <c r="B12" s="0" t="s">
        <v>4190</v>
      </c>
      <c r="C12" s="0" t="s">
        <v>4210</v>
      </c>
      <c r="D12" s="0" t="s">
        <v>4206</v>
      </c>
      <c r="E12" s="0" t="s">
        <v>4212</v>
      </c>
    </row>
    <row r="13" customFormat="false" ht="12.8" hidden="false" customHeight="false" outlineLevel="0" collapsed="false">
      <c r="A13" s="0" t="n">
        <v>70</v>
      </c>
      <c r="B13" s="0" t="s">
        <v>4190</v>
      </c>
      <c r="C13" s="0" t="s">
        <v>4210</v>
      </c>
      <c r="D13" s="0" t="s">
        <v>4208</v>
      </c>
      <c r="E13" s="0" t="s">
        <v>4213</v>
      </c>
    </row>
    <row r="14" customFormat="false" ht="12.8" hidden="false" customHeight="false" outlineLevel="0" collapsed="false">
      <c r="A14" s="0" t="n">
        <v>84</v>
      </c>
      <c r="B14" s="0" t="s">
        <v>4190</v>
      </c>
      <c r="C14" s="0" t="s">
        <v>4214</v>
      </c>
      <c r="D14" s="0" t="s">
        <v>4215</v>
      </c>
      <c r="E14" s="0" t="s">
        <v>4216</v>
      </c>
    </row>
    <row r="15" customFormat="false" ht="12.8" hidden="false" customHeight="false" outlineLevel="0" collapsed="false">
      <c r="A15" s="0" t="n">
        <v>85</v>
      </c>
      <c r="B15" s="0" t="s">
        <v>4190</v>
      </c>
      <c r="C15" s="0" t="s">
        <v>4214</v>
      </c>
      <c r="D15" s="0" t="s">
        <v>4217</v>
      </c>
      <c r="E15" s="0" t="s">
        <v>4218</v>
      </c>
    </row>
    <row r="16" customFormat="false" ht="12.8" hidden="false" customHeight="false" outlineLevel="0" collapsed="false">
      <c r="A16" s="0" t="n">
        <v>86</v>
      </c>
      <c r="B16" s="0" t="s">
        <v>4190</v>
      </c>
      <c r="C16" s="0" t="s">
        <v>4214</v>
      </c>
      <c r="D16" s="0" t="s">
        <v>4219</v>
      </c>
      <c r="E16" s="0" t="s">
        <v>4220</v>
      </c>
    </row>
    <row r="17" customFormat="false" ht="12.8" hidden="false" customHeight="false" outlineLevel="0" collapsed="false">
      <c r="A17" s="0" t="n">
        <v>87</v>
      </c>
      <c r="B17" s="0" t="s">
        <v>4190</v>
      </c>
      <c r="C17" s="0" t="s">
        <v>4214</v>
      </c>
      <c r="D17" s="0" t="s">
        <v>4221</v>
      </c>
      <c r="E17" s="0" t="s">
        <v>4222</v>
      </c>
    </row>
    <row r="18" customFormat="false" ht="12.8" hidden="false" customHeight="false" outlineLevel="0" collapsed="false">
      <c r="A18" s="0" t="n">
        <v>88</v>
      </c>
      <c r="B18" s="0" t="s">
        <v>4190</v>
      </c>
      <c r="C18" s="0" t="s">
        <v>4214</v>
      </c>
      <c r="D18" s="0" t="s">
        <v>4223</v>
      </c>
      <c r="E18" s="0" t="s">
        <v>4224</v>
      </c>
    </row>
    <row r="19" customFormat="false" ht="12.8" hidden="false" customHeight="false" outlineLevel="0" collapsed="false">
      <c r="A19" s="0" t="n">
        <v>89</v>
      </c>
      <c r="B19" s="0" t="s">
        <v>4190</v>
      </c>
      <c r="C19" s="0" t="s">
        <v>4214</v>
      </c>
      <c r="D19" s="0" t="s">
        <v>4225</v>
      </c>
      <c r="E19" s="0" t="s">
        <v>4226</v>
      </c>
    </row>
    <row r="20" customFormat="false" ht="12.8" hidden="false" customHeight="false" outlineLevel="0" collapsed="false">
      <c r="A20" s="0" t="n">
        <v>94</v>
      </c>
      <c r="B20" s="0" t="s">
        <v>4190</v>
      </c>
      <c r="C20" s="0" t="s">
        <v>4214</v>
      </c>
      <c r="D20" s="0" t="s">
        <v>4227</v>
      </c>
      <c r="E20" s="0" t="s">
        <v>4228</v>
      </c>
    </row>
    <row r="21" customFormat="false" ht="12.8" hidden="false" customHeight="false" outlineLevel="0" collapsed="false">
      <c r="A21" s="0" t="n">
        <v>97</v>
      </c>
      <c r="B21" s="0" t="s">
        <v>4190</v>
      </c>
      <c r="C21" s="0" t="s">
        <v>4214</v>
      </c>
      <c r="D21" s="0" t="s">
        <v>4227</v>
      </c>
      <c r="E21" s="0" t="s">
        <v>4229</v>
      </c>
    </row>
    <row r="22" customFormat="false" ht="12.8" hidden="false" customHeight="false" outlineLevel="0" collapsed="false">
      <c r="A22" s="0" t="n">
        <v>93</v>
      </c>
      <c r="B22" s="0" t="s">
        <v>4190</v>
      </c>
      <c r="C22" s="0" t="s">
        <v>4230</v>
      </c>
      <c r="D22" s="0" t="s">
        <v>4231</v>
      </c>
      <c r="E22" s="0" t="s">
        <v>4232</v>
      </c>
    </row>
    <row r="23" customFormat="false" ht="12.8" hidden="false" customHeight="false" outlineLevel="0" collapsed="false">
      <c r="A23" s="0" t="n">
        <v>77</v>
      </c>
      <c r="B23" s="0" t="s">
        <v>4190</v>
      </c>
      <c r="C23" s="0" t="s">
        <v>4230</v>
      </c>
      <c r="D23" s="0" t="s">
        <v>4233</v>
      </c>
      <c r="E23" s="0" t="s">
        <v>4234</v>
      </c>
    </row>
    <row r="24" customFormat="false" ht="12.8" hidden="false" customHeight="false" outlineLevel="0" collapsed="false">
      <c r="A24" s="0" t="n">
        <v>78</v>
      </c>
      <c r="B24" s="0" t="s">
        <v>4190</v>
      </c>
      <c r="C24" s="0" t="s">
        <v>4230</v>
      </c>
      <c r="D24" s="0" t="s">
        <v>4233</v>
      </c>
      <c r="E24" s="0" t="s">
        <v>4235</v>
      </c>
    </row>
    <row r="25" customFormat="false" ht="12.8" hidden="false" customHeight="false" outlineLevel="0" collapsed="false">
      <c r="A25" s="0" t="n">
        <v>76</v>
      </c>
      <c r="B25" s="0" t="s">
        <v>4190</v>
      </c>
      <c r="C25" s="0" t="s">
        <v>4230</v>
      </c>
      <c r="D25" s="0" t="s">
        <v>4233</v>
      </c>
      <c r="E25" s="0" t="s">
        <v>4236</v>
      </c>
    </row>
    <row r="26" customFormat="false" ht="12.8" hidden="false" customHeight="false" outlineLevel="0" collapsed="false">
      <c r="A26" s="0" t="n">
        <v>79</v>
      </c>
      <c r="B26" s="0" t="s">
        <v>4190</v>
      </c>
      <c r="C26" s="0" t="s">
        <v>4230</v>
      </c>
      <c r="D26" s="0" t="s">
        <v>4237</v>
      </c>
      <c r="E26" s="0" t="s">
        <v>4238</v>
      </c>
    </row>
    <row r="27" customFormat="false" ht="12.8" hidden="false" customHeight="false" outlineLevel="0" collapsed="false">
      <c r="A27" s="0" t="n">
        <v>63</v>
      </c>
      <c r="B27" s="0" t="s">
        <v>4239</v>
      </c>
      <c r="C27" s="0" t="s">
        <v>4240</v>
      </c>
      <c r="D27" s="0" t="s">
        <v>4241</v>
      </c>
      <c r="E27" s="0" t="s">
        <v>4242</v>
      </c>
    </row>
    <row r="28" customFormat="false" ht="12.8" hidden="false" customHeight="false" outlineLevel="0" collapsed="false">
      <c r="A28" s="0" t="n">
        <v>64</v>
      </c>
      <c r="B28" s="0" t="s">
        <v>4239</v>
      </c>
      <c r="C28" s="0" t="s">
        <v>4240</v>
      </c>
      <c r="D28" s="0" t="s">
        <v>4243</v>
      </c>
      <c r="E28" s="0" t="s">
        <v>4244</v>
      </c>
    </row>
    <row r="29" customFormat="false" ht="12.8" hidden="false" customHeight="false" outlineLevel="0" collapsed="false">
      <c r="A29" s="0" t="n">
        <v>65</v>
      </c>
      <c r="B29" s="0" t="s">
        <v>4239</v>
      </c>
      <c r="C29" s="0" t="s">
        <v>4240</v>
      </c>
      <c r="D29" s="0" t="s">
        <v>4245</v>
      </c>
      <c r="E29" s="0" t="s">
        <v>4246</v>
      </c>
    </row>
    <row r="30" customFormat="false" ht="12.8" hidden="false" customHeight="false" outlineLevel="0" collapsed="false">
      <c r="A30" s="0" t="n">
        <v>62</v>
      </c>
      <c r="B30" s="0" t="s">
        <v>4239</v>
      </c>
      <c r="C30" s="0" t="s">
        <v>4240</v>
      </c>
      <c r="D30" s="0" t="s">
        <v>4247</v>
      </c>
      <c r="E30" s="0" t="s">
        <v>4248</v>
      </c>
    </row>
    <row r="31" customFormat="false" ht="12.8" hidden="false" customHeight="false" outlineLevel="0" collapsed="false">
      <c r="A31" s="0" t="n">
        <v>82</v>
      </c>
      <c r="B31" s="0" t="s">
        <v>4249</v>
      </c>
      <c r="C31" s="0" t="s">
        <v>4250</v>
      </c>
      <c r="D31" s="0" t="s">
        <v>4251</v>
      </c>
      <c r="E31" s="0" t="s">
        <v>4252</v>
      </c>
    </row>
    <row r="32" customFormat="false" ht="12.8" hidden="false" customHeight="false" outlineLevel="0" collapsed="false">
      <c r="A32" s="0" t="n">
        <v>96</v>
      </c>
      <c r="B32" s="0" t="s">
        <v>4249</v>
      </c>
      <c r="C32" s="0" t="s">
        <v>4250</v>
      </c>
      <c r="D32" s="0" t="s">
        <v>4253</v>
      </c>
      <c r="E32" s="0" t="s">
        <v>4254</v>
      </c>
    </row>
    <row r="33" customFormat="false" ht="12.8" hidden="false" customHeight="false" outlineLevel="0" collapsed="false">
      <c r="A33" s="0" t="n">
        <v>95</v>
      </c>
      <c r="B33" s="0" t="s">
        <v>4249</v>
      </c>
      <c r="C33" s="0" t="s">
        <v>4250</v>
      </c>
      <c r="D33" s="0" t="s">
        <v>4253</v>
      </c>
      <c r="E33" s="0" t="s">
        <v>4255</v>
      </c>
    </row>
    <row r="34" customFormat="false" ht="12.8" hidden="false" customHeight="false" outlineLevel="0" collapsed="false">
      <c r="A34" s="0" t="n">
        <v>59</v>
      </c>
      <c r="B34" s="0" t="s">
        <v>4249</v>
      </c>
      <c r="C34" s="0" t="s">
        <v>4256</v>
      </c>
      <c r="D34" s="0" t="s">
        <v>4257</v>
      </c>
      <c r="E34" s="0" t="s">
        <v>4258</v>
      </c>
    </row>
    <row r="35" customFormat="false" ht="12.8" hidden="false" customHeight="false" outlineLevel="0" collapsed="false">
      <c r="A35" s="0" t="n">
        <v>60</v>
      </c>
      <c r="B35" s="0" t="s">
        <v>4249</v>
      </c>
      <c r="C35" s="0" t="s">
        <v>4256</v>
      </c>
      <c r="D35" s="0" t="s">
        <v>4259</v>
      </c>
      <c r="E35" s="0" t="s">
        <v>4260</v>
      </c>
    </row>
    <row r="36" customFormat="false" ht="12.8" hidden="false" customHeight="false" outlineLevel="0" collapsed="false">
      <c r="A36" s="0" t="n">
        <v>90</v>
      </c>
      <c r="B36" s="0" t="s">
        <v>4249</v>
      </c>
      <c r="C36" s="0" t="s">
        <v>4256</v>
      </c>
      <c r="D36" s="0" t="s">
        <v>4261</v>
      </c>
      <c r="E36" s="0" t="s">
        <v>4262</v>
      </c>
    </row>
    <row r="37" customFormat="false" ht="12.8" hidden="false" customHeight="false" outlineLevel="0" collapsed="false">
      <c r="A37" s="0" t="n">
        <v>92</v>
      </c>
      <c r="B37" s="0" t="s">
        <v>4249</v>
      </c>
      <c r="C37" s="0" t="s">
        <v>4256</v>
      </c>
      <c r="D37" s="0" t="s">
        <v>4263</v>
      </c>
      <c r="E37" s="0" t="s">
        <v>4264</v>
      </c>
    </row>
    <row r="38" customFormat="false" ht="12.8" hidden="false" customHeight="false" outlineLevel="0" collapsed="false">
      <c r="A38" s="0" t="n">
        <v>45</v>
      </c>
      <c r="B38" s="0" t="s">
        <v>4249</v>
      </c>
      <c r="C38" s="0" t="s">
        <v>4265</v>
      </c>
      <c r="D38" s="0" t="s">
        <v>4266</v>
      </c>
      <c r="E38" s="0" t="s">
        <v>4267</v>
      </c>
    </row>
    <row r="39" customFormat="false" ht="12.8" hidden="false" customHeight="false" outlineLevel="0" collapsed="false">
      <c r="A39" s="0" t="n">
        <v>28</v>
      </c>
      <c r="B39" s="0" t="s">
        <v>4249</v>
      </c>
      <c r="C39" s="0" t="s">
        <v>4268</v>
      </c>
      <c r="D39" s="0" t="s">
        <v>4269</v>
      </c>
      <c r="E39" s="0" t="s">
        <v>4270</v>
      </c>
    </row>
    <row r="40" customFormat="false" ht="12.8" hidden="false" customHeight="false" outlineLevel="0" collapsed="false">
      <c r="A40" s="0" t="n">
        <v>29</v>
      </c>
      <c r="B40" s="0" t="s">
        <v>4249</v>
      </c>
      <c r="C40" s="0" t="s">
        <v>4268</v>
      </c>
      <c r="D40" s="0" t="s">
        <v>4271</v>
      </c>
      <c r="E40" s="0" t="s">
        <v>4272</v>
      </c>
    </row>
    <row r="41" customFormat="false" ht="12.8" hidden="false" customHeight="false" outlineLevel="0" collapsed="false">
      <c r="A41" s="0" t="n">
        <v>47</v>
      </c>
      <c r="B41" s="0" t="s">
        <v>4273</v>
      </c>
      <c r="C41" s="0" t="s">
        <v>3927</v>
      </c>
      <c r="D41" s="0" t="s">
        <v>4274</v>
      </c>
      <c r="E41" s="0" t="s">
        <v>4275</v>
      </c>
    </row>
    <row r="42" customFormat="false" ht="12.8" hidden="false" customHeight="false" outlineLevel="0" collapsed="false">
      <c r="A42" s="0" t="n">
        <v>74</v>
      </c>
      <c r="B42" s="0" t="s">
        <v>4276</v>
      </c>
      <c r="C42" s="0" t="s">
        <v>4277</v>
      </c>
      <c r="D42" s="0" t="s">
        <v>4278</v>
      </c>
      <c r="E42" s="0" t="s">
        <v>4279</v>
      </c>
    </row>
    <row r="43" customFormat="false" ht="12.8" hidden="false" customHeight="false" outlineLevel="0" collapsed="false">
      <c r="A43" s="0" t="n">
        <v>49</v>
      </c>
      <c r="B43" s="0" t="s">
        <v>4276</v>
      </c>
      <c r="C43" s="0" t="s">
        <v>4277</v>
      </c>
      <c r="D43" s="0" t="s">
        <v>4280</v>
      </c>
      <c r="E43" s="0" t="s">
        <v>4281</v>
      </c>
    </row>
    <row r="44" customFormat="false" ht="12.8" hidden="false" customHeight="false" outlineLevel="0" collapsed="false">
      <c r="A44" s="0" t="n">
        <v>52</v>
      </c>
      <c r="B44" s="0" t="s">
        <v>4282</v>
      </c>
      <c r="C44" s="0" t="s">
        <v>4283</v>
      </c>
      <c r="D44" s="0" t="s">
        <v>4284</v>
      </c>
      <c r="E44" s="0" t="s">
        <v>4285</v>
      </c>
    </row>
    <row r="45" customFormat="false" ht="12.8" hidden="false" customHeight="false" outlineLevel="0" collapsed="false">
      <c r="A45" s="0" t="n">
        <v>57</v>
      </c>
      <c r="B45" s="0" t="s">
        <v>4282</v>
      </c>
      <c r="C45" s="0" t="s">
        <v>4283</v>
      </c>
      <c r="D45" s="0" t="s">
        <v>4286</v>
      </c>
      <c r="E45" s="0" t="s">
        <v>4287</v>
      </c>
    </row>
    <row r="46" customFormat="false" ht="12.8" hidden="false" customHeight="false" outlineLevel="0" collapsed="false">
      <c r="A46" s="0" t="n">
        <v>54</v>
      </c>
      <c r="B46" s="0" t="s">
        <v>4282</v>
      </c>
      <c r="C46" s="0" t="s">
        <v>4283</v>
      </c>
      <c r="D46" s="0" t="s">
        <v>4288</v>
      </c>
      <c r="E46" s="0" t="s">
        <v>4289</v>
      </c>
    </row>
    <row r="47" customFormat="false" ht="12.8" hidden="false" customHeight="false" outlineLevel="0" collapsed="false">
      <c r="A47" s="0" t="n">
        <v>53</v>
      </c>
      <c r="B47" s="0" t="s">
        <v>4282</v>
      </c>
      <c r="C47" s="0" t="s">
        <v>4283</v>
      </c>
      <c r="D47" s="0" t="s">
        <v>4290</v>
      </c>
      <c r="E47" s="0" t="s">
        <v>4291</v>
      </c>
    </row>
    <row r="48" customFormat="false" ht="12.8" hidden="false" customHeight="false" outlineLevel="0" collapsed="false">
      <c r="A48" s="0" t="n">
        <v>55</v>
      </c>
      <c r="B48" s="0" t="s">
        <v>4282</v>
      </c>
      <c r="C48" s="0" t="s">
        <v>4283</v>
      </c>
      <c r="D48" s="0" t="s">
        <v>4292</v>
      </c>
      <c r="E48" s="0" t="s">
        <v>4293</v>
      </c>
    </row>
    <row r="49" customFormat="false" ht="12.8" hidden="false" customHeight="false" outlineLevel="0" collapsed="false">
      <c r="A49" s="0" t="n">
        <v>51</v>
      </c>
      <c r="B49" s="0" t="s">
        <v>4282</v>
      </c>
      <c r="C49" s="0" t="s">
        <v>4283</v>
      </c>
      <c r="D49" s="0" t="s">
        <v>4294</v>
      </c>
      <c r="E49" s="0" t="s">
        <v>4295</v>
      </c>
    </row>
    <row r="50" customFormat="false" ht="12.8" hidden="false" customHeight="false" outlineLevel="0" collapsed="false">
      <c r="A50" s="0" t="n">
        <v>56</v>
      </c>
      <c r="B50" s="0" t="s">
        <v>4282</v>
      </c>
      <c r="C50" s="0" t="s">
        <v>4283</v>
      </c>
      <c r="D50" s="0" t="s">
        <v>4296</v>
      </c>
      <c r="E50" s="0" t="s">
        <v>4297</v>
      </c>
    </row>
    <row r="51" customFormat="false" ht="12.8" hidden="false" customHeight="false" outlineLevel="0" collapsed="false">
      <c r="A51" s="0" t="n">
        <v>73</v>
      </c>
      <c r="B51" s="0" t="s">
        <v>4282</v>
      </c>
      <c r="C51" s="0" t="s">
        <v>4298</v>
      </c>
      <c r="D51" s="0" t="s">
        <v>4241</v>
      </c>
      <c r="E51" s="0" t="s">
        <v>4299</v>
      </c>
    </row>
    <row r="52" customFormat="false" ht="12.8" hidden="false" customHeight="false" outlineLevel="0" collapsed="false">
      <c r="A52" s="0" t="n">
        <v>40</v>
      </c>
      <c r="B52" s="0" t="s">
        <v>4300</v>
      </c>
      <c r="C52" s="0" t="s">
        <v>4301</v>
      </c>
      <c r="D52" s="0" t="s">
        <v>4302</v>
      </c>
      <c r="E52" s="0" t="s">
        <v>4303</v>
      </c>
    </row>
    <row r="53" customFormat="false" ht="12.8" hidden="false" customHeight="false" outlineLevel="0" collapsed="false">
      <c r="A53" s="0" t="n">
        <v>41</v>
      </c>
      <c r="B53" s="0" t="s">
        <v>4300</v>
      </c>
      <c r="C53" s="0" t="s">
        <v>4301</v>
      </c>
      <c r="D53" s="0" t="s">
        <v>4304</v>
      </c>
      <c r="E53" s="0" t="s">
        <v>4305</v>
      </c>
    </row>
    <row r="54" customFormat="false" ht="12.8" hidden="false" customHeight="false" outlineLevel="0" collapsed="false">
      <c r="A54" s="0" t="n">
        <v>42</v>
      </c>
      <c r="B54" s="0" t="s">
        <v>4306</v>
      </c>
      <c r="C54" s="0" t="s">
        <v>4307</v>
      </c>
      <c r="D54" s="0" t="s">
        <v>4308</v>
      </c>
      <c r="E54" s="0" t="s">
        <v>4309</v>
      </c>
    </row>
    <row r="55" customFormat="false" ht="12.8" hidden="false" customHeight="false" outlineLevel="0" collapsed="false">
      <c r="A55" s="0" t="n">
        <v>43</v>
      </c>
      <c r="B55" s="0" t="s">
        <v>4306</v>
      </c>
      <c r="C55" s="0" t="s">
        <v>4307</v>
      </c>
      <c r="D55" s="0" t="s">
        <v>4310</v>
      </c>
      <c r="E55" s="0" t="s">
        <v>4311</v>
      </c>
    </row>
    <row r="56" customFormat="false" ht="12.8" hidden="false" customHeight="false" outlineLevel="0" collapsed="false">
      <c r="A56" s="0" t="n">
        <v>37</v>
      </c>
      <c r="B56" s="0" t="s">
        <v>4312</v>
      </c>
      <c r="C56" s="0" t="s">
        <v>4313</v>
      </c>
      <c r="D56" s="0" t="s">
        <v>4314</v>
      </c>
      <c r="E56" s="0" t="s">
        <v>4315</v>
      </c>
    </row>
    <row r="57" customFormat="false" ht="12.8" hidden="false" customHeight="false" outlineLevel="0" collapsed="false">
      <c r="A57" s="0" t="n">
        <v>38</v>
      </c>
      <c r="B57" s="0" t="s">
        <v>4312</v>
      </c>
      <c r="C57" s="0" t="s">
        <v>4313</v>
      </c>
      <c r="D57" s="0" t="s">
        <v>4316</v>
      </c>
      <c r="E57" s="0" t="s">
        <v>4317</v>
      </c>
    </row>
    <row r="58" customFormat="false" ht="12.8" hidden="false" customHeight="false" outlineLevel="0" collapsed="false">
      <c r="A58" s="0" t="n">
        <v>91</v>
      </c>
      <c r="B58" s="0" t="s">
        <v>4312</v>
      </c>
      <c r="C58" s="0" t="s">
        <v>4313</v>
      </c>
      <c r="D58" s="0" t="s">
        <v>4318</v>
      </c>
      <c r="E58" s="0" t="s">
        <v>4319</v>
      </c>
    </row>
    <row r="59" customFormat="false" ht="12.8" hidden="false" customHeight="false" outlineLevel="0" collapsed="false">
      <c r="A59" s="0" t="n">
        <v>39</v>
      </c>
      <c r="B59" s="0" t="s">
        <v>4312</v>
      </c>
      <c r="C59" s="0" t="s">
        <v>4320</v>
      </c>
      <c r="D59" s="0" t="s">
        <v>4321</v>
      </c>
      <c r="E59" s="0" t="s">
        <v>4322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1154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2025-09-07T21:51:35Z</dcterms:created>
  <dc:creator/>
  <dc:description/>
  <dc:language>es-CL</dc:language>
  <cp:lastModifiedBy/>
  <dcterms:modified xsi:type="dcterms:W3CDTF">2025-09-08T19:07:05Z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